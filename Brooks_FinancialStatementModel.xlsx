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oldmansachs-my.sharepoint.com/personal/phibro_firmwide_corp_gs_com1/Documents/Desktop/"/>
    </mc:Choice>
  </mc:AlternateContent>
  <xr:revisionPtr revIDLastSave="0" documentId="8_{7EC54C17-D4AF-4A18-B3DF-2587CA1DFF82}" xr6:coauthVersionLast="47" xr6:coauthVersionMax="47" xr10:uidLastSave="{00000000-0000-0000-0000-000000000000}"/>
  <bookViews>
    <workbookView xWindow="-120" yWindow="-120" windowWidth="57840" windowHeight="23520" tabRatio="736" xr2:uid="{00000000-000D-0000-FFFF-FFFF00000000}"/>
  </bookViews>
  <sheets>
    <sheet name="FSM Data Input" sheetId="81" r:id="rId1"/>
    <sheet name="FSM" sheetId="64" r:id="rId2"/>
    <sheet name="Extras" sheetId="70" r:id="rId3"/>
    <sheet name="Rev Build" sheetId="71" r:id="rId4"/>
    <sheet name="2019 FSM Update" sheetId="84" r:id="rId5"/>
  </sheets>
  <definedNames>
    <definedName name="CIQWBGuid" hidden="1">"a611639b-bab1-425e-aaa5-008c326fdfdb"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hidden="1">'Rev Build'!$1:$1048576</definedName>
    <definedName name="MLNKa7775792bf444a4785f8ed5c82461a24" hidden="1">'Rev Build'!$D$8:$F$12</definedName>
    <definedName name="_xlnm.Print_Area" localSheetId="4">'2019 FSM Update'!$C$2:$T$156</definedName>
    <definedName name="_xlnm.Print_Area" localSheetId="2">Extras!$C$2:$T$211</definedName>
    <definedName name="_xlnm.Print_Area" localSheetId="1">FSM!$C$2:$T$156</definedName>
    <definedName name="_xlnm.Print_Area" localSheetId="3">'Rev Build'!$C$2:$R$44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90" i="84" l="1"/>
  <c r="L190" i="84" s="1"/>
  <c r="J190" i="84"/>
  <c r="G186" i="84"/>
  <c r="G185" i="84"/>
  <c r="G184" i="84"/>
  <c r="G183" i="84"/>
  <c r="J186" i="84"/>
  <c r="J39" i="84" s="1"/>
  <c r="K185" i="84"/>
  <c r="K38" i="84" s="1"/>
  <c r="J185" i="84"/>
  <c r="J38" i="84" s="1"/>
  <c r="H185" i="84"/>
  <c r="H38" i="84" s="1"/>
  <c r="J184" i="84"/>
  <c r="J37" i="84" s="1"/>
  <c r="J183" i="84"/>
  <c r="J36" i="84" s="1"/>
  <c r="I183" i="84"/>
  <c r="I36" i="84" s="1"/>
  <c r="L201" i="84"/>
  <c r="L186" i="84" s="1"/>
  <c r="L39" i="84" s="1"/>
  <c r="K201" i="84"/>
  <c r="K186" i="84" s="1"/>
  <c r="K39" i="84" s="1"/>
  <c r="J201" i="84"/>
  <c r="I201" i="84"/>
  <c r="I186" i="84" s="1"/>
  <c r="I39" i="84" s="1"/>
  <c r="L203" i="84"/>
  <c r="K203" i="84"/>
  <c r="J203" i="84"/>
  <c r="I203" i="84"/>
  <c r="H203" i="84"/>
  <c r="H201" i="84"/>
  <c r="H186" i="84" s="1"/>
  <c r="H39" i="84" s="1"/>
  <c r="L197" i="84"/>
  <c r="L185" i="84" s="1"/>
  <c r="L38" i="84" s="1"/>
  <c r="K197" i="84"/>
  <c r="J197" i="84"/>
  <c r="I197" i="84"/>
  <c r="I185" i="84" s="1"/>
  <c r="I38" i="84" s="1"/>
  <c r="L199" i="84"/>
  <c r="K199" i="84"/>
  <c r="J199" i="84"/>
  <c r="I199" i="84"/>
  <c r="H199" i="84"/>
  <c r="H197" i="84"/>
  <c r="L195" i="84"/>
  <c r="K195" i="84"/>
  <c r="J195" i="84"/>
  <c r="I195" i="84"/>
  <c r="L193" i="84"/>
  <c r="L184" i="84" s="1"/>
  <c r="L37" i="84" s="1"/>
  <c r="K193" i="84"/>
  <c r="K184" i="84" s="1"/>
  <c r="K37" i="84" s="1"/>
  <c r="J193" i="84"/>
  <c r="I193" i="84"/>
  <c r="I184" i="84" s="1"/>
  <c r="I37" i="84" s="1"/>
  <c r="H195" i="84"/>
  <c r="H193" i="84"/>
  <c r="H184" i="84" s="1"/>
  <c r="H37" i="84" s="1"/>
  <c r="K191" i="84"/>
  <c r="J191" i="84"/>
  <c r="I191" i="84"/>
  <c r="K189" i="84"/>
  <c r="K183" i="84" s="1"/>
  <c r="K36" i="84" s="1"/>
  <c r="J189" i="84"/>
  <c r="I189" i="84"/>
  <c r="H191" i="84"/>
  <c r="H189" i="84"/>
  <c r="H183" i="84" s="1"/>
  <c r="H36" i="84" s="1"/>
  <c r="L182" i="84"/>
  <c r="K182" i="84"/>
  <c r="J182" i="84"/>
  <c r="I182" i="84"/>
  <c r="H182" i="84"/>
  <c r="I181" i="84"/>
  <c r="J181" i="84"/>
  <c r="K181" i="84"/>
  <c r="L181" i="84"/>
  <c r="H181" i="84"/>
  <c r="D181" i="84"/>
  <c r="L191" i="84" l="1"/>
  <c r="L189" i="84"/>
  <c r="L183" i="84" s="1"/>
  <c r="L36" i="84" s="1"/>
  <c r="G7" i="71" l="1"/>
  <c r="H7" i="71"/>
  <c r="I7" i="71"/>
  <c r="J7" i="71"/>
  <c r="K7" i="71"/>
  <c r="G8" i="71"/>
  <c r="H8" i="71"/>
  <c r="I8" i="71"/>
  <c r="J8" i="71"/>
  <c r="K8" i="71"/>
  <c r="G9" i="71"/>
  <c r="H9" i="71"/>
  <c r="I9" i="71"/>
  <c r="J9" i="71"/>
  <c r="K9" i="71"/>
  <c r="I11" i="71"/>
  <c r="J11" i="71" s="1"/>
  <c r="K11" i="71" s="1"/>
  <c r="I12" i="71"/>
  <c r="J12" i="71" s="1"/>
  <c r="K12" i="71" s="1"/>
  <c r="D22" i="71"/>
  <c r="E22" i="71"/>
  <c r="F22" i="71"/>
  <c r="D23" i="71"/>
  <c r="E23" i="71"/>
  <c r="F23" i="71"/>
  <c r="D24" i="71"/>
  <c r="E24" i="71"/>
  <c r="F24" i="71"/>
  <c r="I40" i="71"/>
  <c r="J40" i="71"/>
  <c r="K40" i="71" s="1"/>
  <c r="I41" i="71"/>
  <c r="J41" i="71"/>
  <c r="K41" i="71"/>
  <c r="C2" i="70" l="1"/>
  <c r="H174" i="84" l="1"/>
  <c r="F160" i="84"/>
  <c r="F156" i="84"/>
  <c r="E156" i="84"/>
  <c r="D156" i="84"/>
  <c r="E146" i="84"/>
  <c r="E147" i="84" s="1"/>
  <c r="D142" i="84"/>
  <c r="F119" i="84"/>
  <c r="D119" i="84"/>
  <c r="E112" i="84"/>
  <c r="D106" i="84"/>
  <c r="D104" i="84" s="1"/>
  <c r="D105" i="84" s="1"/>
  <c r="D99" i="84"/>
  <c r="E99" i="84"/>
  <c r="F64" i="84"/>
  <c r="E62" i="84"/>
  <c r="E64" i="84" s="1"/>
  <c r="G57" i="84"/>
  <c r="G48" i="84"/>
  <c r="G45" i="84"/>
  <c r="F57" i="84"/>
  <c r="F59" i="84" s="1"/>
  <c r="E57" i="84"/>
  <c r="E150" i="84" s="1"/>
  <c r="E55" i="84"/>
  <c r="F48" i="84"/>
  <c r="E48" i="84"/>
  <c r="F45" i="84"/>
  <c r="E45" i="84"/>
  <c r="F39" i="84"/>
  <c r="E39" i="84"/>
  <c r="D39" i="84"/>
  <c r="F38" i="84"/>
  <c r="E38" i="84"/>
  <c r="D38" i="84"/>
  <c r="F36" i="84"/>
  <c r="E36" i="84"/>
  <c r="F19" i="84"/>
  <c r="F37" i="84" s="1"/>
  <c r="E19" i="84"/>
  <c r="E37" i="84" s="1"/>
  <c r="D19" i="84"/>
  <c r="D37" i="84" s="1"/>
  <c r="J97" i="84" l="1"/>
  <c r="E59" i="84"/>
  <c r="F51" i="84"/>
  <c r="E119" i="84"/>
  <c r="E51" i="84"/>
  <c r="D22" i="84"/>
  <c r="E22" i="84"/>
  <c r="F22" i="84"/>
  <c r="G156" i="84"/>
  <c r="H155" i="84"/>
  <c r="I155" i="84" s="1"/>
  <c r="J155" i="84" s="1"/>
  <c r="K155" i="84" s="1"/>
  <c r="L155" i="84" s="1"/>
  <c r="G146" i="84"/>
  <c r="F146" i="84"/>
  <c r="F147" i="84" s="1"/>
  <c r="H145" i="84"/>
  <c r="I145" i="84" s="1"/>
  <c r="J145" i="84" s="1"/>
  <c r="K145" i="84" s="1"/>
  <c r="L145" i="84" s="1"/>
  <c r="G142" i="84"/>
  <c r="F142" i="84"/>
  <c r="E142" i="84"/>
  <c r="E152" i="84" s="1"/>
  <c r="E151" i="84" s="1"/>
  <c r="C140" i="84"/>
  <c r="C139" i="84"/>
  <c r="G135" i="84"/>
  <c r="H132" i="84" s="1"/>
  <c r="F135" i="84"/>
  <c r="E135" i="84"/>
  <c r="C123" i="84"/>
  <c r="C122" i="84"/>
  <c r="G119" i="84"/>
  <c r="H115" i="84" s="1"/>
  <c r="H118" i="84"/>
  <c r="I118" i="84" s="1"/>
  <c r="G112" i="84"/>
  <c r="H109" i="84" s="1"/>
  <c r="F112" i="84"/>
  <c r="G106" i="84"/>
  <c r="G104" i="84" s="1"/>
  <c r="G105" i="84" s="1"/>
  <c r="H105" i="84" s="1"/>
  <c r="F106" i="84"/>
  <c r="F104" i="84" s="1"/>
  <c r="F105" i="84" s="1"/>
  <c r="E106" i="84"/>
  <c r="E104" i="84" s="1"/>
  <c r="E105" i="84" s="1"/>
  <c r="G101" i="84"/>
  <c r="F101" i="84"/>
  <c r="E101" i="84"/>
  <c r="G99" i="84"/>
  <c r="H96" i="84" s="1"/>
  <c r="F99" i="84"/>
  <c r="C94" i="84"/>
  <c r="C93" i="84"/>
  <c r="I81" i="84"/>
  <c r="I82" i="84" s="1"/>
  <c r="H81" i="84"/>
  <c r="H82" i="84" s="1"/>
  <c r="C70" i="84"/>
  <c r="C69" i="84"/>
  <c r="G64" i="84"/>
  <c r="H63" i="84"/>
  <c r="I63" i="84" s="1"/>
  <c r="J63" i="84" s="1"/>
  <c r="K63" i="84" s="1"/>
  <c r="L63" i="84" s="1"/>
  <c r="H58" i="84"/>
  <c r="H78" i="84" s="1"/>
  <c r="G150" i="84"/>
  <c r="F150" i="84"/>
  <c r="G59" i="84"/>
  <c r="H54" i="84"/>
  <c r="I54" i="84" s="1"/>
  <c r="J54" i="84" s="1"/>
  <c r="H50" i="84"/>
  <c r="H112" i="84" s="1"/>
  <c r="H48" i="84"/>
  <c r="I48" i="84" s="1"/>
  <c r="J48" i="84" s="1"/>
  <c r="H46" i="84"/>
  <c r="G51" i="84"/>
  <c r="C44" i="84"/>
  <c r="C43" i="84"/>
  <c r="G39" i="84"/>
  <c r="G38" i="84"/>
  <c r="G36" i="84"/>
  <c r="H32" i="84"/>
  <c r="H25" i="84"/>
  <c r="I25" i="84" s="1"/>
  <c r="J25" i="84" s="1"/>
  <c r="K25" i="84" s="1"/>
  <c r="L25" i="84" s="1"/>
  <c r="G19" i="84"/>
  <c r="G37" i="84" s="1"/>
  <c r="H17" i="84"/>
  <c r="G15" i="84"/>
  <c r="G14" i="84"/>
  <c r="C2" i="84"/>
  <c r="G25" i="64"/>
  <c r="H25" i="64" s="1"/>
  <c r="G213" i="70"/>
  <c r="I178" i="70"/>
  <c r="H178" i="70"/>
  <c r="G178" i="70"/>
  <c r="I177" i="70"/>
  <c r="H177" i="70"/>
  <c r="G177" i="70"/>
  <c r="I176" i="70"/>
  <c r="H176" i="70"/>
  <c r="G176" i="70"/>
  <c r="G38" i="70" s="1"/>
  <c r="I175" i="70"/>
  <c r="H175" i="70"/>
  <c r="G175" i="70"/>
  <c r="G37" i="70" s="1"/>
  <c r="F178" i="70"/>
  <c r="F177" i="70"/>
  <c r="F176" i="70"/>
  <c r="F175" i="70"/>
  <c r="J81" i="84" l="1"/>
  <c r="I17" i="84"/>
  <c r="K97" i="84"/>
  <c r="E66" i="84"/>
  <c r="G147" i="84"/>
  <c r="G152" i="84" s="1"/>
  <c r="G151" i="84" s="1"/>
  <c r="H151" i="84" s="1"/>
  <c r="H101" i="84"/>
  <c r="I101" i="84" s="1"/>
  <c r="I32" i="84"/>
  <c r="I170" i="84" s="1"/>
  <c r="H170" i="84"/>
  <c r="G43" i="84"/>
  <c r="G159" i="84"/>
  <c r="G140" i="84"/>
  <c r="G160" i="84"/>
  <c r="I58" i="84"/>
  <c r="I78" i="84" s="1"/>
  <c r="H86" i="84"/>
  <c r="H169" i="84" s="1"/>
  <c r="G66" i="84"/>
  <c r="F31" i="84"/>
  <c r="F33" i="84" s="1"/>
  <c r="F26" i="84"/>
  <c r="E26" i="84"/>
  <c r="E31" i="84"/>
  <c r="E33" i="84" s="1"/>
  <c r="D26" i="84"/>
  <c r="D31" i="84"/>
  <c r="D33" i="84" s="1"/>
  <c r="K54" i="84"/>
  <c r="L54" i="84" s="1"/>
  <c r="H55" i="84"/>
  <c r="I55" i="84" s="1"/>
  <c r="J55" i="84" s="1"/>
  <c r="K55" i="84" s="1"/>
  <c r="L55" i="84" s="1"/>
  <c r="K48" i="84"/>
  <c r="L48" i="84" s="1"/>
  <c r="F66" i="84"/>
  <c r="H19" i="84"/>
  <c r="H18" i="84" s="1"/>
  <c r="H47" i="84" s="1"/>
  <c r="H75" i="84" s="1"/>
  <c r="H20" i="84"/>
  <c r="H21" i="84"/>
  <c r="G22" i="84"/>
  <c r="F14" i="84"/>
  <c r="F122" i="84" s="1"/>
  <c r="F140" i="84"/>
  <c r="I109" i="84"/>
  <c r="H104" i="84"/>
  <c r="H110" i="84" s="1"/>
  <c r="H111" i="84" s="1"/>
  <c r="H77" i="84" s="1"/>
  <c r="I105" i="84"/>
  <c r="J118" i="84"/>
  <c r="I86" i="84"/>
  <c r="I169" i="84" s="1"/>
  <c r="H98" i="84"/>
  <c r="H99" i="84" s="1"/>
  <c r="F152" i="84"/>
  <c r="F151" i="84" s="1"/>
  <c r="I50" i="84"/>
  <c r="H74" i="84"/>
  <c r="G93" i="84"/>
  <c r="I46" i="84"/>
  <c r="G94" i="84"/>
  <c r="H126" i="84"/>
  <c r="H14" i="84"/>
  <c r="H159" i="84" s="1"/>
  <c r="H15" i="84"/>
  <c r="H160" i="84" s="1"/>
  <c r="H57" i="84"/>
  <c r="G122" i="84"/>
  <c r="G139" i="84"/>
  <c r="G44" i="84"/>
  <c r="H61" i="84"/>
  <c r="G123" i="84"/>
  <c r="D19" i="81"/>
  <c r="D22" i="81" s="1"/>
  <c r="E19" i="81"/>
  <c r="E22" i="81" s="1"/>
  <c r="F19" i="81"/>
  <c r="F22" i="81"/>
  <c r="F26" i="81" s="1"/>
  <c r="E36" i="81"/>
  <c r="F36" i="81"/>
  <c r="F37" i="81"/>
  <c r="D38" i="81"/>
  <c r="E38" i="81"/>
  <c r="F38" i="81"/>
  <c r="D39" i="81"/>
  <c r="E39" i="81"/>
  <c r="F39" i="81"/>
  <c r="F64" i="81"/>
  <c r="E64" i="81"/>
  <c r="F57" i="81"/>
  <c r="E57" i="81"/>
  <c r="F55" i="81"/>
  <c r="E55" i="81"/>
  <c r="E59" i="81" s="1"/>
  <c r="F48" i="81"/>
  <c r="F51" i="81" s="1"/>
  <c r="E48" i="81"/>
  <c r="F45" i="81"/>
  <c r="E45" i="81"/>
  <c r="E51" i="81" s="1"/>
  <c r="E66" i="81" s="1"/>
  <c r="F44" i="81"/>
  <c r="C44" i="81"/>
  <c r="C43" i="81"/>
  <c r="F15" i="81"/>
  <c r="E15" i="81" s="1"/>
  <c r="D15" i="81" s="1"/>
  <c r="F14" i="81"/>
  <c r="E14" i="81" s="1"/>
  <c r="C2" i="81"/>
  <c r="J82" i="84" l="1"/>
  <c r="I20" i="84"/>
  <c r="I21" i="84"/>
  <c r="L97" i="84"/>
  <c r="J17" i="84"/>
  <c r="I19" i="84"/>
  <c r="I18" i="84" s="1"/>
  <c r="I47" i="84" s="1"/>
  <c r="I75" i="84" s="1"/>
  <c r="D26" i="81"/>
  <c r="D40" i="81" s="1"/>
  <c r="D31" i="81"/>
  <c r="D33" i="81" s="1"/>
  <c r="E26" i="81"/>
  <c r="E40" i="81" s="1"/>
  <c r="E31" i="81"/>
  <c r="E33" i="81" s="1"/>
  <c r="E37" i="81"/>
  <c r="H163" i="84"/>
  <c r="H166" i="84" s="1"/>
  <c r="D37" i="81"/>
  <c r="F59" i="81"/>
  <c r="F66" i="81" s="1"/>
  <c r="F31" i="81"/>
  <c r="F33" i="81" s="1"/>
  <c r="J32" i="84"/>
  <c r="J170" i="84" s="1"/>
  <c r="J58" i="84"/>
  <c r="K58" i="84" s="1"/>
  <c r="I74" i="84"/>
  <c r="F43" i="84"/>
  <c r="F159" i="84"/>
  <c r="H175" i="84"/>
  <c r="H176" i="84" s="1"/>
  <c r="D40" i="84"/>
  <c r="D28" i="84"/>
  <c r="E40" i="84"/>
  <c r="E28" i="84"/>
  <c r="F40" i="84"/>
  <c r="F28" i="84"/>
  <c r="K81" i="84"/>
  <c r="H53" i="84"/>
  <c r="F93" i="84"/>
  <c r="H22" i="84"/>
  <c r="G31" i="84"/>
  <c r="G26" i="84"/>
  <c r="H106" i="84"/>
  <c r="H30" i="84" s="1"/>
  <c r="F44" i="84"/>
  <c r="E15" i="84"/>
  <c r="F123" i="84"/>
  <c r="F139" i="84"/>
  <c r="F94" i="84"/>
  <c r="E14" i="84"/>
  <c r="E159" i="84" s="1"/>
  <c r="H49" i="84"/>
  <c r="I96" i="84"/>
  <c r="J105" i="84"/>
  <c r="I104" i="84"/>
  <c r="I110" i="84" s="1"/>
  <c r="J101" i="84"/>
  <c r="I98" i="84"/>
  <c r="J46" i="84"/>
  <c r="I112" i="84"/>
  <c r="J50" i="84"/>
  <c r="I151" i="84"/>
  <c r="H140" i="84"/>
  <c r="H123" i="84"/>
  <c r="H44" i="84"/>
  <c r="I15" i="84"/>
  <c r="I160" i="84" s="1"/>
  <c r="H94" i="84"/>
  <c r="H70" i="84"/>
  <c r="I61" i="84"/>
  <c r="H43" i="84"/>
  <c r="H139" i="84"/>
  <c r="H122" i="84"/>
  <c r="I14" i="84"/>
  <c r="I159" i="84" s="1"/>
  <c r="H69" i="84"/>
  <c r="H93" i="84"/>
  <c r="K118" i="84"/>
  <c r="J86" i="84"/>
  <c r="J169" i="84" s="1"/>
  <c r="I57" i="84"/>
  <c r="H150" i="84"/>
  <c r="H152" i="84" s="1"/>
  <c r="H84" i="84"/>
  <c r="F40" i="81"/>
  <c r="F28" i="81"/>
  <c r="E28" i="81"/>
  <c r="D28" i="81"/>
  <c r="D14" i="81"/>
  <c r="E43" i="81"/>
  <c r="F43" i="81"/>
  <c r="E44" i="81"/>
  <c r="G58" i="64"/>
  <c r="H58" i="64" s="1"/>
  <c r="I58" i="64" s="1"/>
  <c r="K82" i="84" l="1"/>
  <c r="L81" i="84"/>
  <c r="J20" i="84"/>
  <c r="K17" i="84"/>
  <c r="J21" i="84"/>
  <c r="J19" i="84"/>
  <c r="J18" i="84" s="1"/>
  <c r="J47" i="84" s="1"/>
  <c r="J75" i="84" s="1"/>
  <c r="I22" i="84"/>
  <c r="I53" i="84"/>
  <c r="H73" i="84"/>
  <c r="G33" i="84"/>
  <c r="K32" i="84"/>
  <c r="K170" i="84" s="1"/>
  <c r="J74" i="84"/>
  <c r="J78" i="84"/>
  <c r="D116" i="84"/>
  <c r="D162" i="84"/>
  <c r="H177" i="84"/>
  <c r="I174" i="84"/>
  <c r="F116" i="84"/>
  <c r="F162" i="84"/>
  <c r="E116" i="84"/>
  <c r="E162" i="84"/>
  <c r="E44" i="84"/>
  <c r="E160" i="84"/>
  <c r="E139" i="84"/>
  <c r="D14" i="84"/>
  <c r="D159" i="84" s="1"/>
  <c r="E43" i="84"/>
  <c r="E140" i="84"/>
  <c r="D15" i="84"/>
  <c r="D160" i="84" s="1"/>
  <c r="H76" i="84"/>
  <c r="H31" i="84"/>
  <c r="E93" i="84"/>
  <c r="E94" i="84"/>
  <c r="G28" i="84"/>
  <c r="G40" i="84"/>
  <c r="E122" i="84"/>
  <c r="E123" i="84"/>
  <c r="J57" i="84"/>
  <c r="I84" i="84"/>
  <c r="I150" i="84"/>
  <c r="I152" i="84" s="1"/>
  <c r="J151" i="84"/>
  <c r="K105" i="84"/>
  <c r="J104" i="84"/>
  <c r="J110" i="84" s="1"/>
  <c r="J61" i="84"/>
  <c r="J112" i="84"/>
  <c r="K50" i="84"/>
  <c r="I111" i="84"/>
  <c r="I77" i="84" s="1"/>
  <c r="J109" i="84"/>
  <c r="I106" i="84"/>
  <c r="I30" i="84" s="1"/>
  <c r="I99" i="84"/>
  <c r="I43" i="84"/>
  <c r="I139" i="84"/>
  <c r="I122" i="84"/>
  <c r="J14" i="84"/>
  <c r="J159" i="84" s="1"/>
  <c r="I69" i="84"/>
  <c r="I93" i="84"/>
  <c r="I140" i="84"/>
  <c r="I123" i="84"/>
  <c r="I44" i="84"/>
  <c r="J15" i="84"/>
  <c r="J160" i="84" s="1"/>
  <c r="I94" i="84"/>
  <c r="I70" i="84"/>
  <c r="K101" i="84"/>
  <c r="J98" i="84"/>
  <c r="K86" i="84"/>
  <c r="K169" i="84" s="1"/>
  <c r="L118" i="84"/>
  <c r="L86" i="84" s="1"/>
  <c r="L169" i="84" s="1"/>
  <c r="K46" i="84"/>
  <c r="L58" i="84"/>
  <c r="L78" i="84" s="1"/>
  <c r="K78" i="84"/>
  <c r="L82" i="84" l="1"/>
  <c r="K20" i="84"/>
  <c r="I76" i="84"/>
  <c r="J22" i="84"/>
  <c r="K19" i="84"/>
  <c r="K18" i="84" s="1"/>
  <c r="K47" i="84" s="1"/>
  <c r="K21" i="84"/>
  <c r="L17" i="84"/>
  <c r="H40" i="84"/>
  <c r="K74" i="84"/>
  <c r="L32" i="84"/>
  <c r="L170" i="84" s="1"/>
  <c r="H33" i="84"/>
  <c r="E164" i="84"/>
  <c r="E167" i="84"/>
  <c r="F167" i="84"/>
  <c r="F164" i="84"/>
  <c r="G116" i="84"/>
  <c r="G162" i="84"/>
  <c r="D167" i="84"/>
  <c r="D164" i="84"/>
  <c r="J106" i="84"/>
  <c r="J30" i="84" s="1"/>
  <c r="J53" i="84"/>
  <c r="J76" i="84" s="1"/>
  <c r="I73" i="84"/>
  <c r="I31" i="84"/>
  <c r="L46" i="84"/>
  <c r="K15" i="84"/>
  <c r="K160" i="84" s="1"/>
  <c r="J94" i="84"/>
  <c r="J70" i="84"/>
  <c r="J44" i="84"/>
  <c r="J140" i="84"/>
  <c r="J123" i="84"/>
  <c r="I49" i="84"/>
  <c r="J96" i="84"/>
  <c r="J99" i="84" s="1"/>
  <c r="L105" i="84"/>
  <c r="K104" i="84"/>
  <c r="K110" i="84" s="1"/>
  <c r="K109" i="84"/>
  <c r="J111" i="84"/>
  <c r="J77" i="84" s="1"/>
  <c r="K151" i="84"/>
  <c r="K57" i="84"/>
  <c r="J84" i="84"/>
  <c r="J150" i="84"/>
  <c r="J152" i="84" s="1"/>
  <c r="J139" i="84"/>
  <c r="J122" i="84"/>
  <c r="K14" i="84"/>
  <c r="K159" i="84" s="1"/>
  <c r="J69" i="84"/>
  <c r="J93" i="84"/>
  <c r="J43" i="84"/>
  <c r="K112" i="84"/>
  <c r="L50" i="84"/>
  <c r="L112" i="84" s="1"/>
  <c r="L101" i="84"/>
  <c r="L98" i="84" s="1"/>
  <c r="K98" i="84"/>
  <c r="K61" i="84"/>
  <c r="K22" i="84" l="1"/>
  <c r="L104" i="84"/>
  <c r="L110" i="84" s="1"/>
  <c r="L20" i="84"/>
  <c r="L21" i="84"/>
  <c r="L19" i="84"/>
  <c r="L18" i="84" s="1"/>
  <c r="L74" i="84"/>
  <c r="J73" i="84"/>
  <c r="I33" i="84"/>
  <c r="I40" i="84"/>
  <c r="G164" i="84"/>
  <c r="G167" i="84"/>
  <c r="J31" i="84"/>
  <c r="K53" i="84"/>
  <c r="L109" i="84"/>
  <c r="K111" i="84"/>
  <c r="K77" i="84" s="1"/>
  <c r="J49" i="84"/>
  <c r="K96" i="84"/>
  <c r="K99" i="84" s="1"/>
  <c r="K94" i="84"/>
  <c r="K70" i="84"/>
  <c r="K140" i="84"/>
  <c r="K123" i="84"/>
  <c r="K44" i="84"/>
  <c r="L15" i="84"/>
  <c r="L160" i="84" s="1"/>
  <c r="K84" i="84"/>
  <c r="K150" i="84"/>
  <c r="K152" i="84" s="1"/>
  <c r="L57" i="84"/>
  <c r="K75" i="84"/>
  <c r="L151" i="84"/>
  <c r="K106" i="84"/>
  <c r="K30" i="84" s="1"/>
  <c r="K69" i="84"/>
  <c r="K93" i="84"/>
  <c r="K122" i="84"/>
  <c r="K43" i="84"/>
  <c r="K139" i="84"/>
  <c r="L14" i="84"/>
  <c r="L61" i="84"/>
  <c r="K76" i="84" l="1"/>
  <c r="L111" i="84"/>
  <c r="L77" i="84" s="1"/>
  <c r="L106" i="84"/>
  <c r="L30" i="84" s="1"/>
  <c r="L22" i="84"/>
  <c r="K73" i="84"/>
  <c r="J40" i="84"/>
  <c r="J33" i="84"/>
  <c r="L159" i="84"/>
  <c r="L122" i="84"/>
  <c r="L53" i="84"/>
  <c r="L76" i="84" s="1"/>
  <c r="K31" i="84"/>
  <c r="L84" i="84"/>
  <c r="L150" i="84"/>
  <c r="L152" i="84" s="1"/>
  <c r="L93" i="84"/>
  <c r="L69" i="84"/>
  <c r="L43" i="84"/>
  <c r="L139" i="84"/>
  <c r="K49" i="84"/>
  <c r="L96" i="84"/>
  <c r="L99" i="84" s="1"/>
  <c r="L49" i="84" s="1"/>
  <c r="L70" i="84"/>
  <c r="L94" i="84"/>
  <c r="L140" i="84"/>
  <c r="L123" i="84"/>
  <c r="L44" i="84"/>
  <c r="L47" i="84"/>
  <c r="L73" i="84" l="1"/>
  <c r="L31" i="84"/>
  <c r="K40" i="84"/>
  <c r="L75" i="84"/>
  <c r="K33" i="84"/>
  <c r="L33" i="84" l="1"/>
  <c r="L40" i="84"/>
  <c r="C3" i="71" l="1"/>
  <c r="C4" i="71"/>
  <c r="G13" i="71"/>
  <c r="G14" i="71" s="1"/>
  <c r="K38" i="71"/>
  <c r="H39" i="71"/>
  <c r="D13" i="71"/>
  <c r="E13" i="71"/>
  <c r="E14" i="71" s="1"/>
  <c r="F13" i="71"/>
  <c r="F14" i="71" s="1"/>
  <c r="E32" i="71"/>
  <c r="G32" i="71"/>
  <c r="E33" i="71"/>
  <c r="G33" i="71"/>
  <c r="E27" i="71"/>
  <c r="F27" i="71"/>
  <c r="G27" i="71"/>
  <c r="H27" i="71"/>
  <c r="I27" i="71"/>
  <c r="J27" i="71"/>
  <c r="K27" i="71"/>
  <c r="E28" i="71"/>
  <c r="F28" i="71"/>
  <c r="G28" i="71"/>
  <c r="H28" i="71"/>
  <c r="I28" i="71"/>
  <c r="J28" i="71"/>
  <c r="K28" i="71"/>
  <c r="E29" i="71"/>
  <c r="F29" i="71"/>
  <c r="G29" i="71"/>
  <c r="H29" i="71"/>
  <c r="I29" i="71"/>
  <c r="J29" i="71"/>
  <c r="K29" i="71"/>
  <c r="H32" i="71"/>
  <c r="I32" i="71"/>
  <c r="J32" i="71"/>
  <c r="K32" i="71"/>
  <c r="H33" i="71"/>
  <c r="I33" i="71"/>
  <c r="J33" i="71"/>
  <c r="K33" i="71"/>
  <c r="F34" i="71"/>
  <c r="G34" i="71"/>
  <c r="H34" i="71"/>
  <c r="I34" i="71"/>
  <c r="J34" i="71"/>
  <c r="K34" i="71"/>
  <c r="E37" i="71"/>
  <c r="F37" i="71"/>
  <c r="I37" i="71"/>
  <c r="E38" i="71"/>
  <c r="F38" i="71"/>
  <c r="G38" i="71"/>
  <c r="H38" i="71"/>
  <c r="I38" i="71"/>
  <c r="E39" i="71"/>
  <c r="F39" i="71"/>
  <c r="G39" i="71"/>
  <c r="K39" i="71"/>
  <c r="E40" i="71"/>
  <c r="F40" i="71"/>
  <c r="G40" i="71"/>
  <c r="H40" i="71"/>
  <c r="E41" i="71"/>
  <c r="F41" i="71"/>
  <c r="G41" i="71"/>
  <c r="H41" i="71"/>
  <c r="F15" i="70"/>
  <c r="F16" i="70"/>
  <c r="G16" i="70" s="1"/>
  <c r="G141" i="70" s="1"/>
  <c r="D20" i="70"/>
  <c r="D23" i="70" s="1"/>
  <c r="E20" i="70"/>
  <c r="F20" i="70"/>
  <c r="G26" i="70"/>
  <c r="H26" i="70" s="1"/>
  <c r="I26" i="70" s="1"/>
  <c r="J26" i="70" s="1"/>
  <c r="K26" i="70" s="1"/>
  <c r="E37" i="70"/>
  <c r="F37" i="70"/>
  <c r="D39" i="70"/>
  <c r="E39" i="70"/>
  <c r="F39" i="70"/>
  <c r="D40" i="70"/>
  <c r="E40" i="70"/>
  <c r="F40" i="70"/>
  <c r="J41" i="70"/>
  <c r="K41" i="70" s="1"/>
  <c r="C44" i="70"/>
  <c r="C45" i="70"/>
  <c r="F45" i="70"/>
  <c r="E46" i="70"/>
  <c r="F46" i="70"/>
  <c r="E49" i="70"/>
  <c r="F49" i="70"/>
  <c r="E56" i="70"/>
  <c r="F56" i="70"/>
  <c r="E58" i="70"/>
  <c r="E60" i="70" s="1"/>
  <c r="F58" i="70"/>
  <c r="E63" i="70"/>
  <c r="E65" i="70" s="1"/>
  <c r="G64" i="70"/>
  <c r="H64" i="70" s="1"/>
  <c r="I64" i="70" s="1"/>
  <c r="J64" i="70" s="1"/>
  <c r="K64" i="70" s="1"/>
  <c r="F65" i="70"/>
  <c r="C70" i="70"/>
  <c r="C71" i="70"/>
  <c r="G82" i="70"/>
  <c r="G83" i="70" s="1"/>
  <c r="H82" i="70"/>
  <c r="H83" i="70" s="1"/>
  <c r="I82" i="70"/>
  <c r="I83" i="70"/>
  <c r="G87" i="70"/>
  <c r="C94" i="70"/>
  <c r="F94" i="70"/>
  <c r="C95" i="70"/>
  <c r="E100" i="70"/>
  <c r="F100" i="70"/>
  <c r="G97" i="70" s="1"/>
  <c r="D102" i="70"/>
  <c r="E102" i="70"/>
  <c r="F102" i="70"/>
  <c r="G102" i="70"/>
  <c r="D107" i="70"/>
  <c r="D105" i="70" s="1"/>
  <c r="D106" i="70" s="1"/>
  <c r="E107" i="70"/>
  <c r="E105" i="70" s="1"/>
  <c r="E106" i="70" s="1"/>
  <c r="F107" i="70"/>
  <c r="F105" i="70" s="1"/>
  <c r="F106" i="70" s="1"/>
  <c r="G106" i="70" s="1"/>
  <c r="E113" i="70"/>
  <c r="F113" i="70"/>
  <c r="G110" i="70" s="1"/>
  <c r="G116" i="70"/>
  <c r="G118" i="70"/>
  <c r="G88" i="70" s="1"/>
  <c r="H118" i="70"/>
  <c r="G119" i="70"/>
  <c r="G208" i="70" s="1"/>
  <c r="H119" i="70"/>
  <c r="H87" i="70" s="1"/>
  <c r="D120" i="70"/>
  <c r="E120" i="70"/>
  <c r="F120" i="70"/>
  <c r="C123" i="70"/>
  <c r="C124" i="70"/>
  <c r="G133" i="70"/>
  <c r="D136" i="70"/>
  <c r="E136" i="70"/>
  <c r="F136" i="70"/>
  <c r="C140" i="70"/>
  <c r="C141" i="70"/>
  <c r="F141" i="70"/>
  <c r="D143" i="70"/>
  <c r="E143" i="70"/>
  <c r="F143" i="70"/>
  <c r="G146" i="70"/>
  <c r="H146" i="70" s="1"/>
  <c r="I146" i="70" s="1"/>
  <c r="J146" i="70" s="1"/>
  <c r="K146" i="70" s="1"/>
  <c r="E147" i="70"/>
  <c r="F148" i="70" s="1"/>
  <c r="F153" i="70" s="1"/>
  <c r="F147" i="70"/>
  <c r="F151" i="70"/>
  <c r="G156" i="70"/>
  <c r="H156" i="70" s="1"/>
  <c r="I156" i="70" s="1"/>
  <c r="J156" i="70" s="1"/>
  <c r="K156" i="70" s="1"/>
  <c r="D157" i="70"/>
  <c r="E157" i="70"/>
  <c r="F157" i="70"/>
  <c r="D173" i="70"/>
  <c r="H37" i="70"/>
  <c r="I37" i="70"/>
  <c r="G39" i="70"/>
  <c r="G40" i="70"/>
  <c r="H40" i="70"/>
  <c r="I40" i="70"/>
  <c r="G181" i="70"/>
  <c r="H181" i="70"/>
  <c r="I181" i="70"/>
  <c r="J182" i="70"/>
  <c r="J175" i="70" s="1"/>
  <c r="J37" i="70" s="1"/>
  <c r="J98" i="70" s="1"/>
  <c r="J82" i="70" s="1"/>
  <c r="J83" i="70" s="1"/>
  <c r="G183" i="70"/>
  <c r="H183" i="70"/>
  <c r="I183" i="70"/>
  <c r="G185" i="70"/>
  <c r="H185" i="70"/>
  <c r="I185" i="70"/>
  <c r="J186" i="70"/>
  <c r="K186" i="70"/>
  <c r="K176" i="70" s="1"/>
  <c r="G187" i="70"/>
  <c r="H187" i="70"/>
  <c r="I187" i="70"/>
  <c r="G189" i="70"/>
  <c r="H189" i="70"/>
  <c r="I189" i="70"/>
  <c r="J190" i="70"/>
  <c r="J189" i="70" s="1"/>
  <c r="G191" i="70"/>
  <c r="H191" i="70"/>
  <c r="I191" i="70"/>
  <c r="G193" i="70"/>
  <c r="H193" i="70"/>
  <c r="I193" i="70"/>
  <c r="J194" i="70"/>
  <c r="K194" i="70" s="1"/>
  <c r="K178" i="70" s="1"/>
  <c r="G195" i="70"/>
  <c r="H195" i="70"/>
  <c r="I195" i="70"/>
  <c r="C198" i="70"/>
  <c r="F198" i="70"/>
  <c r="C199" i="70"/>
  <c r="H210" i="70"/>
  <c r="I210" i="70"/>
  <c r="J210" i="70"/>
  <c r="K210" i="70" s="1"/>
  <c r="C2" i="64"/>
  <c r="F14" i="64"/>
  <c r="G14" i="64" s="1"/>
  <c r="H14" i="64" s="1"/>
  <c r="I14" i="64" s="1"/>
  <c r="J14" i="64" s="1"/>
  <c r="K14" i="64" s="1"/>
  <c r="E15" i="64"/>
  <c r="E123" i="64" s="1"/>
  <c r="F15" i="64"/>
  <c r="G15" i="64" s="1"/>
  <c r="G123" i="64" s="1"/>
  <c r="G17" i="64"/>
  <c r="H17" i="64"/>
  <c r="H21" i="64" s="1"/>
  <c r="D19" i="64"/>
  <c r="D22" i="64" s="1"/>
  <c r="E19" i="64"/>
  <c r="F19" i="64"/>
  <c r="G21" i="64"/>
  <c r="E22" i="64"/>
  <c r="E31" i="64" s="1"/>
  <c r="E33" i="64" s="1"/>
  <c r="F22" i="64"/>
  <c r="I25" i="64"/>
  <c r="J25" i="64" s="1"/>
  <c r="K25" i="64" s="1"/>
  <c r="E26" i="64"/>
  <c r="E28" i="64" s="1"/>
  <c r="E116" i="64" s="1"/>
  <c r="F26" i="64"/>
  <c r="F40" i="64" s="1"/>
  <c r="F31" i="64"/>
  <c r="F33" i="64" s="1"/>
  <c r="G32" i="64"/>
  <c r="H32" i="64" s="1"/>
  <c r="I32" i="64" s="1"/>
  <c r="E36" i="64"/>
  <c r="F36" i="64"/>
  <c r="J36" i="64"/>
  <c r="E37" i="64"/>
  <c r="F37" i="64"/>
  <c r="J37" i="64"/>
  <c r="K37" i="64" s="1"/>
  <c r="D38" i="64"/>
  <c r="E38" i="64"/>
  <c r="F38" i="64"/>
  <c r="J38" i="64"/>
  <c r="K38" i="64"/>
  <c r="D39" i="64"/>
  <c r="E39" i="64"/>
  <c r="F39" i="64"/>
  <c r="J39" i="64"/>
  <c r="K39" i="64" s="1"/>
  <c r="E40" i="64"/>
  <c r="J40" i="64"/>
  <c r="C43" i="64"/>
  <c r="F43" i="64"/>
  <c r="C44" i="64"/>
  <c r="E45" i="64"/>
  <c r="F45" i="64"/>
  <c r="F51" i="64" s="1"/>
  <c r="G46" i="64"/>
  <c r="H46" i="64" s="1"/>
  <c r="E48" i="64"/>
  <c r="E51" i="64" s="1"/>
  <c r="F48" i="64"/>
  <c r="G48" i="64" s="1"/>
  <c r="H48" i="64" s="1"/>
  <c r="I48" i="64" s="1"/>
  <c r="J48" i="64" s="1"/>
  <c r="G50" i="64"/>
  <c r="G112" i="64" s="1"/>
  <c r="H50" i="64"/>
  <c r="G54" i="64"/>
  <c r="H54" i="64" s="1"/>
  <c r="I54" i="64" s="1"/>
  <c r="J54" i="64" s="1"/>
  <c r="E55" i="64"/>
  <c r="F55" i="64"/>
  <c r="F59" i="64" s="1"/>
  <c r="G55" i="64"/>
  <c r="H55" i="64" s="1"/>
  <c r="I55" i="64" s="1"/>
  <c r="J55" i="64" s="1"/>
  <c r="E57" i="64"/>
  <c r="E59" i="64" s="1"/>
  <c r="F57" i="64"/>
  <c r="G57" i="64"/>
  <c r="H57" i="64" s="1"/>
  <c r="G61" i="64"/>
  <c r="H61" i="64" s="1"/>
  <c r="E62" i="64"/>
  <c r="G63" i="64"/>
  <c r="H63" i="64"/>
  <c r="I63" i="64" s="1"/>
  <c r="J63" i="64" s="1"/>
  <c r="K63" i="64" s="1"/>
  <c r="E64" i="64"/>
  <c r="F64" i="64"/>
  <c r="C69" i="64"/>
  <c r="H69" i="64"/>
  <c r="C70" i="64"/>
  <c r="G74" i="64"/>
  <c r="H74" i="64"/>
  <c r="G81" i="64"/>
  <c r="G82" i="64" s="1"/>
  <c r="H81" i="64"/>
  <c r="H82" i="64" s="1"/>
  <c r="I81" i="64"/>
  <c r="I82" i="64" s="1"/>
  <c r="G87" i="64"/>
  <c r="C93" i="64"/>
  <c r="F93" i="64"/>
  <c r="G93" i="64"/>
  <c r="H93" i="64"/>
  <c r="I93" i="64"/>
  <c r="C94" i="64"/>
  <c r="F94" i="64"/>
  <c r="G96" i="64"/>
  <c r="E99" i="64"/>
  <c r="F99" i="64"/>
  <c r="D101" i="64"/>
  <c r="E101" i="64"/>
  <c r="F101" i="64"/>
  <c r="G101" i="64" s="1"/>
  <c r="D106" i="64"/>
  <c r="D104" i="64" s="1"/>
  <c r="D105" i="64" s="1"/>
  <c r="E106" i="64"/>
  <c r="E104" i="64" s="1"/>
  <c r="E105" i="64" s="1"/>
  <c r="F106" i="64"/>
  <c r="F104" i="64" s="1"/>
  <c r="F105" i="64" s="1"/>
  <c r="G105" i="64" s="1"/>
  <c r="E112" i="64"/>
  <c r="F112" i="64"/>
  <c r="G109" i="64" s="1"/>
  <c r="G117" i="64"/>
  <c r="H117" i="64" s="1"/>
  <c r="I117" i="64" s="1"/>
  <c r="I87" i="64" s="1"/>
  <c r="G118" i="64"/>
  <c r="D119" i="64"/>
  <c r="E119" i="64"/>
  <c r="F119" i="64"/>
  <c r="G115" i="64" s="1"/>
  <c r="C122" i="64"/>
  <c r="F122" i="64"/>
  <c r="H122" i="64"/>
  <c r="I122" i="64"/>
  <c r="J122" i="64"/>
  <c r="C123" i="64"/>
  <c r="F123" i="64"/>
  <c r="D135" i="64"/>
  <c r="E135" i="64"/>
  <c r="F135" i="64"/>
  <c r="G132" i="64" s="1"/>
  <c r="C139" i="64"/>
  <c r="F139" i="64"/>
  <c r="H139" i="64"/>
  <c r="I139" i="64"/>
  <c r="J139" i="64"/>
  <c r="C140" i="64"/>
  <c r="F140" i="64"/>
  <c r="D142" i="64"/>
  <c r="E142" i="64"/>
  <c r="F142" i="64"/>
  <c r="G145" i="64"/>
  <c r="H145" i="64" s="1"/>
  <c r="I145" i="64" s="1"/>
  <c r="J145" i="64" s="1"/>
  <c r="K145" i="64" s="1"/>
  <c r="E146" i="64"/>
  <c r="F146" i="64"/>
  <c r="F147" i="64" s="1"/>
  <c r="E147" i="64"/>
  <c r="E152" i="64" s="1"/>
  <c r="E151" i="64" s="1"/>
  <c r="E150" i="64"/>
  <c r="F150" i="64"/>
  <c r="G150" i="64"/>
  <c r="H150" i="64"/>
  <c r="G155" i="64"/>
  <c r="H155" i="64" s="1"/>
  <c r="I155" i="64" s="1"/>
  <c r="J155" i="64" s="1"/>
  <c r="K155" i="64" s="1"/>
  <c r="D156" i="64"/>
  <c r="E156" i="64"/>
  <c r="F156" i="64"/>
  <c r="D32" i="70" l="1"/>
  <c r="D34" i="70" s="1"/>
  <c r="D27" i="70"/>
  <c r="G84" i="64"/>
  <c r="J187" i="70"/>
  <c r="J176" i="70"/>
  <c r="J38" i="70" s="1"/>
  <c r="E151" i="70"/>
  <c r="D38" i="70"/>
  <c r="K190" i="70"/>
  <c r="J177" i="70"/>
  <c r="J39" i="70" s="1"/>
  <c r="J117" i="64"/>
  <c r="J38" i="71"/>
  <c r="F66" i="64"/>
  <c r="J191" i="70"/>
  <c r="G152" i="70"/>
  <c r="H152" i="70" s="1"/>
  <c r="I152" i="70" s="1"/>
  <c r="F152" i="70"/>
  <c r="F152" i="64"/>
  <c r="H208" i="70"/>
  <c r="E148" i="70"/>
  <c r="E153" i="70" s="1"/>
  <c r="E152" i="70" s="1"/>
  <c r="G126" i="64"/>
  <c r="D37" i="64"/>
  <c r="F28" i="64"/>
  <c r="F116" i="64" s="1"/>
  <c r="E52" i="70"/>
  <c r="E67" i="70" s="1"/>
  <c r="I13" i="71"/>
  <c r="K36" i="64"/>
  <c r="K54" i="64" s="1"/>
  <c r="J97" i="64"/>
  <c r="J58" i="64"/>
  <c r="J195" i="70"/>
  <c r="J178" i="70"/>
  <c r="J40" i="70" s="1"/>
  <c r="I119" i="70"/>
  <c r="F60" i="70"/>
  <c r="I39" i="71"/>
  <c r="H37" i="71"/>
  <c r="G37" i="71"/>
  <c r="F199" i="70"/>
  <c r="G124" i="70"/>
  <c r="F95" i="70"/>
  <c r="F44" i="70"/>
  <c r="G15" i="70"/>
  <c r="F124" i="70"/>
  <c r="G199" i="70"/>
  <c r="G95" i="70"/>
  <c r="F140" i="70"/>
  <c r="G174" i="70"/>
  <c r="F123" i="70"/>
  <c r="G139" i="64"/>
  <c r="G122" i="64"/>
  <c r="G69" i="64"/>
  <c r="F44" i="64"/>
  <c r="E14" i="64"/>
  <c r="G140" i="64"/>
  <c r="J43" i="64"/>
  <c r="E140" i="64"/>
  <c r="J93" i="64"/>
  <c r="I43" i="64"/>
  <c r="G78" i="64"/>
  <c r="H109" i="64"/>
  <c r="I46" i="64"/>
  <c r="I50" i="64"/>
  <c r="H112" i="64"/>
  <c r="G86" i="64"/>
  <c r="H118" i="64"/>
  <c r="G99" i="64"/>
  <c r="D26" i="64"/>
  <c r="D31" i="64"/>
  <c r="D33" i="64" s="1"/>
  <c r="H15" i="64"/>
  <c r="G94" i="64"/>
  <c r="G44" i="64"/>
  <c r="G70" i="64"/>
  <c r="I57" i="64"/>
  <c r="H84" i="64"/>
  <c r="E44" i="64"/>
  <c r="D15" i="64"/>
  <c r="E94" i="64"/>
  <c r="I74" i="64"/>
  <c r="J32" i="64"/>
  <c r="K93" i="64"/>
  <c r="K122" i="64"/>
  <c r="K139" i="64"/>
  <c r="K43" i="64"/>
  <c r="G104" i="64"/>
  <c r="G110" i="64" s="1"/>
  <c r="G111" i="64" s="1"/>
  <c r="G77" i="64" s="1"/>
  <c r="H105" i="64"/>
  <c r="I61" i="64"/>
  <c r="E66" i="64"/>
  <c r="G98" i="64"/>
  <c r="G106" i="64" s="1"/>
  <c r="G30" i="64" s="1"/>
  <c r="G73" i="64" s="1"/>
  <c r="H101" i="64"/>
  <c r="H87" i="64"/>
  <c r="K69" i="64"/>
  <c r="K40" i="64"/>
  <c r="J69" i="64"/>
  <c r="H43" i="64"/>
  <c r="I69" i="64"/>
  <c r="G43" i="64"/>
  <c r="H88" i="70"/>
  <c r="I118" i="70"/>
  <c r="K187" i="70"/>
  <c r="K185" i="70"/>
  <c r="K38" i="70"/>
  <c r="K182" i="70"/>
  <c r="K175" i="70" s="1"/>
  <c r="J183" i="70"/>
  <c r="J181" i="70"/>
  <c r="I17" i="64"/>
  <c r="H20" i="64"/>
  <c r="H19" i="64"/>
  <c r="G20" i="64"/>
  <c r="G19" i="64"/>
  <c r="H106" i="70"/>
  <c r="H39" i="70"/>
  <c r="I39" i="70"/>
  <c r="K40" i="70"/>
  <c r="H38" i="70"/>
  <c r="I38" i="70"/>
  <c r="K195" i="70"/>
  <c r="K193" i="70"/>
  <c r="G99" i="70"/>
  <c r="H102" i="70"/>
  <c r="G58" i="70"/>
  <c r="G45" i="70"/>
  <c r="G4" i="71"/>
  <c r="H16" i="70"/>
  <c r="G71" i="70"/>
  <c r="J193" i="70"/>
  <c r="J185" i="70"/>
  <c r="F23" i="70"/>
  <c r="F38" i="70"/>
  <c r="G3" i="71"/>
  <c r="G44" i="70"/>
  <c r="F52" i="70"/>
  <c r="G127" i="70"/>
  <c r="E23" i="70"/>
  <c r="E38" i="70"/>
  <c r="E34" i="71"/>
  <c r="J39" i="71"/>
  <c r="E16" i="70"/>
  <c r="F4" i="71"/>
  <c r="K37" i="71"/>
  <c r="F33" i="71"/>
  <c r="J37" i="71"/>
  <c r="H13" i="71"/>
  <c r="H14" i="71" s="1"/>
  <c r="F32" i="71"/>
  <c r="E15" i="70"/>
  <c r="F3" i="71"/>
  <c r="J87" i="64" l="1"/>
  <c r="K117" i="64"/>
  <c r="K87" i="64" s="1"/>
  <c r="H22" i="64"/>
  <c r="F67" i="70"/>
  <c r="I87" i="70"/>
  <c r="J119" i="70"/>
  <c r="I208" i="70"/>
  <c r="K48" i="64"/>
  <c r="K55" i="64"/>
  <c r="D29" i="70"/>
  <c r="D41" i="70"/>
  <c r="I14" i="71"/>
  <c r="K177" i="70"/>
  <c r="K39" i="70" s="1"/>
  <c r="K191" i="70"/>
  <c r="K189" i="70"/>
  <c r="F151" i="64"/>
  <c r="G151" i="64" s="1"/>
  <c r="K58" i="64"/>
  <c r="K97" i="64"/>
  <c r="K81" i="64" s="1"/>
  <c r="K82" i="64" s="1"/>
  <c r="J81" i="64"/>
  <c r="J82" i="64" s="1"/>
  <c r="G51" i="70"/>
  <c r="G70" i="70"/>
  <c r="G173" i="70"/>
  <c r="G123" i="70"/>
  <c r="G94" i="70"/>
  <c r="G198" i="70"/>
  <c r="H15" i="70"/>
  <c r="G140" i="70"/>
  <c r="D14" i="64"/>
  <c r="E122" i="64"/>
  <c r="E139" i="64"/>
  <c r="E93" i="64"/>
  <c r="E43" i="64"/>
  <c r="J17" i="64"/>
  <c r="I20" i="64"/>
  <c r="I19" i="64"/>
  <c r="I21" i="64"/>
  <c r="H78" i="64"/>
  <c r="I15" i="64"/>
  <c r="H70" i="64"/>
  <c r="H94" i="64"/>
  <c r="H44" i="64"/>
  <c r="H123" i="64"/>
  <c r="H140" i="64"/>
  <c r="H98" i="64"/>
  <c r="I101" i="64"/>
  <c r="H104" i="64"/>
  <c r="H110" i="64" s="1"/>
  <c r="H111" i="64" s="1"/>
  <c r="H77" i="64" s="1"/>
  <c r="I105" i="64"/>
  <c r="J74" i="64"/>
  <c r="K32" i="64"/>
  <c r="K74" i="64" s="1"/>
  <c r="I84" i="64"/>
  <c r="J57" i="64"/>
  <c r="I150" i="64"/>
  <c r="I109" i="64"/>
  <c r="I88" i="70"/>
  <c r="J118" i="70"/>
  <c r="J61" i="64"/>
  <c r="I106" i="70"/>
  <c r="J50" i="64"/>
  <c r="I112" i="64"/>
  <c r="E4" i="71"/>
  <c r="D16" i="70"/>
  <c r="E95" i="70"/>
  <c r="E124" i="70"/>
  <c r="E141" i="70"/>
  <c r="E45" i="70"/>
  <c r="E199" i="70"/>
  <c r="J152" i="70"/>
  <c r="G18" i="64"/>
  <c r="G22" i="64"/>
  <c r="G85" i="70"/>
  <c r="G151" i="70"/>
  <c r="H58" i="70"/>
  <c r="E27" i="70"/>
  <c r="E32" i="70"/>
  <c r="E34" i="70" s="1"/>
  <c r="F27" i="70"/>
  <c r="F32" i="70"/>
  <c r="F34" i="70" s="1"/>
  <c r="I16" i="70"/>
  <c r="H45" i="70"/>
  <c r="H199" i="70"/>
  <c r="H4" i="71"/>
  <c r="H141" i="70"/>
  <c r="H71" i="70"/>
  <c r="H95" i="70"/>
  <c r="H174" i="70"/>
  <c r="H124" i="70"/>
  <c r="H99" i="70"/>
  <c r="I102" i="70"/>
  <c r="K183" i="70"/>
  <c r="K181" i="70"/>
  <c r="K37" i="70"/>
  <c r="K98" i="70" s="1"/>
  <c r="K82" i="70" s="1"/>
  <c r="K83" i="70" s="1"/>
  <c r="D40" i="64"/>
  <c r="D28" i="64"/>
  <c r="D116" i="64" s="1"/>
  <c r="G100" i="70"/>
  <c r="G49" i="64"/>
  <c r="H96" i="64"/>
  <c r="E3" i="71"/>
  <c r="E94" i="70"/>
  <c r="E123" i="70"/>
  <c r="D15" i="70"/>
  <c r="E44" i="70"/>
  <c r="E140" i="70"/>
  <c r="E198" i="70"/>
  <c r="H18" i="64"/>
  <c r="D123" i="64"/>
  <c r="D140" i="64"/>
  <c r="D94" i="64"/>
  <c r="H86" i="64"/>
  <c r="I118" i="64"/>
  <c r="J46" i="64"/>
  <c r="G152" i="64" l="1"/>
  <c r="H151" i="64"/>
  <c r="D218" i="70"/>
  <c r="D201" i="70"/>
  <c r="D117" i="70"/>
  <c r="K13" i="71"/>
  <c r="J13" i="71"/>
  <c r="J14" i="71" s="1"/>
  <c r="J87" i="70"/>
  <c r="J208" i="70"/>
  <c r="K119" i="70"/>
  <c r="H99" i="64"/>
  <c r="G18" i="70"/>
  <c r="G20" i="70" s="1"/>
  <c r="G47" i="70"/>
  <c r="H47" i="70" s="1"/>
  <c r="G49" i="70"/>
  <c r="H49" i="70" s="1"/>
  <c r="I49" i="70" s="1"/>
  <c r="J49" i="70" s="1"/>
  <c r="K49" i="70" s="1"/>
  <c r="G33" i="70"/>
  <c r="G209" i="70" s="1"/>
  <c r="G59" i="70"/>
  <c r="G55" i="70"/>
  <c r="H55" i="70" s="1"/>
  <c r="I55" i="70" s="1"/>
  <c r="J55" i="70" s="1"/>
  <c r="K55" i="70" s="1"/>
  <c r="G56" i="70"/>
  <c r="H56" i="70" s="1"/>
  <c r="I56" i="70" s="1"/>
  <c r="J56" i="70" s="1"/>
  <c r="K56" i="70" s="1"/>
  <c r="H173" i="70"/>
  <c r="H70" i="70"/>
  <c r="H123" i="70"/>
  <c r="H94" i="70"/>
  <c r="H198" i="70"/>
  <c r="H140" i="70"/>
  <c r="H44" i="70"/>
  <c r="I15" i="70"/>
  <c r="H3" i="71"/>
  <c r="D122" i="64"/>
  <c r="D139" i="64"/>
  <c r="D93" i="64"/>
  <c r="K46" i="64"/>
  <c r="D3" i="71"/>
  <c r="D94" i="70"/>
  <c r="D198" i="70"/>
  <c r="D140" i="70"/>
  <c r="D123" i="70"/>
  <c r="J106" i="70"/>
  <c r="H106" i="64"/>
  <c r="H30" i="64" s="1"/>
  <c r="H73" i="64" s="1"/>
  <c r="K152" i="70"/>
  <c r="I98" i="64"/>
  <c r="J101" i="64"/>
  <c r="H97" i="70"/>
  <c r="H100" i="70" s="1"/>
  <c r="G50" i="70"/>
  <c r="E29" i="70"/>
  <c r="E218" i="70" s="1"/>
  <c r="F219" i="70" s="1"/>
  <c r="E41" i="70"/>
  <c r="J109" i="64"/>
  <c r="K61" i="64"/>
  <c r="H51" i="70"/>
  <c r="G113" i="70"/>
  <c r="J150" i="64"/>
  <c r="J84" i="64"/>
  <c r="K57" i="64"/>
  <c r="I78" i="64"/>
  <c r="I96" i="64"/>
  <c r="H49" i="64"/>
  <c r="I99" i="70"/>
  <c r="J102" i="70"/>
  <c r="K50" i="64"/>
  <c r="K112" i="64" s="1"/>
  <c r="J112" i="64"/>
  <c r="K118" i="70"/>
  <c r="K88" i="70" s="1"/>
  <c r="J88" i="70"/>
  <c r="I18" i="64"/>
  <c r="I22" i="64"/>
  <c r="F29" i="70"/>
  <c r="F218" i="70" s="1"/>
  <c r="F41" i="70"/>
  <c r="I58" i="70"/>
  <c r="H85" i="70"/>
  <c r="H151" i="70"/>
  <c r="D4" i="71"/>
  <c r="D95" i="70"/>
  <c r="D124" i="70"/>
  <c r="D141" i="70"/>
  <c r="D199" i="70"/>
  <c r="I86" i="64"/>
  <c r="J118" i="64"/>
  <c r="J16" i="70"/>
  <c r="I4" i="71"/>
  <c r="I95" i="70"/>
  <c r="I45" i="70"/>
  <c r="I199" i="70"/>
  <c r="I71" i="70"/>
  <c r="I174" i="70"/>
  <c r="I124" i="70"/>
  <c r="I141" i="70"/>
  <c r="G153" i="70"/>
  <c r="G31" i="64"/>
  <c r="G33" i="64" s="1"/>
  <c r="J15" i="64"/>
  <c r="I70" i="64"/>
  <c r="I94" i="64"/>
  <c r="I123" i="64"/>
  <c r="I140" i="64"/>
  <c r="I44" i="64"/>
  <c r="J21" i="64"/>
  <c r="K17" i="64"/>
  <c r="J19" i="64"/>
  <c r="J20" i="64"/>
  <c r="G53" i="64"/>
  <c r="G47" i="64"/>
  <c r="I104" i="64"/>
  <c r="I110" i="64" s="1"/>
  <c r="I111" i="64" s="1"/>
  <c r="I77" i="64" s="1"/>
  <c r="J105" i="64"/>
  <c r="G202" i="70" l="1"/>
  <c r="G205" i="70" s="1"/>
  <c r="K14" i="71"/>
  <c r="K208" i="70"/>
  <c r="K87" i="70"/>
  <c r="D203" i="70"/>
  <c r="D206" i="70"/>
  <c r="E219" i="70"/>
  <c r="H152" i="64"/>
  <c r="I151" i="64"/>
  <c r="H33" i="70"/>
  <c r="H209" i="70" s="1"/>
  <c r="H214" i="70" s="1"/>
  <c r="H18" i="70"/>
  <c r="H22" i="70" s="1"/>
  <c r="G21" i="70"/>
  <c r="G105" i="70"/>
  <c r="G111" i="70" s="1"/>
  <c r="G112" i="70" s="1"/>
  <c r="G78" i="70" s="1"/>
  <c r="G22" i="70"/>
  <c r="G75" i="70"/>
  <c r="G62" i="70"/>
  <c r="H59" i="70"/>
  <c r="G79" i="70"/>
  <c r="I3" i="71"/>
  <c r="I70" i="70"/>
  <c r="I44" i="70"/>
  <c r="I94" i="70"/>
  <c r="I123" i="70"/>
  <c r="I198" i="70"/>
  <c r="I140" i="70"/>
  <c r="J15" i="70"/>
  <c r="I173" i="70"/>
  <c r="K109" i="64"/>
  <c r="J58" i="70"/>
  <c r="I85" i="70"/>
  <c r="I151" i="70"/>
  <c r="I153" i="70" s="1"/>
  <c r="K111" i="64"/>
  <c r="K77" i="64" s="1"/>
  <c r="J99" i="70"/>
  <c r="K102" i="70"/>
  <c r="K99" i="70" s="1"/>
  <c r="J98" i="64"/>
  <c r="K101" i="64"/>
  <c r="K98" i="64" s="1"/>
  <c r="H47" i="64"/>
  <c r="G75" i="64"/>
  <c r="F117" i="70"/>
  <c r="F201" i="70"/>
  <c r="F206" i="70" s="1"/>
  <c r="I106" i="64"/>
  <c r="I30" i="64" s="1"/>
  <c r="I73" i="64" s="1"/>
  <c r="J4" i="71"/>
  <c r="J95" i="70"/>
  <c r="J45" i="70"/>
  <c r="J124" i="70"/>
  <c r="J174" i="70"/>
  <c r="J199" i="70"/>
  <c r="J71" i="70"/>
  <c r="J141" i="70"/>
  <c r="K16" i="70"/>
  <c r="K84" i="64"/>
  <c r="K150" i="64"/>
  <c r="K106" i="70"/>
  <c r="G76" i="64"/>
  <c r="H53" i="64"/>
  <c r="J86" i="64"/>
  <c r="K118" i="64"/>
  <c r="K86" i="64" s="1"/>
  <c r="K78" i="64"/>
  <c r="J78" i="64"/>
  <c r="H110" i="70"/>
  <c r="I47" i="70"/>
  <c r="I51" i="70"/>
  <c r="H113" i="70"/>
  <c r="J70" i="64"/>
  <c r="J94" i="64"/>
  <c r="J123" i="64"/>
  <c r="J140" i="64"/>
  <c r="K15" i="64"/>
  <c r="J44" i="64"/>
  <c r="H153" i="70"/>
  <c r="I99" i="64"/>
  <c r="E117" i="70"/>
  <c r="E201" i="70"/>
  <c r="E206" i="70" s="1"/>
  <c r="H50" i="70"/>
  <c r="I97" i="70"/>
  <c r="I100" i="70" s="1"/>
  <c r="K21" i="64"/>
  <c r="K19" i="64"/>
  <c r="K20" i="64"/>
  <c r="J104" i="64"/>
  <c r="J110" i="64" s="1"/>
  <c r="J111" i="64" s="1"/>
  <c r="J77" i="64" s="1"/>
  <c r="K105" i="64"/>
  <c r="K104" i="64" s="1"/>
  <c r="K110" i="64" s="1"/>
  <c r="J22" i="64"/>
  <c r="J18" i="64"/>
  <c r="G19" i="70"/>
  <c r="H31" i="64"/>
  <c r="H33" i="64" s="1"/>
  <c r="K106" i="64" l="1"/>
  <c r="K30" i="64" s="1"/>
  <c r="K73" i="64" s="1"/>
  <c r="J106" i="64"/>
  <c r="J30" i="64" s="1"/>
  <c r="J73" i="64" s="1"/>
  <c r="I152" i="64"/>
  <c r="J151" i="64"/>
  <c r="H202" i="70"/>
  <c r="H205" i="70" s="1"/>
  <c r="H62" i="70"/>
  <c r="I33" i="70"/>
  <c r="I209" i="70" s="1"/>
  <c r="I214" i="70" s="1"/>
  <c r="H75" i="70"/>
  <c r="G214" i="70"/>
  <c r="G215" i="70" s="1"/>
  <c r="H105" i="70"/>
  <c r="H111" i="70" s="1"/>
  <c r="H112" i="70" s="1"/>
  <c r="H78" i="70" s="1"/>
  <c r="H21" i="70"/>
  <c r="H20" i="70"/>
  <c r="H19" i="70" s="1"/>
  <c r="I18" i="70"/>
  <c r="I21" i="70" s="1"/>
  <c r="G23" i="70"/>
  <c r="G107" i="70"/>
  <c r="G31" i="70" s="1"/>
  <c r="G74" i="70" s="1"/>
  <c r="I59" i="70"/>
  <c r="H79" i="70"/>
  <c r="J94" i="70"/>
  <c r="K15" i="70"/>
  <c r="J70" i="70"/>
  <c r="J44" i="70"/>
  <c r="J123" i="70"/>
  <c r="J140" i="70"/>
  <c r="J198" i="70"/>
  <c r="J3" i="71"/>
  <c r="J173" i="70"/>
  <c r="F203" i="70"/>
  <c r="I113" i="70"/>
  <c r="J51" i="70"/>
  <c r="K70" i="64"/>
  <c r="K44" i="64"/>
  <c r="K123" i="64"/>
  <c r="K140" i="64"/>
  <c r="K94" i="64"/>
  <c r="I50" i="70"/>
  <c r="J97" i="70"/>
  <c r="J100" i="70" s="1"/>
  <c r="H76" i="64"/>
  <c r="I53" i="64"/>
  <c r="J96" i="64"/>
  <c r="J99" i="64" s="1"/>
  <c r="I49" i="64"/>
  <c r="K4" i="71"/>
  <c r="K71" i="70"/>
  <c r="K95" i="70"/>
  <c r="K45" i="70"/>
  <c r="K124" i="70"/>
  <c r="K174" i="70"/>
  <c r="K199" i="70"/>
  <c r="K141" i="70"/>
  <c r="J31" i="64"/>
  <c r="J33" i="64" s="1"/>
  <c r="I31" i="64"/>
  <c r="I33" i="64" s="1"/>
  <c r="I47" i="64"/>
  <c r="H75" i="64"/>
  <c r="K58" i="70"/>
  <c r="J85" i="70"/>
  <c r="J151" i="70"/>
  <c r="J153" i="70" s="1"/>
  <c r="G48" i="70"/>
  <c r="G54" i="70"/>
  <c r="K22" i="64"/>
  <c r="K18" i="64"/>
  <c r="I110" i="70"/>
  <c r="E203" i="70"/>
  <c r="J47" i="70"/>
  <c r="K151" i="64" l="1"/>
  <c r="K152" i="64" s="1"/>
  <c r="J152" i="64"/>
  <c r="J33" i="70"/>
  <c r="J209" i="70" s="1"/>
  <c r="J214" i="70" s="1"/>
  <c r="I75" i="70"/>
  <c r="I202" i="70"/>
  <c r="I62" i="70"/>
  <c r="H213" i="70"/>
  <c r="H215" i="70" s="1"/>
  <c r="G216" i="70"/>
  <c r="I22" i="70"/>
  <c r="I20" i="70"/>
  <c r="I19" i="70" s="1"/>
  <c r="J18" i="70"/>
  <c r="J20" i="70" s="1"/>
  <c r="H107" i="70"/>
  <c r="H31" i="70" s="1"/>
  <c r="H74" i="70" s="1"/>
  <c r="H23" i="70"/>
  <c r="I105" i="70"/>
  <c r="I107" i="70" s="1"/>
  <c r="I31" i="70" s="1"/>
  <c r="I74" i="70" s="1"/>
  <c r="G32" i="70"/>
  <c r="G34" i="70" s="1"/>
  <c r="J59" i="70"/>
  <c r="I79" i="70"/>
  <c r="K198" i="70"/>
  <c r="K3" i="71"/>
  <c r="K140" i="70"/>
  <c r="K173" i="70"/>
  <c r="K94" i="70"/>
  <c r="K70" i="70"/>
  <c r="K44" i="70"/>
  <c r="K123" i="70"/>
  <c r="K47" i="70"/>
  <c r="J47" i="64"/>
  <c r="I75" i="64"/>
  <c r="H48" i="70"/>
  <c r="G76" i="70"/>
  <c r="K96" i="64"/>
  <c r="K99" i="64" s="1"/>
  <c r="K49" i="64" s="1"/>
  <c r="J49" i="64"/>
  <c r="K31" i="64"/>
  <c r="K33" i="64" s="1"/>
  <c r="I76" i="64"/>
  <c r="J53" i="64"/>
  <c r="J50" i="70"/>
  <c r="K97" i="70"/>
  <c r="K100" i="70" s="1"/>
  <c r="K50" i="70" s="1"/>
  <c r="J113" i="70"/>
  <c r="K51" i="70"/>
  <c r="K113" i="70" s="1"/>
  <c r="J110" i="70"/>
  <c r="K85" i="70"/>
  <c r="K151" i="70"/>
  <c r="K153" i="70" s="1"/>
  <c r="H54" i="70"/>
  <c r="G77" i="70"/>
  <c r="J75" i="70" l="1"/>
  <c r="K33" i="70"/>
  <c r="K209" i="70" s="1"/>
  <c r="K214" i="70" s="1"/>
  <c r="J62" i="70"/>
  <c r="J202" i="70"/>
  <c r="I205" i="70"/>
  <c r="I213" i="70"/>
  <c r="I215" i="70" s="1"/>
  <c r="H216" i="70"/>
  <c r="I23" i="70"/>
  <c r="I32" i="70" s="1"/>
  <c r="I34" i="70" s="1"/>
  <c r="J21" i="70"/>
  <c r="J22" i="70"/>
  <c r="K18" i="70"/>
  <c r="K20" i="70" s="1"/>
  <c r="J105" i="70"/>
  <c r="J111" i="70" s="1"/>
  <c r="J112" i="70" s="1"/>
  <c r="J78" i="70" s="1"/>
  <c r="H32" i="70"/>
  <c r="H34" i="70" s="1"/>
  <c r="I111" i="70"/>
  <c r="I112" i="70" s="1"/>
  <c r="I78" i="70" s="1"/>
  <c r="K59" i="70"/>
  <c r="K79" i="70" s="1"/>
  <c r="J79" i="70"/>
  <c r="K47" i="64"/>
  <c r="K75" i="64" s="1"/>
  <c r="J75" i="64"/>
  <c r="I48" i="70"/>
  <c r="H76" i="70"/>
  <c r="I54" i="70"/>
  <c r="H77" i="70"/>
  <c r="J76" i="64"/>
  <c r="K53" i="64"/>
  <c r="K110" i="70"/>
  <c r="J19" i="70"/>
  <c r="K75" i="70" l="1"/>
  <c r="K62" i="70"/>
  <c r="J205" i="70"/>
  <c r="K202" i="70"/>
  <c r="J213" i="70"/>
  <c r="J215" i="70" s="1"/>
  <c r="I216" i="70"/>
  <c r="J23" i="70"/>
  <c r="J107" i="70"/>
  <c r="J31" i="70" s="1"/>
  <c r="J74" i="70" s="1"/>
  <c r="K105" i="70"/>
  <c r="K111" i="70" s="1"/>
  <c r="K112" i="70" s="1"/>
  <c r="K78" i="70" s="1"/>
  <c r="K21" i="70"/>
  <c r="K22" i="70"/>
  <c r="J54" i="70"/>
  <c r="I77" i="70"/>
  <c r="J48" i="70"/>
  <c r="I76" i="70"/>
  <c r="K76" i="64"/>
  <c r="K19" i="70"/>
  <c r="K205" i="70" l="1"/>
  <c r="J216" i="70"/>
  <c r="K213" i="70"/>
  <c r="K215" i="70" s="1"/>
  <c r="K216" i="70" s="1"/>
  <c r="J32" i="70"/>
  <c r="J34" i="70" s="1"/>
  <c r="K107" i="70"/>
  <c r="K31" i="70" s="1"/>
  <c r="K74" i="70" s="1"/>
  <c r="K23" i="70"/>
  <c r="K48" i="70"/>
  <c r="K76" i="70" s="1"/>
  <c r="J76" i="70"/>
  <c r="J77" i="70"/>
  <c r="K54" i="70"/>
  <c r="K32" i="70" l="1"/>
  <c r="K34" i="70" s="1"/>
  <c r="K77" i="70"/>
  <c r="H23" i="84"/>
  <c r="I23" i="84"/>
  <c r="J23" i="84"/>
  <c r="K23" i="84"/>
  <c r="L23" i="84"/>
  <c r="H24" i="84"/>
  <c r="I24" i="84"/>
  <c r="J24" i="84"/>
  <c r="K24" i="84"/>
  <c r="L24" i="84"/>
  <c r="H26" i="84"/>
  <c r="I26" i="84"/>
  <c r="J26" i="84"/>
  <c r="K26" i="84"/>
  <c r="L26" i="84"/>
  <c r="H27" i="84"/>
  <c r="I27" i="84"/>
  <c r="J27" i="84"/>
  <c r="K27" i="84"/>
  <c r="L27" i="84"/>
  <c r="H28" i="84"/>
  <c r="I28" i="84"/>
  <c r="J28" i="84"/>
  <c r="K28" i="84"/>
  <c r="L28" i="84"/>
  <c r="H45" i="84"/>
  <c r="I45" i="84"/>
  <c r="J45" i="84"/>
  <c r="K45" i="84"/>
  <c r="L45" i="84"/>
  <c r="H51" i="84"/>
  <c r="I51" i="84"/>
  <c r="J51" i="84"/>
  <c r="K51" i="84"/>
  <c r="L51" i="84"/>
  <c r="H56" i="84"/>
  <c r="I56" i="84"/>
  <c r="J56" i="84"/>
  <c r="K56" i="84"/>
  <c r="L56" i="84"/>
  <c r="H59" i="84"/>
  <c r="I59" i="84"/>
  <c r="J59" i="84"/>
  <c r="K59" i="84"/>
  <c r="L59" i="84"/>
  <c r="H62" i="84"/>
  <c r="I62" i="84"/>
  <c r="J62" i="84"/>
  <c r="K62" i="84"/>
  <c r="L62" i="84"/>
  <c r="H64" i="84"/>
  <c r="I64" i="84"/>
  <c r="J64" i="84"/>
  <c r="K64" i="84"/>
  <c r="L64" i="84"/>
  <c r="H66" i="84"/>
  <c r="I66" i="84"/>
  <c r="J66" i="84"/>
  <c r="K66" i="84"/>
  <c r="L66" i="84"/>
  <c r="H72" i="84"/>
  <c r="I72" i="84"/>
  <c r="J72" i="84"/>
  <c r="K72" i="84"/>
  <c r="L72" i="84"/>
  <c r="H79" i="84"/>
  <c r="I79" i="84"/>
  <c r="J79" i="84"/>
  <c r="K79" i="84"/>
  <c r="L79" i="84"/>
  <c r="H85" i="84"/>
  <c r="I85" i="84"/>
  <c r="J85" i="84"/>
  <c r="K85" i="84"/>
  <c r="L85" i="84"/>
  <c r="H87" i="84"/>
  <c r="I87" i="84"/>
  <c r="J87" i="84"/>
  <c r="K87" i="84"/>
  <c r="L87" i="84"/>
  <c r="H88" i="84"/>
  <c r="I88" i="84"/>
  <c r="J88" i="84"/>
  <c r="K88" i="84"/>
  <c r="L88" i="84"/>
  <c r="H90" i="84"/>
  <c r="I90" i="84"/>
  <c r="J90" i="84"/>
  <c r="K90" i="84"/>
  <c r="L90" i="84"/>
  <c r="I115" i="84"/>
  <c r="J115" i="84"/>
  <c r="K115" i="84"/>
  <c r="L115" i="84"/>
  <c r="H116" i="84"/>
  <c r="I116" i="84"/>
  <c r="J116" i="84"/>
  <c r="K116" i="84"/>
  <c r="L116" i="84"/>
  <c r="H117" i="84"/>
  <c r="I117" i="84"/>
  <c r="J117" i="84"/>
  <c r="K117" i="84"/>
  <c r="L117" i="84"/>
  <c r="H119" i="84"/>
  <c r="I119" i="84"/>
  <c r="J119" i="84"/>
  <c r="K119" i="84"/>
  <c r="L119" i="84"/>
  <c r="I126" i="84"/>
  <c r="J126" i="84"/>
  <c r="K126" i="84"/>
  <c r="L126" i="84"/>
  <c r="H128" i="84"/>
  <c r="I128" i="84"/>
  <c r="J128" i="84"/>
  <c r="K128" i="84"/>
  <c r="L128" i="84"/>
  <c r="H129" i="84"/>
  <c r="I129" i="84"/>
  <c r="J129" i="84"/>
  <c r="K129" i="84"/>
  <c r="L129" i="84"/>
  <c r="I132" i="84"/>
  <c r="J132" i="84"/>
  <c r="K132" i="84"/>
  <c r="L132" i="84"/>
  <c r="H133" i="84"/>
  <c r="I133" i="84"/>
  <c r="J133" i="84"/>
  <c r="K133" i="84"/>
  <c r="L133" i="84"/>
  <c r="H135" i="84"/>
  <c r="I135" i="84"/>
  <c r="J135" i="84"/>
  <c r="K135" i="84"/>
  <c r="L135" i="84"/>
  <c r="H136" i="84"/>
  <c r="I136" i="84"/>
  <c r="J136" i="84"/>
  <c r="K136" i="84"/>
  <c r="L136" i="84"/>
  <c r="H142" i="84"/>
  <c r="I142" i="84"/>
  <c r="J142" i="84"/>
  <c r="K142" i="84"/>
  <c r="L142" i="84"/>
  <c r="H146" i="84"/>
  <c r="I146" i="84"/>
  <c r="J146" i="84"/>
  <c r="K146" i="84"/>
  <c r="L146" i="84"/>
  <c r="H147" i="84"/>
  <c r="I147" i="84"/>
  <c r="J147" i="84"/>
  <c r="K147" i="84"/>
  <c r="L147" i="84"/>
  <c r="H156" i="84"/>
  <c r="I156" i="84"/>
  <c r="J156" i="84"/>
  <c r="K156" i="84"/>
  <c r="L156" i="84"/>
  <c r="H162" i="84"/>
  <c r="I162" i="84"/>
  <c r="J162" i="84"/>
  <c r="K162" i="84"/>
  <c r="L162" i="84"/>
  <c r="I163" i="84"/>
  <c r="J163" i="84"/>
  <c r="K163" i="84"/>
  <c r="L163" i="84"/>
  <c r="H164" i="84"/>
  <c r="I164" i="84"/>
  <c r="J164" i="84"/>
  <c r="K164" i="84"/>
  <c r="L164" i="84"/>
  <c r="I166" i="84"/>
  <c r="J166" i="84"/>
  <c r="K166" i="84"/>
  <c r="L166" i="84"/>
  <c r="H167" i="84"/>
  <c r="I167" i="84"/>
  <c r="J167" i="84"/>
  <c r="K167" i="84"/>
  <c r="L167" i="84"/>
  <c r="I171" i="84"/>
  <c r="J171" i="84"/>
  <c r="K171" i="84"/>
  <c r="L171" i="84"/>
  <c r="I172" i="84"/>
  <c r="J172" i="84"/>
  <c r="K172" i="84"/>
  <c r="L172" i="84"/>
  <c r="J174" i="84"/>
  <c r="K174" i="84"/>
  <c r="L174" i="84"/>
  <c r="I175" i="84"/>
  <c r="J175" i="84"/>
  <c r="K175" i="84"/>
  <c r="L175" i="84"/>
  <c r="I176" i="84"/>
  <c r="J176" i="84"/>
  <c r="K176" i="84"/>
  <c r="L176" i="84"/>
  <c r="I177" i="84"/>
  <c r="J177" i="84"/>
  <c r="K177" i="84"/>
  <c r="L177" i="84"/>
  <c r="G24" i="70"/>
  <c r="H24" i="70"/>
  <c r="I24" i="70"/>
  <c r="J24" i="70"/>
  <c r="K24" i="70"/>
  <c r="G25" i="70"/>
  <c r="H25" i="70"/>
  <c r="I25" i="70"/>
  <c r="J25" i="70"/>
  <c r="K25" i="70"/>
  <c r="G27" i="70"/>
  <c r="H27" i="70"/>
  <c r="I27" i="70"/>
  <c r="J27" i="70"/>
  <c r="K27" i="70"/>
  <c r="G28" i="70"/>
  <c r="H28" i="70"/>
  <c r="I28" i="70"/>
  <c r="J28" i="70"/>
  <c r="K28" i="70"/>
  <c r="G29" i="70"/>
  <c r="H29" i="70"/>
  <c r="I29" i="70"/>
  <c r="J29" i="70"/>
  <c r="K29" i="70"/>
  <c r="G46" i="70"/>
  <c r="H46" i="70"/>
  <c r="I46" i="70"/>
  <c r="J46" i="70"/>
  <c r="K46" i="70"/>
  <c r="G52" i="70"/>
  <c r="H52" i="70"/>
  <c r="I52" i="70"/>
  <c r="J52" i="70"/>
  <c r="K52" i="70"/>
  <c r="G57" i="70"/>
  <c r="H57" i="70"/>
  <c r="I57" i="70"/>
  <c r="J57" i="70"/>
  <c r="K57" i="70"/>
  <c r="G60" i="70"/>
  <c r="H60" i="70"/>
  <c r="I60" i="70"/>
  <c r="J60" i="70"/>
  <c r="K60" i="70"/>
  <c r="G63" i="70"/>
  <c r="H63" i="70"/>
  <c r="I63" i="70"/>
  <c r="J63" i="70"/>
  <c r="K63" i="70"/>
  <c r="G65" i="70"/>
  <c r="H65" i="70"/>
  <c r="I65" i="70"/>
  <c r="J65" i="70"/>
  <c r="K65" i="70"/>
  <c r="G67" i="70"/>
  <c r="H67" i="70"/>
  <c r="I67" i="70"/>
  <c r="J67" i="70"/>
  <c r="K67" i="70"/>
  <c r="G73" i="70"/>
  <c r="H73" i="70"/>
  <c r="I73" i="70"/>
  <c r="J73" i="70"/>
  <c r="K73" i="70"/>
  <c r="G80" i="70"/>
  <c r="H80" i="70"/>
  <c r="I80" i="70"/>
  <c r="J80" i="70"/>
  <c r="K80" i="70"/>
  <c r="G86" i="70"/>
  <c r="H86" i="70"/>
  <c r="I86" i="70"/>
  <c r="J86" i="70"/>
  <c r="K86" i="70"/>
  <c r="G89" i="70"/>
  <c r="H89" i="70"/>
  <c r="I89" i="70"/>
  <c r="J89" i="70"/>
  <c r="K89" i="70"/>
  <c r="G91" i="70"/>
  <c r="H91" i="70"/>
  <c r="I91" i="70"/>
  <c r="J91" i="70"/>
  <c r="K91" i="70"/>
  <c r="H116" i="70"/>
  <c r="I116" i="70"/>
  <c r="J116" i="70"/>
  <c r="K116" i="70"/>
  <c r="G117" i="70"/>
  <c r="H117" i="70"/>
  <c r="I117" i="70"/>
  <c r="J117" i="70"/>
  <c r="K117" i="70"/>
  <c r="G120" i="70"/>
  <c r="H120" i="70"/>
  <c r="I120" i="70"/>
  <c r="J120" i="70"/>
  <c r="K120" i="70"/>
  <c r="H127" i="70"/>
  <c r="I127" i="70"/>
  <c r="J127" i="70"/>
  <c r="K127" i="70"/>
  <c r="G129" i="70"/>
  <c r="H129" i="70"/>
  <c r="I129" i="70"/>
  <c r="J129" i="70"/>
  <c r="K129" i="70"/>
  <c r="G130" i="70"/>
  <c r="H130" i="70"/>
  <c r="I130" i="70"/>
  <c r="J130" i="70"/>
  <c r="K130" i="70"/>
  <c r="H133" i="70"/>
  <c r="I133" i="70"/>
  <c r="J133" i="70"/>
  <c r="K133" i="70"/>
  <c r="G134" i="70"/>
  <c r="H134" i="70"/>
  <c r="I134" i="70"/>
  <c r="J134" i="70"/>
  <c r="K134" i="70"/>
  <c r="G136" i="70"/>
  <c r="H136" i="70"/>
  <c r="I136" i="70"/>
  <c r="J136" i="70"/>
  <c r="K136" i="70"/>
  <c r="G137" i="70"/>
  <c r="H137" i="70"/>
  <c r="I137" i="70"/>
  <c r="J137" i="70"/>
  <c r="K137" i="70"/>
  <c r="G143" i="70"/>
  <c r="H143" i="70"/>
  <c r="I143" i="70"/>
  <c r="J143" i="70"/>
  <c r="K143" i="70"/>
  <c r="G147" i="70"/>
  <c r="H147" i="70"/>
  <c r="I147" i="70"/>
  <c r="J147" i="70"/>
  <c r="K147" i="70"/>
  <c r="G148" i="70"/>
  <c r="H148" i="70"/>
  <c r="I148" i="70"/>
  <c r="J148" i="70"/>
  <c r="K148" i="70"/>
  <c r="G157" i="70"/>
  <c r="H157" i="70"/>
  <c r="I157" i="70"/>
  <c r="J157" i="70"/>
  <c r="K157" i="70"/>
  <c r="D163" i="70"/>
  <c r="G201" i="70"/>
  <c r="H201" i="70"/>
  <c r="I201" i="70"/>
  <c r="J201" i="70"/>
  <c r="K201" i="70"/>
  <c r="G203" i="70"/>
  <c r="H203" i="70"/>
  <c r="I203" i="70"/>
  <c r="J203" i="70"/>
  <c r="K203" i="70"/>
  <c r="G206" i="70"/>
  <c r="H206" i="70"/>
  <c r="I206" i="70"/>
  <c r="J206" i="70"/>
  <c r="K206" i="70"/>
  <c r="G218" i="70"/>
  <c r="H218" i="70"/>
  <c r="I218" i="70"/>
  <c r="J218" i="70"/>
  <c r="K218" i="70"/>
  <c r="G219" i="70"/>
  <c r="H219" i="70"/>
  <c r="I219" i="70"/>
  <c r="J219" i="70"/>
  <c r="K219" i="70"/>
  <c r="G23" i="64"/>
  <c r="H23" i="64"/>
  <c r="I23" i="64"/>
  <c r="J23" i="64"/>
  <c r="K23" i="64"/>
  <c r="G24" i="64"/>
  <c r="H24" i="64"/>
  <c r="I24" i="64"/>
  <c r="J24" i="64"/>
  <c r="K24" i="64"/>
  <c r="G26" i="64"/>
  <c r="H26" i="64"/>
  <c r="I26" i="64"/>
  <c r="J26" i="64"/>
  <c r="K26" i="64"/>
  <c r="G27" i="64"/>
  <c r="H27" i="64"/>
  <c r="I27" i="64"/>
  <c r="J27" i="64"/>
  <c r="K27" i="64"/>
  <c r="G28" i="64"/>
  <c r="H28" i="64"/>
  <c r="I28" i="64"/>
  <c r="J28" i="64"/>
  <c r="K28" i="64"/>
  <c r="G45" i="64"/>
  <c r="H45" i="64"/>
  <c r="I45" i="64"/>
  <c r="J45" i="64"/>
  <c r="K45" i="64"/>
  <c r="G51" i="64"/>
  <c r="H51" i="64"/>
  <c r="I51" i="64"/>
  <c r="J51" i="64"/>
  <c r="K51" i="64"/>
  <c r="G56" i="64"/>
  <c r="H56" i="64"/>
  <c r="I56" i="64"/>
  <c r="J56" i="64"/>
  <c r="K56" i="64"/>
  <c r="G59" i="64"/>
  <c r="H59" i="64"/>
  <c r="I59" i="64"/>
  <c r="J59" i="64"/>
  <c r="K59" i="64"/>
  <c r="G62" i="64"/>
  <c r="H62" i="64"/>
  <c r="I62" i="64"/>
  <c r="J62" i="64"/>
  <c r="K62" i="64"/>
  <c r="G64" i="64"/>
  <c r="H64" i="64"/>
  <c r="I64" i="64"/>
  <c r="J64" i="64"/>
  <c r="K64" i="64"/>
  <c r="G66" i="64"/>
  <c r="H66" i="64"/>
  <c r="I66" i="64"/>
  <c r="J66" i="64"/>
  <c r="K66" i="64"/>
  <c r="G72" i="64"/>
  <c r="H72" i="64"/>
  <c r="I72" i="64"/>
  <c r="J72" i="64"/>
  <c r="K72" i="64"/>
  <c r="G79" i="64"/>
  <c r="H79" i="64"/>
  <c r="I79" i="64"/>
  <c r="J79" i="64"/>
  <c r="K79" i="64"/>
  <c r="G85" i="64"/>
  <c r="H85" i="64"/>
  <c r="I85" i="64"/>
  <c r="J85" i="64"/>
  <c r="K85" i="64"/>
  <c r="G88" i="64"/>
  <c r="H88" i="64"/>
  <c r="I88" i="64"/>
  <c r="J88" i="64"/>
  <c r="K88" i="64"/>
  <c r="G90" i="64"/>
  <c r="H90" i="64"/>
  <c r="I90" i="64"/>
  <c r="J90" i="64"/>
  <c r="K90" i="64"/>
  <c r="H115" i="64"/>
  <c r="I115" i="64"/>
  <c r="J115" i="64"/>
  <c r="K115" i="64"/>
  <c r="G116" i="64"/>
  <c r="H116" i="64"/>
  <c r="I116" i="64"/>
  <c r="J116" i="64"/>
  <c r="K116" i="64"/>
  <c r="G119" i="64"/>
  <c r="H119" i="64"/>
  <c r="I119" i="64"/>
  <c r="J119" i="64"/>
  <c r="K119" i="64"/>
  <c r="H126" i="64"/>
  <c r="I126" i="64"/>
  <c r="J126" i="64"/>
  <c r="K126" i="64"/>
  <c r="G128" i="64"/>
  <c r="H128" i="64"/>
  <c r="I128" i="64"/>
  <c r="J128" i="64"/>
  <c r="K128" i="64"/>
  <c r="G129" i="64"/>
  <c r="H129" i="64"/>
  <c r="I129" i="64"/>
  <c r="J129" i="64"/>
  <c r="K129" i="64"/>
  <c r="H132" i="64"/>
  <c r="I132" i="64"/>
  <c r="J132" i="64"/>
  <c r="K132" i="64"/>
  <c r="G133" i="64"/>
  <c r="H133" i="64"/>
  <c r="I133" i="64"/>
  <c r="J133" i="64"/>
  <c r="K133" i="64"/>
  <c r="G135" i="64"/>
  <c r="H135" i="64"/>
  <c r="I135" i="64"/>
  <c r="J135" i="64"/>
  <c r="K135" i="64"/>
  <c r="G136" i="64"/>
  <c r="H136" i="64"/>
  <c r="I136" i="64"/>
  <c r="J136" i="64"/>
  <c r="K136" i="64"/>
  <c r="G142" i="64"/>
  <c r="H142" i="64"/>
  <c r="I142" i="64"/>
  <c r="J142" i="64"/>
  <c r="K142" i="64"/>
  <c r="G146" i="64"/>
  <c r="H146" i="64"/>
  <c r="I146" i="64"/>
  <c r="J146" i="64"/>
  <c r="K146" i="64"/>
  <c r="G147" i="64"/>
  <c r="H147" i="64"/>
  <c r="I147" i="64"/>
  <c r="J147" i="64"/>
  <c r="K147" i="64"/>
  <c r="G156" i="64"/>
  <c r="H156" i="64"/>
  <c r="I156" i="64"/>
  <c r="J156" i="64"/>
  <c r="K156" i="64"/>
</calcChain>
</file>

<file path=xl/sharedStrings.xml><?xml version="1.0" encoding="utf-8"?>
<sst xmlns="http://schemas.openxmlformats.org/spreadsheetml/2006/main" count="833" uniqueCount="255">
  <si>
    <t>Tax rate</t>
  </si>
  <si>
    <t>Revenue growth</t>
  </si>
  <si>
    <t>Net income</t>
  </si>
  <si>
    <t>Operating profit (EBIT)</t>
  </si>
  <si>
    <t>Interest income</t>
  </si>
  <si>
    <t>Company name</t>
  </si>
  <si>
    <t>Ticker</t>
  </si>
  <si>
    <t>Fiscal year end date</t>
  </si>
  <si>
    <t>Latest fiscal year end date</t>
  </si>
  <si>
    <t>Latest closing share price date</t>
  </si>
  <si>
    <t xml:space="preserve">Fiscal year  </t>
  </si>
  <si>
    <t>Revenue</t>
  </si>
  <si>
    <t>Pretax profit</t>
  </si>
  <si>
    <t>Gross Profit</t>
  </si>
  <si>
    <t>Cost of sales (enter as -)</t>
  </si>
  <si>
    <t>Taxes (enter expense as -)</t>
  </si>
  <si>
    <t>Selling, general &amp; administrative (enter as -)</t>
  </si>
  <si>
    <t>Interest expense (enter as -)</t>
  </si>
  <si>
    <t>Growth rates &amp; margins</t>
  </si>
  <si>
    <t>INCOME STATEMENT</t>
  </si>
  <si>
    <t>BALANCE SHEET</t>
  </si>
  <si>
    <t>Property, plant &amp; equipment</t>
  </si>
  <si>
    <t>Total assets</t>
  </si>
  <si>
    <t>Revolver</t>
  </si>
  <si>
    <t>Total liabilities</t>
  </si>
  <si>
    <t>Total equity</t>
  </si>
  <si>
    <t>Balance check</t>
  </si>
  <si>
    <t>Beginning of period</t>
  </si>
  <si>
    <t>End of period</t>
  </si>
  <si>
    <t>PROPERTY, PLANT &amp; EQUIPMENT</t>
  </si>
  <si>
    <t>Plus: Capital expenditures</t>
  </si>
  <si>
    <t>Less: Depreciation</t>
  </si>
  <si>
    <t>CASH FLOW STATEMENT</t>
  </si>
  <si>
    <t>Depreciation and amortization</t>
  </si>
  <si>
    <t>Cash from operating activities</t>
  </si>
  <si>
    <t>Capital expenditures</t>
  </si>
  <si>
    <t>Cash from investing activities</t>
  </si>
  <si>
    <t>Cash from financing activities</t>
  </si>
  <si>
    <t>Net change in cash during period</t>
  </si>
  <si>
    <t>Revolver needs analysis</t>
  </si>
  <si>
    <t>Plus: Free cash flows generated during period</t>
  </si>
  <si>
    <t>Interest expense</t>
  </si>
  <si>
    <t>Interest rate on cash</t>
  </si>
  <si>
    <t>INTEREST EXPENSE AND INTEREST INCOME</t>
  </si>
  <si>
    <t xml:space="preserve">Retained earnings </t>
  </si>
  <si>
    <t>Cash at beginning of period (BOP)</t>
  </si>
  <si>
    <t>$ in thousands except per share</t>
  </si>
  <si>
    <t>EBITDA</t>
  </si>
  <si>
    <t>Step</t>
  </si>
  <si>
    <t>Depreciation &amp; amortization</t>
  </si>
  <si>
    <t>Apple</t>
  </si>
  <si>
    <t>AAPL</t>
  </si>
  <si>
    <t>Research &amp; development (enter as -)</t>
  </si>
  <si>
    <t>Other expense, net (enter as -)</t>
  </si>
  <si>
    <t>Accounts receivable</t>
  </si>
  <si>
    <t>Inventories</t>
  </si>
  <si>
    <t>Other non current assets</t>
  </si>
  <si>
    <t>Accounts payable</t>
  </si>
  <si>
    <t>Deferred revenue (current and non current)</t>
  </si>
  <si>
    <t>Other non current liabilities</t>
  </si>
  <si>
    <t>Commercial paper / revolver</t>
  </si>
  <si>
    <t>Common stock</t>
  </si>
  <si>
    <t>Plus: Net income</t>
  </si>
  <si>
    <t>Less: Dividends</t>
  </si>
  <si>
    <t>Less: Repurchases</t>
  </si>
  <si>
    <t>Decreases / (Increases) in working capital assets</t>
  </si>
  <si>
    <t>Increases / (Decreases) in working capital liabilities</t>
  </si>
  <si>
    <t>Long term debt</t>
  </si>
  <si>
    <t>Commercial Paper / Revolver</t>
  </si>
  <si>
    <t>Less: Minimum cash balance</t>
  </si>
  <si>
    <t>Share repurchases</t>
  </si>
  <si>
    <t>Common dividends</t>
  </si>
  <si>
    <t>Adjusted EBITDA</t>
  </si>
  <si>
    <t>Latest closing share price</t>
  </si>
  <si>
    <t>Stock based compensation</t>
  </si>
  <si>
    <t>RETAINED EARNINGS</t>
  </si>
  <si>
    <t>SENSITIVITY ANALYSIS</t>
  </si>
  <si>
    <t>Revenue growth rate</t>
  </si>
  <si>
    <t>Gross</t>
  </si>
  <si>
    <t>Profit</t>
  </si>
  <si>
    <t>Margin:</t>
  </si>
  <si>
    <t>SCENARIO ANALYSIS</t>
  </si>
  <si>
    <t>Select an operating scenario:</t>
  </si>
  <si>
    <t>Base case</t>
  </si>
  <si>
    <t>Best case</t>
  </si>
  <si>
    <t>Weak case</t>
  </si>
  <si>
    <t>Previous year's revenues x (1+revenue growth rate)</t>
  </si>
  <si>
    <t>Plug = Revenue - Gross Profit</t>
  </si>
  <si>
    <t>Revenue x Gross Profit Margin forecast</t>
  </si>
  <si>
    <t>Gross Profit - R&amp;D - SG&amp;A</t>
  </si>
  <si>
    <t>Straight-line</t>
  </si>
  <si>
    <t>Pre-tax Profit x Tax Rate forecast</t>
  </si>
  <si>
    <t>Pre-tax Profit less taxes</t>
  </si>
  <si>
    <t>Reference from interest expense schedule</t>
  </si>
  <si>
    <t>Reference from interest on cash schedule</t>
  </si>
  <si>
    <t>EBIT + interest income less interest expense less other expense</t>
  </si>
  <si>
    <t>EBIT + D&amp;A</t>
  </si>
  <si>
    <t>EBITDA + Stock-based compensation</t>
  </si>
  <si>
    <t>WSP assumption: grow SBC in-line with revenue growth</t>
  </si>
  <si>
    <t>WSP assumption: straight-line</t>
  </si>
  <si>
    <t>Reference from income statement</t>
  </si>
  <si>
    <t>Equals: Cash available (needed) to pay down (draw from) revolver</t>
  </si>
  <si>
    <t>Grow in-line with revenue growth</t>
  </si>
  <si>
    <t>Grow in-line with cost of sales growth</t>
  </si>
  <si>
    <t>Reference from PP&amp;E schedule</t>
  </si>
  <si>
    <t>Reference from Retained Earnings schedule</t>
  </si>
  <si>
    <t>Other current assets</t>
  </si>
  <si>
    <t>Circ break 1=off, 0=on</t>
  </si>
  <si>
    <t xml:space="preserve">Depreciation &amp; Amortization - Total </t>
  </si>
  <si>
    <t>Weighted average interest rate</t>
  </si>
  <si>
    <t>End of period balance (from B/S)</t>
  </si>
  <si>
    <t>Commercial paper / Revolver</t>
  </si>
  <si>
    <t>Interest rate x average of BOP &amp; EOP LTD balances</t>
  </si>
  <si>
    <t>Weighted average interest rate on cash</t>
  </si>
  <si>
    <t>Forecast</t>
  </si>
  <si>
    <t>Other current liabilities</t>
  </si>
  <si>
    <t>Reference from 'net change in cash' line on the cash flow statement</t>
  </si>
  <si>
    <t>Debt balance:</t>
  </si>
  <si>
    <t>Total interest expense (from I/S)</t>
  </si>
  <si>
    <t>Other comprehensive income</t>
  </si>
  <si>
    <t>Long term debt (includes current portion)</t>
  </si>
  <si>
    <t>D&amp;A related to PP&amp;E as a % of capex</t>
  </si>
  <si>
    <t>Less: Amortization of intangible assets</t>
  </si>
  <si>
    <t xml:space="preserve">Plus: Additions </t>
  </si>
  <si>
    <t>WSP assumption</t>
  </si>
  <si>
    <t>Discretionary borrowing / (paydown)</t>
  </si>
  <si>
    <t>OTHER NON-CURRENT ASSETS</t>
  </si>
  <si>
    <t>IMPUTING TOTAL DEPRECIATION &amp; AMORTIZATION</t>
  </si>
  <si>
    <t>REVOLVER (MODEL PLUG)</t>
  </si>
  <si>
    <t>WSP assumption: Straight-line</t>
  </si>
  <si>
    <t>From cash flow statement</t>
  </si>
  <si>
    <t>Current year / Last year - 1</t>
  </si>
  <si>
    <t>R&amp;D / Revenue</t>
  </si>
  <si>
    <t>SG&amp;A / Revenue</t>
  </si>
  <si>
    <t>Taxes / Pretax Profit</t>
  </si>
  <si>
    <t>Cash &amp; equivalents, ST and LT marketable securities</t>
  </si>
  <si>
    <t>Dividends</t>
  </si>
  <si>
    <t>Repurchases</t>
  </si>
  <si>
    <t>Weighted average interest rate on commercial paper</t>
  </si>
  <si>
    <t>Additional data</t>
  </si>
  <si>
    <t xml:space="preserve">Growth rates &amp; margins </t>
  </si>
  <si>
    <t>Note 5 - Debt. Apple 2018 10K p55</t>
  </si>
  <si>
    <t>Gross profit / revenue</t>
  </si>
  <si>
    <t>Statement of shareholders equity schedule - p.41 Apple 2018 10K</t>
  </si>
  <si>
    <t>Capital expenditures (enter as +)</t>
  </si>
  <si>
    <t>Property plant and equipment section - Apple 2018 10K p.45</t>
  </si>
  <si>
    <t>D&amp;A related only to PP&amp;E (enter as -)</t>
  </si>
  <si>
    <t>Include vendor non-trade receivables</t>
  </si>
  <si>
    <t>JP Morgan estimates through 2021; straight-line growth rate thereafter</t>
  </si>
  <si>
    <t>JP Morgan estimates through 2021; straight-line margin thereafter</t>
  </si>
  <si>
    <t>JP Morgan estimates through 2021: straight-line margin thereafter</t>
  </si>
  <si>
    <t>JP Morgan through 2021; WSP assumption thereafter</t>
  </si>
  <si>
    <t>Increase by stock-based compensation forecasted in the I/S section</t>
  </si>
  <si>
    <r>
      <t xml:space="preserve">D&amp;A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related to PP&amp;E</t>
    </r>
  </si>
  <si>
    <t>as % of revenue</t>
  </si>
  <si>
    <t>Straight line last historical % of revenue - WSP assumption</t>
  </si>
  <si>
    <t>Reference from D&amp;A schedule</t>
  </si>
  <si>
    <t>D&amp;A from PP&amp;E + D&amp;A not from PP&amp;E</t>
  </si>
  <si>
    <t xml:space="preserve">Assume all D&amp;A not from PP&amp;E is in non-current assets </t>
  </si>
  <si>
    <t>WSP assumption: Straight-line last historical year dividends</t>
  </si>
  <si>
    <t>BOP + net income - dividends - repurchases</t>
  </si>
  <si>
    <t>BOP + Capex - Depreciation</t>
  </si>
  <si>
    <t>Capex x 'D&amp;A related to PP&amp;E as a % of capex' ratio (below)</t>
  </si>
  <si>
    <t xml:space="preserve">BOP = Previous year EOP </t>
  </si>
  <si>
    <t>Because we already know the EOP balance, this is a plug: EOP - D&amp;A not from PP&amp;E - BOP</t>
  </si>
  <si>
    <t>Referenced from balance sheet</t>
  </si>
  <si>
    <t>Reference from the I/S</t>
  </si>
  <si>
    <t>Reference from schedule NOT the B/S: Only include 'Additions' (as outflow)</t>
  </si>
  <si>
    <t>Reference prior period EOP from B/S</t>
  </si>
  <si>
    <r>
      <t xml:space="preserve">CFO + CFI + CFF </t>
    </r>
    <r>
      <rPr>
        <u/>
        <sz val="11"/>
        <color theme="1"/>
        <rFont val="Calibri"/>
        <family val="2"/>
        <scheme val="minor"/>
      </rPr>
      <t>except revolver</t>
    </r>
  </si>
  <si>
    <t xml:space="preserve">Cash (paydown) / additional borrowing from revolver. Paydown not to exceed BOP balance. </t>
  </si>
  <si>
    <t>Draw / (paydown)</t>
  </si>
  <si>
    <t>Interest expense from revolver/CP + interest expense from long term debt</t>
  </si>
  <si>
    <t>Interest rate x average of BOP &amp; EOP revolver balances (circularity)</t>
  </si>
  <si>
    <t>Reference from revolver / CP schedule above</t>
  </si>
  <si>
    <t>Reference from B/S</t>
  </si>
  <si>
    <t>Interest rate x average of BOP &amp; EOP cash balances (circularity)</t>
  </si>
  <si>
    <t xml:space="preserve">Interest expense </t>
  </si>
  <si>
    <t>Reference EOP balance from CP/revolver schedule</t>
  </si>
  <si>
    <t>First forecast year net income  sensitivity</t>
  </si>
  <si>
    <t>NM</t>
  </si>
  <si>
    <t>base case</t>
  </si>
  <si>
    <t xml:space="preserve">Variance from </t>
  </si>
  <si>
    <t>From scenario analysis below</t>
  </si>
  <si>
    <t>Active case:</t>
  </si>
  <si>
    <t>iPhone</t>
  </si>
  <si>
    <t>iPad</t>
  </si>
  <si>
    <t>Mac</t>
  </si>
  <si>
    <t>% growth</t>
  </si>
  <si>
    <t>Units</t>
  </si>
  <si>
    <t>Price / volume build</t>
  </si>
  <si>
    <t>Services</t>
  </si>
  <si>
    <t>Other products</t>
  </si>
  <si>
    <t>Units % growth</t>
  </si>
  <si>
    <t>Average selling price</t>
  </si>
  <si>
    <t>Average selling price % growth</t>
  </si>
  <si>
    <t>CG estimates through 2020; Straight line therafter</t>
  </si>
  <si>
    <t>CG estimates through 2020; Straight line growth rate thereafter</t>
  </si>
  <si>
    <t>Revenue growth rate by product</t>
  </si>
  <si>
    <t>Revenue by product</t>
  </si>
  <si>
    <t>Total revenue</t>
  </si>
  <si>
    <t>Core products</t>
  </si>
  <si>
    <t>"iPhone ASP will be primary driver as Apple continues to
increase hardware prices."</t>
  </si>
  <si>
    <t>Jeffries research note January 30, 2019</t>
  </si>
  <si>
    <t>EARNINGS PER SHARE</t>
  </si>
  <si>
    <t xml:space="preserve">Basic shares </t>
  </si>
  <si>
    <t>Basic EPS</t>
  </si>
  <si>
    <t>Diluted Shares</t>
  </si>
  <si>
    <t>Diluted EPS</t>
  </si>
  <si>
    <t>Share price increase</t>
  </si>
  <si>
    <t>Average share price</t>
  </si>
  <si>
    <t>Reference from RE schedule - treasury repurchases (flip sign)</t>
  </si>
  <si>
    <t xml:space="preserve">Reference SBC from I/S </t>
  </si>
  <si>
    <t>Reference from I/S</t>
  </si>
  <si>
    <t>$ amount of shares repurchased</t>
  </si>
  <si>
    <t>$ amount of new shares issued</t>
  </si>
  <si>
    <t>Net income / Basic shares</t>
  </si>
  <si>
    <t>Basic shares + Dilutive securities</t>
  </si>
  <si>
    <t>Net income/Diluted Shares</t>
  </si>
  <si>
    <t>Last period share price x (1+growth rate)</t>
  </si>
  <si>
    <t>Gross profit margin</t>
  </si>
  <si>
    <t>R&amp;D % of sales</t>
  </si>
  <si>
    <t>Revenue x R&amp;D % of sales forecast</t>
  </si>
  <si>
    <t>SG&amp;A % of sales</t>
  </si>
  <si>
    <t>Revenue x SG&amp;A % of sales forecast</t>
  </si>
  <si>
    <t>WSP assumption: Straight-line last historical year repurchases</t>
  </si>
  <si>
    <t xml:space="preserve">'Other Income/(Expense), Net' section - Apple 2018 10K p.27 </t>
  </si>
  <si>
    <t>Revenue x 'as % of revenue' assumption</t>
  </si>
  <si>
    <t>Shares outstanding (millions)</t>
  </si>
  <si>
    <t>Basic Shares - BOP</t>
  </si>
  <si>
    <t>Net change in basic shares</t>
  </si>
  <si>
    <t>Basic shares - EOP</t>
  </si>
  <si>
    <t>Basic shares - average</t>
  </si>
  <si>
    <t>yoy % growth in net income</t>
  </si>
  <si>
    <t>WSP assumption OR grow with net income growth rate (calculated below)</t>
  </si>
  <si>
    <t>Last period basic shares + ($ shares issued - $ shares repurchased)/Current period average share price OR reference average Basic shares from schedule below</t>
  </si>
  <si>
    <t>Optional analysis for calculating weighted average basic shares</t>
  </si>
  <si>
    <t>Reference from latest share count &gt;</t>
  </si>
  <si>
    <t xml:space="preserve">Link to prior year Basic shares - EOP </t>
  </si>
  <si>
    <t xml:space="preserve"> ($ shares issued - $ shares repurchased)/Current period average share price</t>
  </si>
  <si>
    <t>Basic Shares - BOP + Net change in basic shares</t>
  </si>
  <si>
    <t>Average(Basic Shares BOP,Basic Shares EOP)</t>
  </si>
  <si>
    <t>Reference net income from I/S</t>
  </si>
  <si>
    <t>Calculate year over year growth</t>
  </si>
  <si>
    <t>CG estimates through 2020; WSP thereafter based on growth rate assumption</t>
  </si>
  <si>
    <t>Commercial paper/ Revolver</t>
  </si>
  <si>
    <t>Deferred revenue (current)</t>
  </si>
  <si>
    <t>WSP assumption: Hold last historical year's dividend payout ratio constant</t>
  </si>
  <si>
    <t>Consensus estimates through 2021; straight-line growth rate thereafter</t>
  </si>
  <si>
    <t>Straight line last historical year</t>
  </si>
  <si>
    <t>First two years - consensus estimates, then grow with revenue</t>
  </si>
  <si>
    <t xml:space="preserve">Last period basic shares + ($ shares issued - $ shares repurchased)/Current period average share price </t>
  </si>
  <si>
    <t xml:space="preserve">WSP assumption </t>
  </si>
  <si>
    <t>Alternative method for calculating weighted average basic shares</t>
  </si>
  <si>
    <t>Alternative method for estimating share price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</si>
</sst>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0.0%_);\(0.0%\);@_)"/>
    <numFmt numFmtId="165" formatCode="#,##0.0_);\(#,##0.0\);@_)"/>
    <numFmt numFmtId="166" formatCode="#,##0.00_);\(#,##0\)"/>
    <numFmt numFmtId="167" formatCode="#,##0.0%_);\(#,##0.0%\)"/>
    <numFmt numFmtId="168" formatCode="0.0\ \x"/>
    <numFmt numFmtId="169" formatCode="#,##0.00\ ;\(#,##0.00\)"/>
    <numFmt numFmtId="170" formatCode="&quot;$&quot;#,##0.00\ ;\(&quot;$&quot;#,##0.00\)"/>
    <numFmt numFmtId="171" formatCode="0.0%_);\(0.0%\)"/>
    <numFmt numFmtId="172" formatCode="0.000\ \x&quot;rate&quot;"/>
    <numFmt numFmtId="173" formatCode="#,##0.000_);[Red]\(#,##0.000\)"/>
    <numFmt numFmtId="174" formatCode="0.00_);\(0.00\);0.00"/>
    <numFmt numFmtId="175" formatCode="\C&quot;$&quot;#,##0.00_);[Red]\(&quot;$&quot;#,##0.00\)"/>
    <numFmt numFmtId="176" formatCode="#,##0%_);\(#,##0.0%\)"/>
    <numFmt numFmtId="177" formatCode="_(* #,##0.00000000_);_(* \(#,##0.00000000\);_(* &quot;-&quot;?_);_(@_)"/>
    <numFmt numFmtId="178" formatCode="mmm\-d\-yyyy"/>
    <numFmt numFmtId="179" formatCode="mmm\-yyyy"/>
    <numFmt numFmtId="180" formatCode="yyyy"/>
    <numFmt numFmtId="181" formatCode="0.00\x&quot;rate&quot;"/>
    <numFmt numFmtId="182" formatCode="0.0&quot;  &quot;"/>
    <numFmt numFmtId="183" formatCode="&quot;$&quot;#,##0.0\ ;[Red]\(&quot;$&quot;#,##0\)"/>
    <numFmt numFmtId="184" formatCode="&quot;$&quot;#,##0.000_);[Red]\(&quot;$&quot;#,##0.000\)"/>
    <numFmt numFmtId="185" formatCode="&quot;$&quot;#,##0.00&quot;A&quot;;[Red]\(&quot;$&quot;#,##0.00\)&quot;A&quot;"/>
    <numFmt numFmtId="186" formatCode="#,##0.0\ ;[Red]\(&quot;$&quot;#,##0\)"/>
    <numFmt numFmtId="187" formatCode="&quot;$&quot;#,##0.00&quot;E&quot;;[Red]\(&quot;$&quot;#,##0.00\)&quot;E&quot;"/>
    <numFmt numFmtId="188" formatCode="_([$€-2]* #,##0.00_);_([$€-2]* \(#,##0.00\);_([$€-2]* &quot;-&quot;??_)"/>
    <numFmt numFmtId="189" formatCode="#,##0.00;\(#,##0.00\)"/>
    <numFmt numFmtId="190" formatCode=".%\,\(0.0%%;\t"/>
    <numFmt numFmtId="191" formatCode="#,##0.0_);[Red]\(#,##0.0\)"/>
    <numFmt numFmtId="192" formatCode="0.0%_);[Red]\(0.0%\)"/>
    <numFmt numFmtId="193" formatCode="0.00_);\(0.00\);0.00_)"/>
    <numFmt numFmtId="194" formatCode="0.0%"/>
    <numFmt numFmtId="195" formatCode="#,##0\x"/>
    <numFmt numFmtId="196" formatCode="&quot;TKR&quot;\ 0"/>
    <numFmt numFmtId="197" formatCode=".%\,\(0.%%;\t"/>
    <numFmt numFmtId="198" formatCode="&quot;$&quot;#,###.0\ \ "/>
    <numFmt numFmtId="199" formatCode="#,##0.00\x_);[Red]\(#,##0.00\x\)"/>
    <numFmt numFmtId="200" formatCode="#,##0.0_);\(#,##0.0\)"/>
    <numFmt numFmtId="201" formatCode="#,##0.000_);\(#,##0.000\)"/>
    <numFmt numFmtId="202" formatCode="#,##0.00\x_);[Red]\(#,##0.00\x\);&quot;--  &quot;"/>
    <numFmt numFmtId="203" formatCode="_(* #,##0.0_);_(* \(#,##0.0\);_(* &quot;-&quot;??_);_(@_)"/>
    <numFmt numFmtId="204" formatCode="0.0\x_);[Red]\(0.0\x\)"/>
    <numFmt numFmtId="205" formatCode="0.0\ "/>
    <numFmt numFmtId="206" formatCode="&quot;$&quot;#,##0.0;\(&quot;$&quot;#,##0.00\)"/>
    <numFmt numFmtId="207" formatCode="#,##0.00%_);\(#,##0.00%\)"/>
    <numFmt numFmtId="208" formatCode="0.00\%;\-0.00\%;0.00\%"/>
    <numFmt numFmtId="209" formatCode="0.0%\ ;\(0.0%\)"/>
    <numFmt numFmtId="210" formatCode="_(&quot;$&quot;* #,##0_);_(&quot;$&quot;* \(#,##0\);_(&quot;$&quot;* &quot;-&quot;??_);_(@_)"/>
    <numFmt numFmtId="211" formatCode="&quot;$&quot;0.00\ "/>
    <numFmt numFmtId="212" formatCode="0.0\ \ \ \ \ "/>
    <numFmt numFmtId="213" formatCode="0.00\x;\-0.00\x;0.00\x"/>
    <numFmt numFmtId="214" formatCode="&quot;$&quot;#,##0.000_);\(&quot;$&quot;#,##0.000\)"/>
    <numFmt numFmtId="215" formatCode="#,##0.0_);\(#,##0.0\);_(* &quot;-&quot;_)"/>
    <numFmt numFmtId="216" formatCode="_(&quot;$&quot;* #,##0.00_);_(&quot;$&quot;* \(#,##0.00\);_(* &quot;-&quot;_);_(@_)"/>
    <numFmt numFmtId="217" formatCode="0.00%_);[Red]\(0.00%\)"/>
    <numFmt numFmtId="218" formatCode="#,##0.0\x_);\(#,##0.0\x\)"/>
    <numFmt numFmtId="219" formatCode="#,##0.00\x_);\(#,##0.00\x\)"/>
    <numFmt numFmtId="220" formatCode="###0&quot;E&quot;_)"/>
    <numFmt numFmtId="221" formatCode="0\A;[Red]0\A"/>
    <numFmt numFmtId="222" formatCode="0\P_);\(0\P\)"/>
    <numFmt numFmtId="223" formatCode="m/d/yy;@"/>
    <numFmt numFmtId="224" formatCode="#,##0_);\(#,##0\);@_)"/>
    <numFmt numFmtId="225" formatCode="0.00%_);\(0.00%\);@_)"/>
    <numFmt numFmtId="226" formatCode="0%_);\(0%\);@_)"/>
    <numFmt numFmtId="227" formatCode="[&gt;1]&quot;10Q: &quot;0&quot; qtrs&quot;;&quot;10Q: &quot;0&quot; qtr&quot;"/>
    <numFmt numFmtId="228" formatCode="&quot;$&quot;#,##0.00_);[Red]\(&quot;$&quot;#,##0.00\);&quot;--  &quot;;_(@_)"/>
    <numFmt numFmtId="229" formatCode="mmm\-dd\-yy"/>
    <numFmt numFmtId="230" formatCode="mmm\-dd\-yyyy"/>
    <numFmt numFmtId="231" formatCode="#,##0.0_);[Red]\(#,##0.0\);&quot;--  &quot;"/>
    <numFmt numFmtId="232" formatCode="0.00\x"/>
    <numFmt numFmtId="233" formatCode="0.0&quot; years&quot;"/>
    <numFmt numFmtId="234" formatCode="_(#,##0.0%_);\(#,##0.0%\);_(&quot;–&quot;_)_%;_(@_)_%"/>
    <numFmt numFmtId="235" formatCode="_(#,##0_)_%;\(#,##0\)_%;_(&quot;–&quot;_)_%;_(@_)_%"/>
    <numFmt numFmtId="236" formatCode="0.0%;\(0.0%\)"/>
    <numFmt numFmtId="237" formatCode="0.0%;\ \(0.0%\)"/>
    <numFmt numFmtId="238" formatCode="_(#,##0.00%_);\(#,##0.00%\);_(&quot;–&quot;_)_%;_(@_)_%"/>
  </numFmts>
  <fonts count="89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12"/>
      <name val="Arial"/>
      <family val="2"/>
    </font>
    <font>
      <sz val="1"/>
      <color indexed="9"/>
      <name val="Symbol"/>
      <family val="1"/>
      <charset val="2"/>
    </font>
    <font>
      <sz val="11"/>
      <color indexed="8"/>
      <name val="Calibri"/>
      <family val="2"/>
      <scheme val="minor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8"/>
      <color indexed="10"/>
      <name val="Arial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3"/>
      <color indexed="8"/>
      <name val="Verdana"/>
      <family val="2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8"/>
      <color rgb="FFFF0000"/>
      <name val="Calibri"/>
      <family val="2"/>
      <scheme val="minor"/>
    </font>
    <font>
      <sz val="9"/>
      <color rgb="FF00800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darkDown"/>
    </fill>
    <fill>
      <patternFill patternType="solid">
        <fgColor rgb="FFF4CCCC"/>
        <bgColor indexed="64"/>
      </patternFill>
    </fill>
    <fill>
      <patternFill patternType="solid">
        <fgColor rgb="FFF4CCCC"/>
        <bgColor rgb="FF000000"/>
      </patternFill>
    </fill>
    <fill>
      <patternFill patternType="solid">
        <fgColor rgb="FFC9DAF8"/>
        <bgColor rgb="FF000000"/>
      </patternFill>
    </fill>
  </fills>
  <borders count="4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09">
    <xf numFmtId="0" fontId="0" fillId="0" borderId="0"/>
    <xf numFmtId="0" fontId="3" fillId="0" borderId="0"/>
    <xf numFmtId="166" fontId="3" fillId="0" borderId="0">
      <alignment horizontal="right"/>
    </xf>
    <xf numFmtId="167" fontId="3" fillId="2" borderId="0"/>
    <xf numFmtId="168" fontId="3" fillId="2" borderId="0"/>
    <xf numFmtId="169" fontId="3" fillId="2" borderId="0"/>
    <xf numFmtId="170" fontId="3" fillId="2" borderId="0">
      <alignment horizontal="right"/>
    </xf>
    <xf numFmtId="171" fontId="4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72" fontId="6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6" fillId="0" borderId="0"/>
    <xf numFmtId="0" fontId="9" fillId="4" borderId="0" applyNumberFormat="0" applyBorder="0" applyAlignment="0" applyProtection="0"/>
    <xf numFmtId="173" fontId="10" fillId="0" borderId="0" applyFont="0" applyFill="0" applyBorder="0" applyAlignment="0" applyProtection="0"/>
    <xf numFmtId="38" fontId="10" fillId="0" borderId="0" applyFill="0" applyBorder="0" applyAlignment="0" applyProtection="0">
      <protection locked="0"/>
    </xf>
    <xf numFmtId="0" fontId="11" fillId="0" borderId="0"/>
    <xf numFmtId="37" fontId="12" fillId="0" borderId="0">
      <alignment horizontal="centerContinuous"/>
    </xf>
    <xf numFmtId="0" fontId="13" fillId="21" borderId="2" applyNumberFormat="0" applyAlignment="0" applyProtection="0"/>
    <xf numFmtId="173" fontId="10" fillId="0" borderId="0" applyFont="0" applyFill="0" applyBorder="0" applyAlignment="0" applyProtection="0">
      <protection locked="0"/>
    </xf>
    <xf numFmtId="173" fontId="10" fillId="0" borderId="3" applyFont="0" applyFill="0" applyAlignment="0" applyProtection="0"/>
    <xf numFmtId="0" fontId="14" fillId="22" borderId="4" applyNumberFormat="0" applyAlignment="0" applyProtection="0"/>
    <xf numFmtId="0" fontId="5" fillId="0" borderId="0">
      <alignment horizontal="center" wrapText="1"/>
      <protection hidden="1"/>
    </xf>
    <xf numFmtId="0" fontId="15" fillId="0" borderId="5" applyNumberFormat="0" applyFill="0" applyBorder="0" applyProtection="0">
      <alignment horizontal="left" vertical="center"/>
    </xf>
    <xf numFmtId="0" fontId="15" fillId="0" borderId="5" applyNumberFormat="0" applyFill="0" applyBorder="0" applyProtection="0">
      <alignment horizontal="right" vertical="center"/>
    </xf>
    <xf numFmtId="43" fontId="5" fillId="0" borderId="0" applyFont="0" applyFill="0" applyBorder="0" applyAlignment="0" applyProtection="0"/>
    <xf numFmtId="37" fontId="16" fillId="0" borderId="0" applyFont="0" applyFill="0" applyBorder="0" applyAlignment="0" applyProtection="0"/>
    <xf numFmtId="39" fontId="16" fillId="0" borderId="0" applyFont="0" applyFill="0" applyBorder="0" applyAlignment="0" applyProtection="0"/>
    <xf numFmtId="0" fontId="17" fillId="23" borderId="0">
      <alignment horizontal="center" vertical="center" wrapText="1"/>
    </xf>
    <xf numFmtId="174" fontId="5" fillId="0" borderId="0" applyFill="0" applyBorder="0">
      <alignment horizontal="right"/>
      <protection locked="0"/>
    </xf>
    <xf numFmtId="0" fontId="18" fillId="0" borderId="0" applyFont="0" applyFill="0" applyBorder="0" applyAlignment="0"/>
    <xf numFmtId="7" fontId="19" fillId="0" borderId="0" applyFont="0" applyFill="0" applyBorder="0" applyAlignment="0" applyProtection="0"/>
    <xf numFmtId="5" fontId="16" fillId="0" borderId="0" applyFont="0" applyFill="0" applyBorder="0" applyAlignment="0" applyProtection="0"/>
    <xf numFmtId="175" fontId="6" fillId="0" borderId="0" applyFill="0" applyBorder="0" applyProtection="0">
      <alignment horizontal="right"/>
    </xf>
    <xf numFmtId="176" fontId="3" fillId="2" borderId="6">
      <alignment horizontal="right"/>
    </xf>
    <xf numFmtId="177" fontId="3" fillId="2" borderId="6">
      <alignment horizontal="right"/>
    </xf>
    <xf numFmtId="176" fontId="3" fillId="2" borderId="6">
      <alignment horizontal="right"/>
    </xf>
    <xf numFmtId="15" fontId="20" fillId="0" borderId="0" applyFill="0" applyBorder="0" applyAlignment="0"/>
    <xf numFmtId="178" fontId="18" fillId="24" borderId="0" applyFont="0" applyFill="0" applyBorder="0" applyAlignment="0" applyProtection="0"/>
    <xf numFmtId="179" fontId="20" fillId="0" borderId="5"/>
    <xf numFmtId="14" fontId="21" fillId="0" borderId="0" applyFont="0" applyFill="0" applyBorder="0" applyAlignment="0" applyProtection="0">
      <alignment horizontal="center"/>
    </xf>
    <xf numFmtId="180" fontId="21" fillId="0" borderId="0" applyFont="0" applyFill="0" applyBorder="0" applyAlignment="0" applyProtection="0">
      <alignment horizontal="center"/>
    </xf>
    <xf numFmtId="181" fontId="6" fillId="0" borderId="0" applyFont="0" applyFill="0" applyBorder="0" applyAlignment="0" applyProtection="0"/>
    <xf numFmtId="8" fontId="10" fillId="0" borderId="0" applyFont="0" applyFill="0" applyBorder="0" applyAlignment="0" applyProtection="0"/>
    <xf numFmtId="6" fontId="10" fillId="0" borderId="0" applyFont="0" applyFill="0" applyBorder="0" applyAlignment="0" applyProtection="0">
      <alignment horizontal="right"/>
    </xf>
    <xf numFmtId="6" fontId="10" fillId="0" borderId="0" applyFont="0" applyFill="0" applyBorder="0" applyAlignment="0" applyProtection="0"/>
    <xf numFmtId="39" fontId="3" fillId="25" borderId="0"/>
    <xf numFmtId="7" fontId="3" fillId="25" borderId="0" applyBorder="0"/>
    <xf numFmtId="182" fontId="3" fillId="25" borderId="0"/>
    <xf numFmtId="183" fontId="3" fillId="0" borderId="0"/>
    <xf numFmtId="184" fontId="3" fillId="25" borderId="0"/>
    <xf numFmtId="185" fontId="11" fillId="0" borderId="0" applyFont="0" applyFill="0" applyBorder="0" applyProtection="0">
      <alignment horizontal="left"/>
      <protection locked="0"/>
    </xf>
    <xf numFmtId="186" fontId="3" fillId="0" borderId="0"/>
    <xf numFmtId="187" fontId="11" fillId="0" borderId="0" applyFont="0" applyFill="0" applyBorder="0" applyProtection="0">
      <alignment horizontal="left"/>
      <protection locked="0"/>
    </xf>
    <xf numFmtId="188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1" fontId="3" fillId="0" borderId="7"/>
    <xf numFmtId="189" fontId="3" fillId="2" borderId="6">
      <alignment horizontal="right"/>
    </xf>
    <xf numFmtId="190" fontId="3" fillId="2" borderId="6">
      <alignment horizontal="right"/>
    </xf>
    <xf numFmtId="189" fontId="3" fillId="2" borderId="6">
      <alignment horizontal="right"/>
    </xf>
    <xf numFmtId="191" fontId="10" fillId="0" borderId="0" applyFill="0" applyBorder="0" applyAlignment="0" applyProtection="0">
      <protection locked="0"/>
    </xf>
    <xf numFmtId="0" fontId="23" fillId="5" borderId="0" applyNumberFormat="0" applyBorder="0" applyAlignment="0" applyProtection="0"/>
    <xf numFmtId="192" fontId="24" fillId="0" borderId="0" applyFill="0" applyBorder="0" applyAlignment="0" applyProtection="0"/>
    <xf numFmtId="171" fontId="25" fillId="0" borderId="0" applyAlignment="0">
      <alignment horizontal="left"/>
      <protection locked="0"/>
    </xf>
    <xf numFmtId="191" fontId="6" fillId="26" borderId="8" applyNumberFormat="0" applyFont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191" fontId="29" fillId="0" borderId="0" applyNumberFormat="0" applyFill="0" applyBorder="0" applyAlignment="0" applyProtection="0"/>
    <xf numFmtId="0" fontId="30" fillId="0" borderId="0"/>
    <xf numFmtId="173" fontId="10" fillId="0" borderId="0" applyFont="0" applyFill="0" applyBorder="0" applyAlignment="0" applyProtection="0"/>
    <xf numFmtId="38" fontId="10" fillId="0" borderId="0" applyFill="0" applyBorder="0" applyAlignment="0" applyProtection="0">
      <alignment horizontal="right"/>
      <protection locked="0"/>
    </xf>
    <xf numFmtId="0" fontId="31" fillId="8" borderId="2" applyNumberFormat="0" applyAlignment="0" applyProtection="0"/>
    <xf numFmtId="0" fontId="18" fillId="24" borderId="0" applyFont="0" applyBorder="0" applyAlignment="0">
      <protection locked="0"/>
    </xf>
    <xf numFmtId="0" fontId="5" fillId="0" borderId="0" applyFill="0" applyBorder="0">
      <alignment horizontal="right"/>
      <protection locked="0"/>
    </xf>
    <xf numFmtId="17" fontId="32" fillId="27" borderId="0"/>
    <xf numFmtId="193" fontId="5" fillId="0" borderId="0" applyFill="0" applyBorder="0">
      <alignment horizontal="right"/>
      <protection locked="0"/>
    </xf>
    <xf numFmtId="0" fontId="33" fillId="28" borderId="12">
      <alignment horizontal="left" vertical="center" wrapText="1"/>
    </xf>
    <xf numFmtId="0" fontId="34" fillId="0" borderId="13" applyNumberFormat="0" applyFill="0" applyAlignment="0" applyProtection="0"/>
    <xf numFmtId="194" fontId="10" fillId="0" borderId="0" applyFont="0" applyFill="0" applyBorder="0" applyAlignment="0" applyProtection="0">
      <alignment horizontal="right"/>
    </xf>
    <xf numFmtId="195" fontId="3" fillId="0" borderId="0">
      <alignment horizontal="right"/>
    </xf>
    <xf numFmtId="196" fontId="3" fillId="25" borderId="0">
      <alignment horizontal="right"/>
    </xf>
    <xf numFmtId="197" fontId="3" fillId="0" borderId="0">
      <alignment horizontal="right"/>
    </xf>
    <xf numFmtId="195" fontId="3" fillId="0" borderId="0">
      <alignment horizontal="right"/>
    </xf>
    <xf numFmtId="171" fontId="35" fillId="0" borderId="0" applyFill="0" applyBorder="0" applyAlignment="0" applyProtection="0">
      <alignment horizontal="right"/>
    </xf>
    <xf numFmtId="171" fontId="35" fillId="0" borderId="0" applyFill="0" applyBorder="0" applyAlignment="0" applyProtection="0"/>
    <xf numFmtId="198" fontId="3" fillId="2" borderId="6">
      <alignment horizontal="right"/>
    </xf>
    <xf numFmtId="199" fontId="10" fillId="0" borderId="0" applyFont="0" applyFill="0" applyBorder="0" applyAlignment="0" applyProtection="0"/>
    <xf numFmtId="0" fontId="16" fillId="2" borderId="0" applyFont="0" applyBorder="0" applyAlignment="0" applyProtection="0">
      <alignment horizontal="right"/>
      <protection hidden="1"/>
    </xf>
    <xf numFmtId="0" fontId="36" fillId="26" borderId="0" applyNumberFormat="0" applyBorder="0" applyAlignment="0" applyProtection="0"/>
    <xf numFmtId="37" fontId="19" fillId="0" borderId="0" applyFont="0" applyFill="0" applyBorder="0" applyAlignment="0" applyProtection="0"/>
    <xf numFmtId="200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0" fontId="7" fillId="29" borderId="14" applyNumberFormat="0" applyFont="0" applyAlignment="0" applyProtection="0"/>
    <xf numFmtId="0" fontId="16" fillId="0" borderId="0" applyFont="0" applyFill="0" applyBorder="0" applyAlignment="0" applyProtection="0"/>
    <xf numFmtId="203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7" fillId="21" borderId="15" applyNumberFormat="0" applyAlignment="0" applyProtection="0"/>
    <xf numFmtId="204" fontId="10" fillId="0" borderId="0" applyFont="0" applyFill="0" applyBorder="0" applyAlignment="0" applyProtection="0">
      <alignment horizontal="right"/>
    </xf>
    <xf numFmtId="0" fontId="38" fillId="0" borderId="0" applyNumberFormat="0" applyFill="0" applyBorder="0" applyAlignment="0" applyProtection="0"/>
    <xf numFmtId="0" fontId="18" fillId="0" borderId="0"/>
    <xf numFmtId="205" fontId="3" fillId="25" borderId="0"/>
    <xf numFmtId="9" fontId="10" fillId="0" borderId="0" applyFont="0" applyFill="0" applyBorder="0" applyAlignment="0" applyProtection="0">
      <alignment horizontal="right"/>
    </xf>
    <xf numFmtId="206" fontId="3" fillId="0" borderId="0"/>
    <xf numFmtId="0" fontId="5" fillId="0" borderId="0" applyFont="0" applyFill="0" applyBorder="0" applyAlignment="0"/>
    <xf numFmtId="167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208" fontId="5" fillId="0" borderId="0" applyFill="0" applyBorder="0">
      <alignment horizontal="right"/>
      <protection locked="0"/>
    </xf>
    <xf numFmtId="192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173" fontId="10" fillId="0" borderId="0" applyFont="0" applyFill="0" applyBorder="0" applyAlignment="0" applyProtection="0">
      <protection locked="0"/>
    </xf>
    <xf numFmtId="191" fontId="10" fillId="0" borderId="0" applyFill="0" applyBorder="0" applyAlignment="0" applyProtection="0"/>
    <xf numFmtId="38" fontId="10" fillId="0" borderId="0" applyFont="0" applyFill="0" applyBorder="0" applyAlignment="0" applyProtection="0"/>
    <xf numFmtId="169" fontId="3" fillId="2" borderId="16">
      <alignment horizontal="right"/>
    </xf>
    <xf numFmtId="209" fontId="39" fillId="2" borderId="0"/>
    <xf numFmtId="210" fontId="3" fillId="2" borderId="0"/>
    <xf numFmtId="0" fontId="40" fillId="0" borderId="0">
      <alignment horizontal="center"/>
    </xf>
    <xf numFmtId="0" fontId="3" fillId="0" borderId="5">
      <alignment horizontal="centerContinuous"/>
    </xf>
    <xf numFmtId="211" fontId="3" fillId="2" borderId="0">
      <alignment horizontal="right"/>
    </xf>
    <xf numFmtId="212" fontId="3" fillId="2" borderId="6">
      <alignment horizontal="right"/>
    </xf>
    <xf numFmtId="213" fontId="5" fillId="0" borderId="0">
      <alignment horizontal="right"/>
      <protection locked="0"/>
    </xf>
    <xf numFmtId="191" fontId="21" fillId="0" borderId="0" applyFont="0" applyFill="0" applyBorder="0" applyAlignment="0" applyProtection="0"/>
    <xf numFmtId="0" fontId="41" fillId="0" borderId="0" applyNumberFormat="0" applyFill="0" applyBorder="0" applyProtection="0">
      <alignment horizontal="right" vertical="center"/>
    </xf>
    <xf numFmtId="0" fontId="42" fillId="23" borderId="8">
      <alignment horizontal="center" vertical="center" wrapText="1"/>
      <protection hidden="1"/>
    </xf>
    <xf numFmtId="173" fontId="10" fillId="0" borderId="0" applyFill="0" applyBorder="0" applyAlignment="0" applyProtection="0">
      <protection locked="0"/>
    </xf>
    <xf numFmtId="214" fontId="21" fillId="0" borderId="0" applyFont="0" applyFill="0" applyBorder="0" applyAlignment="0" applyProtection="0">
      <alignment horizontal="right"/>
    </xf>
    <xf numFmtId="38" fontId="5" fillId="0" borderId="0" applyFont="0" applyFill="0" applyBorder="0" applyAlignment="0" applyProtection="0"/>
    <xf numFmtId="0" fontId="43" fillId="0" borderId="17" applyNumberFormat="0" applyFill="0" applyProtection="0">
      <alignment horizontal="left" vertical="top" wrapText="1"/>
    </xf>
    <xf numFmtId="0" fontId="30" fillId="0" borderId="0" applyNumberFormat="0" applyFill="0" applyBorder="0" applyProtection="0">
      <alignment horizontal="left" vertical="top" wrapText="1"/>
    </xf>
    <xf numFmtId="0" fontId="44" fillId="0" borderId="0" applyNumberFormat="0" applyFill="0" applyProtection="0">
      <alignment horizontal="left" vertical="top" wrapText="1"/>
    </xf>
    <xf numFmtId="0" fontId="45" fillId="0" borderId="0" applyNumberFormat="0" applyFill="0" applyBorder="0" applyProtection="0"/>
    <xf numFmtId="0" fontId="46" fillId="30" borderId="0" applyNumberFormat="0" applyBorder="0" applyProtection="0"/>
    <xf numFmtId="0" fontId="47" fillId="0" borderId="0" applyNumberFormat="0" applyFill="0" applyBorder="0" applyProtection="0">
      <alignment vertical="top"/>
    </xf>
    <xf numFmtId="215" fontId="48" fillId="0" borderId="0" applyFill="0" applyBorder="0" applyProtection="0">
      <alignment horizontal="right" wrapText="1"/>
    </xf>
    <xf numFmtId="216" fontId="48" fillId="0" borderId="0" applyFill="0" applyBorder="0" applyProtection="0">
      <alignment horizontal="right"/>
    </xf>
    <xf numFmtId="4" fontId="18" fillId="0" borderId="0" applyFill="0" applyBorder="0" applyProtection="0">
      <alignment horizontal="right"/>
    </xf>
    <xf numFmtId="184" fontId="49" fillId="0" borderId="0" applyFill="0" applyBorder="0" applyAlignment="0" applyProtection="0"/>
    <xf numFmtId="217" fontId="50" fillId="0" borderId="0" applyFill="0" applyBorder="0" applyAlignment="0" applyProtection="0">
      <alignment horizontal="left"/>
      <protection locked="0"/>
    </xf>
    <xf numFmtId="217" fontId="50" fillId="0" borderId="0" applyFill="0" applyBorder="0" applyAlignment="0" applyProtection="0"/>
    <xf numFmtId="217" fontId="51" fillId="0" borderId="0" applyFill="0" applyBorder="0" applyAlignment="0" applyProtection="0">
      <alignment horizontal="left"/>
      <protection locked="0"/>
    </xf>
    <xf numFmtId="217" fontId="51" fillId="0" borderId="0" applyFill="0" applyBorder="0" applyAlignment="0" applyProtection="0">
      <protection locked="0"/>
    </xf>
    <xf numFmtId="191" fontId="10" fillId="0" borderId="0" applyFill="0" applyBorder="0" applyAlignment="0" applyProtection="0">
      <protection locked="0"/>
    </xf>
    <xf numFmtId="191" fontId="49" fillId="0" borderId="0" applyFill="0" applyBorder="0" applyAlignment="0" applyProtection="0"/>
    <xf numFmtId="49" fontId="52" fillId="0" borderId="0"/>
    <xf numFmtId="218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1" borderId="0" applyNumberFormat="0" applyBorder="0" applyProtection="0">
      <alignment horizontal="left" vertical="center"/>
    </xf>
    <xf numFmtId="191" fontId="55" fillId="0" borderId="0" applyNumberFormat="0" applyFill="0" applyBorder="0" applyAlignment="0" applyProtection="0"/>
    <xf numFmtId="0" fontId="5" fillId="0" borderId="0" applyBorder="0"/>
    <xf numFmtId="38" fontId="56" fillId="0" borderId="0" applyFill="0" applyBorder="0" applyAlignment="0" applyProtection="0">
      <alignment horizontal="left"/>
    </xf>
    <xf numFmtId="0" fontId="57" fillId="0" borderId="0"/>
    <xf numFmtId="0" fontId="58" fillId="0" borderId="18" applyNumberFormat="0" applyFill="0" applyAlignment="0" applyProtection="0"/>
    <xf numFmtId="0" fontId="59" fillId="0" borderId="0" applyNumberFormat="0" applyFill="0" applyBorder="0" applyAlignment="0" applyProtection="0"/>
    <xf numFmtId="1" fontId="10" fillId="0" borderId="0" applyFont="0" applyFill="0" applyBorder="0" applyAlignment="0" applyProtection="0"/>
    <xf numFmtId="220" fontId="19" fillId="0" borderId="0" applyFont="0" applyFill="0" applyBorder="0" applyAlignment="0" applyProtection="0"/>
    <xf numFmtId="227" fontId="20" fillId="0" borderId="0" applyFill="0" applyBorder="0" applyAlignment="0" applyProtection="0">
      <alignment horizontal="right"/>
    </xf>
    <xf numFmtId="0" fontId="67" fillId="0" borderId="0" applyAlignment="0"/>
    <xf numFmtId="0" fontId="68" fillId="0" borderId="0" applyAlignment="0"/>
    <xf numFmtId="0" fontId="46" fillId="31" borderId="0" applyAlignment="0"/>
    <xf numFmtId="228" fontId="18" fillId="0" borderId="21" applyFont="0" applyFill="0" applyBorder="0" applyAlignment="0" applyProtection="0"/>
    <xf numFmtId="229" fontId="20" fillId="0" borderId="0" applyFont="0" applyFill="0" applyBorder="0" applyAlignment="0" applyProtection="0"/>
    <xf numFmtId="230" fontId="18" fillId="0" borderId="0" applyFont="0" applyFill="0" applyBorder="0" applyAlignment="0" applyProtection="0"/>
    <xf numFmtId="178" fontId="69" fillId="24" borderId="22" applyFont="0" applyFill="0" applyBorder="0" applyAlignment="0" applyProtection="0"/>
    <xf numFmtId="0" fontId="70" fillId="0" borderId="0" applyAlignment="0"/>
    <xf numFmtId="14" fontId="20" fillId="0" borderId="5" applyFont="0" applyFill="0" applyBorder="0" applyAlignment="0" applyProtection="0"/>
    <xf numFmtId="0" fontId="71" fillId="32" borderId="23"/>
    <xf numFmtId="0" fontId="72" fillId="33" borderId="0" applyAlignment="0"/>
    <xf numFmtId="0" fontId="73" fillId="34" borderId="0" applyAlignment="0"/>
    <xf numFmtId="0" fontId="74" fillId="0" borderId="0" applyAlignment="0"/>
    <xf numFmtId="231" fontId="18" fillId="0" borderId="0" applyFont="0" applyFill="0" applyBorder="0" applyAlignment="0" applyProtection="0">
      <alignment horizontal="right"/>
    </xf>
    <xf numFmtId="191" fontId="75" fillId="0" borderId="0" applyNumberFormat="0" applyFill="0" applyBorder="0" applyAlignment="0" applyProtection="0">
      <alignment horizontal="left"/>
    </xf>
    <xf numFmtId="0" fontId="76" fillId="35" borderId="0" applyAlignment="0"/>
    <xf numFmtId="0" fontId="77" fillId="0" borderId="0" applyAlignment="0"/>
    <xf numFmtId="0" fontId="78" fillId="0" borderId="0" applyAlignment="0"/>
    <xf numFmtId="0" fontId="79" fillId="0" borderId="0" applyAlignment="0"/>
    <xf numFmtId="0" fontId="80" fillId="0" borderId="0" applyAlignment="0"/>
    <xf numFmtId="0" fontId="47" fillId="0" borderId="0" applyAlignment="0"/>
    <xf numFmtId="232" fontId="18" fillId="0" borderId="0" applyFont="0" applyFill="0" applyBorder="0" applyAlignment="0" applyProtection="0">
      <alignment horizontal="right"/>
    </xf>
    <xf numFmtId="0" fontId="81" fillId="0" borderId="0" applyAlignment="0"/>
    <xf numFmtId="233" fontId="18" fillId="0" borderId="0" applyFont="0" applyFill="0" applyBorder="0" applyAlignment="0"/>
  </cellStyleXfs>
  <cellXfs count="191">
    <xf numFmtId="0" fontId="0" fillId="0" borderId="0" xfId="0"/>
    <xf numFmtId="0" fontId="2" fillId="0" borderId="0" xfId="0" applyFont="1"/>
    <xf numFmtId="14" fontId="61" fillId="0" borderId="0" xfId="0" applyNumberFormat="1" applyFont="1" applyAlignment="1">
      <alignment horizontal="left"/>
    </xf>
    <xf numFmtId="37" fontId="1" fillId="0" borderId="0" xfId="0" applyNumberFormat="1" applyFont="1"/>
    <xf numFmtId="164" fontId="0" fillId="0" borderId="0" xfId="0" applyNumberFormat="1"/>
    <xf numFmtId="0" fontId="62" fillId="0" borderId="1" xfId="0" applyFont="1" applyBorder="1"/>
    <xf numFmtId="0" fontId="63" fillId="0" borderId="1" xfId="0" applyFont="1" applyBorder="1"/>
    <xf numFmtId="0" fontId="0" fillId="0" borderId="1" xfId="0" applyBorder="1"/>
    <xf numFmtId="221" fontId="62" fillId="0" borderId="0" xfId="0" applyNumberFormat="1" applyFont="1"/>
    <xf numFmtId="222" fontId="62" fillId="0" borderId="0" xfId="0" applyNumberFormat="1" applyFont="1"/>
    <xf numFmtId="0" fontId="64" fillId="0" borderId="1" xfId="0" applyFont="1" applyBorder="1"/>
    <xf numFmtId="223" fontId="64" fillId="0" borderId="1" xfId="0" applyNumberFormat="1" applyFont="1" applyBorder="1"/>
    <xf numFmtId="0" fontId="64" fillId="0" borderId="0" xfId="0" applyFont="1"/>
    <xf numFmtId="223" fontId="65" fillId="0" borderId="0" xfId="0" applyNumberFormat="1" applyFont="1"/>
    <xf numFmtId="223" fontId="64" fillId="0" borderId="0" xfId="0" applyNumberFormat="1" applyFont="1"/>
    <xf numFmtId="37" fontId="2" fillId="0" borderId="0" xfId="0" applyNumberFormat="1" applyFont="1"/>
    <xf numFmtId="0" fontId="62" fillId="0" borderId="0" xfId="0" applyFont="1"/>
    <xf numFmtId="37" fontId="60" fillId="0" borderId="0" xfId="0" applyNumberFormat="1" applyFont="1"/>
    <xf numFmtId="37" fontId="0" fillId="0" borderId="0" xfId="0" applyNumberFormat="1"/>
    <xf numFmtId="0" fontId="66" fillId="0" borderId="0" xfId="0" applyFont="1"/>
    <xf numFmtId="0" fontId="0" fillId="0" borderId="0" xfId="0" applyAlignment="1">
      <alignment horizontal="left" indent="1"/>
    </xf>
    <xf numFmtId="164" fontId="2" fillId="0" borderId="0" xfId="0" applyNumberFormat="1" applyFont="1"/>
    <xf numFmtId="164" fontId="1" fillId="0" borderId="0" xfId="0" applyNumberFormat="1" applyFont="1"/>
    <xf numFmtId="221" fontId="60" fillId="0" borderId="0" xfId="0" applyNumberFormat="1" applyFont="1"/>
    <xf numFmtId="222" fontId="60" fillId="0" borderId="0" xfId="0" applyNumberFormat="1" applyFont="1"/>
    <xf numFmtId="223" fontId="61" fillId="0" borderId="1" xfId="0" applyNumberFormat="1" applyFont="1" applyBorder="1"/>
    <xf numFmtId="14" fontId="64" fillId="0" borderId="0" xfId="0" applyNumberFormat="1" applyFont="1"/>
    <xf numFmtId="0" fontId="62" fillId="0" borderId="0" xfId="0" applyFont="1" applyAlignment="1">
      <alignment horizontal="left"/>
    </xf>
    <xf numFmtId="0" fontId="0" fillId="0" borderId="0" xfId="0" applyAlignment="1">
      <alignment horizontal="left"/>
    </xf>
    <xf numFmtId="37" fontId="62" fillId="0" borderId="0" xfId="0" applyNumberFormat="1" applyFont="1"/>
    <xf numFmtId="37" fontId="64" fillId="0" borderId="0" xfId="0" applyNumberFormat="1" applyFont="1"/>
    <xf numFmtId="0" fontId="0" fillId="0" borderId="0" xfId="0" quotePrefix="1" applyAlignment="1">
      <alignment horizontal="left" indent="1"/>
    </xf>
    <xf numFmtId="164" fontId="0" fillId="0" borderId="1" xfId="0" applyNumberFormat="1" applyBorder="1"/>
    <xf numFmtId="9" fontId="1" fillId="0" borderId="1" xfId="0" applyNumberFormat="1" applyFont="1" applyBorder="1"/>
    <xf numFmtId="3" fontId="0" fillId="0" borderId="0" xfId="0" applyNumberFormat="1"/>
    <xf numFmtId="0" fontId="62" fillId="0" borderId="0" xfId="0" applyFont="1" applyAlignment="1">
      <alignment horizontal="left" indent="1"/>
    </xf>
    <xf numFmtId="10" fontId="1" fillId="0" borderId="0" xfId="0" applyNumberFormat="1" applyFont="1"/>
    <xf numFmtId="225" fontId="1" fillId="0" borderId="0" xfId="0" applyNumberFormat="1" applyFont="1"/>
    <xf numFmtId="4" fontId="0" fillId="0" borderId="0" xfId="0" applyNumberFormat="1"/>
    <xf numFmtId="0" fontId="66" fillId="0" borderId="0" xfId="0" applyFont="1" applyAlignment="1">
      <alignment horizontal="left" indent="1"/>
    </xf>
    <xf numFmtId="0" fontId="0" fillId="0" borderId="24" xfId="0" applyBorder="1"/>
    <xf numFmtId="37" fontId="2" fillId="0" borderId="0" xfId="0" applyNumberFormat="1" applyFont="1" applyAlignment="1">
      <alignment horizontal="left" indent="1"/>
    </xf>
    <xf numFmtId="37" fontId="62" fillId="0" borderId="1" xfId="0" applyNumberFormat="1" applyFont="1" applyBorder="1"/>
    <xf numFmtId="37" fontId="62" fillId="0" borderId="1" xfId="0" applyNumberFormat="1" applyFont="1" applyBorder="1" applyAlignment="1">
      <alignment horizontal="left"/>
    </xf>
    <xf numFmtId="222" fontId="62" fillId="0" borderId="20" xfId="0" applyNumberFormat="1" applyFont="1" applyBorder="1"/>
    <xf numFmtId="0" fontId="0" fillId="0" borderId="20" xfId="0" applyBorder="1"/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19" xfId="0" applyBorder="1"/>
    <xf numFmtId="0" fontId="0" fillId="0" borderId="0" xfId="0" applyAlignment="1">
      <alignment horizontal="left" indent="2"/>
    </xf>
    <xf numFmtId="226" fontId="0" fillId="0" borderId="0" xfId="0" applyNumberFormat="1"/>
    <xf numFmtId="0" fontId="62" fillId="0" borderId="5" xfId="0" applyFont="1" applyBorder="1"/>
    <xf numFmtId="9" fontId="64" fillId="0" borderId="0" xfId="0" applyNumberFormat="1" applyFont="1"/>
    <xf numFmtId="194" fontId="64" fillId="0" borderId="0" xfId="0" applyNumberFormat="1" applyFont="1"/>
    <xf numFmtId="0" fontId="0" fillId="0" borderId="0" xfId="0" quotePrefix="1"/>
    <xf numFmtId="234" fontId="1" fillId="37" borderId="0" xfId="0" applyNumberFormat="1" applyFont="1" applyFill="1"/>
    <xf numFmtId="223" fontId="64" fillId="0" borderId="5" xfId="0" applyNumberFormat="1" applyFont="1" applyBorder="1"/>
    <xf numFmtId="3" fontId="1" fillId="0" borderId="0" xfId="0" applyNumberFormat="1" applyFont="1"/>
    <xf numFmtId="37" fontId="1" fillId="37" borderId="0" xfId="0" applyNumberFormat="1" applyFont="1" applyFill="1"/>
    <xf numFmtId="37" fontId="0" fillId="37" borderId="0" xfId="0" applyNumberFormat="1" applyFill="1"/>
    <xf numFmtId="234" fontId="0" fillId="0" borderId="0" xfId="0" applyNumberFormat="1"/>
    <xf numFmtId="0" fontId="83" fillId="0" borderId="0" xfId="0" applyFont="1" applyAlignment="1">
      <alignment horizontal="left"/>
    </xf>
    <xf numFmtId="37" fontId="1" fillId="0" borderId="29" xfId="0" applyNumberFormat="1" applyFont="1" applyBorder="1"/>
    <xf numFmtId="0" fontId="62" fillId="0" borderId="19" xfId="0" applyFont="1" applyBorder="1"/>
    <xf numFmtId="0" fontId="0" fillId="0" borderId="5" xfId="0" applyBorder="1"/>
    <xf numFmtId="235" fontId="0" fillId="0" borderId="0" xfId="0" applyNumberFormat="1"/>
    <xf numFmtId="3" fontId="84" fillId="0" borderId="0" xfId="0" applyNumberFormat="1" applyFont="1"/>
    <xf numFmtId="0" fontId="0" fillId="0" borderId="29" xfId="0" applyBorder="1"/>
    <xf numFmtId="37" fontId="0" fillId="0" borderId="29" xfId="0" applyNumberFormat="1" applyBorder="1"/>
    <xf numFmtId="0" fontId="0" fillId="0" borderId="29" xfId="0" quotePrefix="1" applyBorder="1" applyAlignment="1">
      <alignment horizontal="left" indent="1"/>
    </xf>
    <xf numFmtId="0" fontId="0" fillId="0" borderId="29" xfId="0" applyBorder="1" applyAlignment="1">
      <alignment horizontal="left" indent="1"/>
    </xf>
    <xf numFmtId="0" fontId="0" fillId="0" borderId="30" xfId="0" applyBorder="1"/>
    <xf numFmtId="164" fontId="2" fillId="0" borderId="30" xfId="0" applyNumberFormat="1" applyFont="1" applyBorder="1"/>
    <xf numFmtId="0" fontId="0" fillId="0" borderId="23" xfId="0" applyBorder="1"/>
    <xf numFmtId="164" fontId="0" fillId="0" borderId="23" xfId="0" applyNumberFormat="1" applyBorder="1"/>
    <xf numFmtId="164" fontId="2" fillId="0" borderId="23" xfId="0" applyNumberFormat="1" applyFont="1" applyBorder="1"/>
    <xf numFmtId="0" fontId="62" fillId="0" borderId="32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235" fontId="1" fillId="36" borderId="25" xfId="0" applyNumberFormat="1" applyFont="1" applyFill="1" applyBorder="1" applyAlignment="1">
      <alignment horizontal="center"/>
    </xf>
    <xf numFmtId="8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223" fontId="1" fillId="0" borderId="0" xfId="0" applyNumberFormat="1" applyFont="1" applyAlignment="1">
      <alignment horizontal="center"/>
    </xf>
    <xf numFmtId="0" fontId="86" fillId="0" borderId="35" xfId="0" applyFont="1" applyBorder="1" applyAlignment="1">
      <alignment horizontal="left" indent="2"/>
    </xf>
    <xf numFmtId="37" fontId="85" fillId="0" borderId="36" xfId="0" applyNumberFormat="1" applyFont="1" applyBorder="1" applyAlignment="1">
      <alignment horizontal="right"/>
    </xf>
    <xf numFmtId="37" fontId="85" fillId="0" borderId="37" xfId="0" applyNumberFormat="1" applyFont="1" applyBorder="1" applyAlignment="1">
      <alignment horizontal="right"/>
    </xf>
    <xf numFmtId="0" fontId="86" fillId="0" borderId="0" xfId="0" applyFont="1" applyAlignment="1">
      <alignment horizontal="center"/>
    </xf>
    <xf numFmtId="37" fontId="85" fillId="0" borderId="0" xfId="0" applyNumberFormat="1" applyFont="1" applyAlignment="1">
      <alignment horizontal="right"/>
    </xf>
    <xf numFmtId="37" fontId="0" fillId="0" borderId="36" xfId="0" applyNumberFormat="1" applyBorder="1"/>
    <xf numFmtId="0" fontId="0" fillId="0" borderId="36" xfId="0" applyBorder="1"/>
    <xf numFmtId="37" fontId="0" fillId="0" borderId="32" xfId="0" applyNumberFormat="1" applyBorder="1"/>
    <xf numFmtId="0" fontId="62" fillId="0" borderId="1" xfId="0" applyFont="1" applyBorder="1" applyAlignment="1">
      <alignment horizontal="left"/>
    </xf>
    <xf numFmtId="164" fontId="2" fillId="0" borderId="1" xfId="0" applyNumberFormat="1" applyFont="1" applyBorder="1"/>
    <xf numFmtId="201" fontId="1" fillId="37" borderId="0" xfId="0" applyNumberFormat="1" applyFont="1" applyFill="1" applyAlignment="1">
      <alignment horizontal="center"/>
    </xf>
    <xf numFmtId="201" fontId="1" fillId="0" borderId="0" xfId="0" applyNumberFormat="1" applyFont="1" applyAlignment="1">
      <alignment horizontal="center"/>
    </xf>
    <xf numFmtId="37" fontId="2" fillId="0" borderId="29" xfId="0" applyNumberFormat="1" applyFont="1" applyBorder="1"/>
    <xf numFmtId="164" fontId="2" fillId="37" borderId="0" xfId="0" applyNumberFormat="1" applyFont="1" applyFill="1"/>
    <xf numFmtId="0" fontId="2" fillId="38" borderId="0" xfId="0" applyFont="1" applyFill="1"/>
    <xf numFmtId="0" fontId="60" fillId="0" borderId="0" xfId="0" applyFont="1"/>
    <xf numFmtId="37" fontId="2" fillId="37" borderId="0" xfId="0" applyNumberFormat="1" applyFont="1" applyFill="1"/>
    <xf numFmtId="37" fontId="60" fillId="37" borderId="0" xfId="0" applyNumberFormat="1" applyFont="1" applyFill="1"/>
    <xf numFmtId="37" fontId="62" fillId="37" borderId="0" xfId="0" applyNumberFormat="1" applyFont="1" applyFill="1"/>
    <xf numFmtId="37" fontId="0" fillId="37" borderId="29" xfId="0" applyNumberFormat="1" applyFill="1" applyBorder="1"/>
    <xf numFmtId="37" fontId="2" fillId="0" borderId="32" xfId="0" applyNumberFormat="1" applyFont="1" applyBorder="1"/>
    <xf numFmtId="37" fontId="2" fillId="37" borderId="29" xfId="0" applyNumberFormat="1" applyFont="1" applyFill="1" applyBorder="1"/>
    <xf numFmtId="37" fontId="2" fillId="37" borderId="32" xfId="0" applyNumberFormat="1" applyFont="1" applyFill="1" applyBorder="1"/>
    <xf numFmtId="37" fontId="0" fillId="39" borderId="0" xfId="0" applyNumberFormat="1" applyFill="1"/>
    <xf numFmtId="37" fontId="62" fillId="0" borderId="29" xfId="0" applyNumberFormat="1" applyFont="1" applyBorder="1"/>
    <xf numFmtId="37" fontId="62" fillId="39" borderId="0" xfId="0" applyNumberFormat="1" applyFont="1" applyFill="1"/>
    <xf numFmtId="0" fontId="60" fillId="0" borderId="33" xfId="0" applyFont="1" applyBorder="1" applyAlignment="1">
      <alignment horizontal="left" indent="1"/>
    </xf>
    <xf numFmtId="37" fontId="60" fillId="0" borderId="33" xfId="0" applyNumberFormat="1" applyFont="1" applyBorder="1"/>
    <xf numFmtId="37" fontId="0" fillId="39" borderId="29" xfId="0" applyNumberFormat="1" applyFill="1" applyBorder="1"/>
    <xf numFmtId="238" fontId="82" fillId="39" borderId="0" xfId="0" applyNumberFormat="1" applyFont="1" applyFill="1"/>
    <xf numFmtId="37" fontId="60" fillId="39" borderId="33" xfId="0" applyNumberFormat="1" applyFont="1" applyFill="1" applyBorder="1"/>
    <xf numFmtId="37" fontId="60" fillId="39" borderId="0" xfId="0" applyNumberFormat="1" applyFont="1" applyFill="1"/>
    <xf numFmtId="5" fontId="2" fillId="37" borderId="26" xfId="0" applyNumberFormat="1" applyFont="1" applyFill="1" applyBorder="1"/>
    <xf numFmtId="238" fontId="2" fillId="40" borderId="0" xfId="0" applyNumberFormat="1" applyFont="1" applyFill="1"/>
    <xf numFmtId="37" fontId="2" fillId="40" borderId="0" xfId="0" applyNumberFormat="1" applyFont="1" applyFill="1"/>
    <xf numFmtId="0" fontId="87" fillId="0" borderId="39" xfId="0" applyFont="1" applyBorder="1" applyAlignment="1">
      <alignment horizontal="center"/>
    </xf>
    <xf numFmtId="0" fontId="0" fillId="0" borderId="38" xfId="0" applyBorder="1"/>
    <xf numFmtId="234" fontId="1" fillId="0" borderId="38" xfId="0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234" fontId="1" fillId="0" borderId="40" xfId="0" applyNumberFormat="1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0" fontId="0" fillId="0" borderId="42" xfId="0" applyBorder="1"/>
    <xf numFmtId="0" fontId="62" fillId="0" borderId="43" xfId="0" applyFont="1" applyBorder="1"/>
    <xf numFmtId="238" fontId="82" fillId="0" borderId="0" xfId="0" applyNumberFormat="1" applyFont="1"/>
    <xf numFmtId="238" fontId="2" fillId="0" borderId="0" xfId="0" applyNumberFormat="1" applyFont="1"/>
    <xf numFmtId="165" fontId="2" fillId="0" borderId="0" xfId="0" applyNumberFormat="1" applyFont="1"/>
    <xf numFmtId="165" fontId="0" fillId="0" borderId="0" xfId="0" applyNumberFormat="1"/>
    <xf numFmtId="6" fontId="0" fillId="0" borderId="0" xfId="0" applyNumberFormat="1"/>
    <xf numFmtId="165" fontId="1" fillId="0" borderId="30" xfId="0" applyNumberFormat="1" applyFont="1" applyBorder="1"/>
    <xf numFmtId="165" fontId="1" fillId="0" borderId="0" xfId="0" applyNumberFormat="1" applyFont="1"/>
    <xf numFmtId="165" fontId="1" fillId="0" borderId="23" xfId="0" applyNumberFormat="1" applyFont="1" applyBorder="1"/>
    <xf numFmtId="234" fontId="0" fillId="0" borderId="30" xfId="0" applyNumberFormat="1" applyBorder="1"/>
    <xf numFmtId="234" fontId="0" fillId="0" borderId="23" xfId="0" applyNumberFormat="1" applyBorder="1"/>
    <xf numFmtId="234" fontId="2" fillId="0" borderId="30" xfId="0" applyNumberFormat="1" applyFont="1" applyBorder="1"/>
    <xf numFmtId="234" fontId="2" fillId="0" borderId="0" xfId="0" applyNumberFormat="1" applyFont="1"/>
    <xf numFmtId="234" fontId="2" fillId="0" borderId="31" xfId="0" applyNumberFormat="1" applyFont="1" applyBorder="1"/>
    <xf numFmtId="234" fontId="2" fillId="0" borderId="29" xfId="0" applyNumberFormat="1" applyFont="1" applyBorder="1"/>
    <xf numFmtId="0" fontId="62" fillId="0" borderId="29" xfId="0" applyFont="1" applyBorder="1"/>
    <xf numFmtId="0" fontId="0" fillId="0" borderId="31" xfId="0" applyBorder="1"/>
    <xf numFmtId="0" fontId="0" fillId="0" borderId="34" xfId="0" applyBorder="1"/>
    <xf numFmtId="223" fontId="61" fillId="0" borderId="0" xfId="0" applyNumberFormat="1" applyFont="1"/>
    <xf numFmtId="0" fontId="60" fillId="0" borderId="44" xfId="0" applyFont="1" applyBorder="1"/>
    <xf numFmtId="0" fontId="2" fillId="0" borderId="44" xfId="0" applyFont="1" applyBorder="1"/>
    <xf numFmtId="0" fontId="88" fillId="0" borderId="0" xfId="0" applyFont="1"/>
    <xf numFmtId="234" fontId="61" fillId="0" borderId="0" xfId="0" applyNumberFormat="1" applyFont="1"/>
    <xf numFmtId="8" fontId="0" fillId="0" borderId="0" xfId="0" applyNumberFormat="1"/>
    <xf numFmtId="9" fontId="1" fillId="0" borderId="0" xfId="0" applyNumberFormat="1" applyFont="1"/>
    <xf numFmtId="7" fontId="60" fillId="37" borderId="0" xfId="0" applyNumberFormat="1" applyFont="1" applyFill="1"/>
    <xf numFmtId="8" fontId="1" fillId="37" borderId="0" xfId="0" applyNumberFormat="1" applyFont="1" applyFill="1"/>
    <xf numFmtId="8" fontId="0" fillId="37" borderId="0" xfId="0" applyNumberFormat="1" applyFill="1"/>
    <xf numFmtId="164" fontId="0" fillId="37" borderId="38" xfId="0" applyNumberFormat="1" applyFill="1" applyBorder="1" applyAlignment="1">
      <alignment horizontal="center"/>
    </xf>
    <xf numFmtId="164" fontId="0" fillId="37" borderId="0" xfId="0" applyNumberFormat="1" applyFill="1"/>
    <xf numFmtId="236" fontId="1" fillId="37" borderId="27" xfId="0" applyNumberFormat="1" applyFont="1" applyFill="1" applyBorder="1"/>
    <xf numFmtId="237" fontId="1" fillId="37" borderId="28" xfId="0" applyNumberFormat="1" applyFont="1" applyFill="1" applyBorder="1"/>
    <xf numFmtId="224" fontId="0" fillId="37" borderId="0" xfId="0" applyNumberFormat="1" applyFill="1"/>
    <xf numFmtId="0" fontId="2" fillId="0" borderId="45" xfId="0" applyFont="1" applyBorder="1"/>
    <xf numFmtId="3" fontId="1" fillId="0" borderId="23" xfId="0" applyNumberFormat="1" applyFont="1" applyBorder="1"/>
    <xf numFmtId="37" fontId="2" fillId="0" borderId="23" xfId="0" applyNumberFormat="1" applyFont="1" applyBorder="1"/>
    <xf numFmtId="0" fontId="62" fillId="0" borderId="0" xfId="0" applyFont="1" applyAlignment="1">
      <alignment horizontal="right"/>
    </xf>
    <xf numFmtId="0" fontId="62" fillId="0" borderId="0" xfId="0" applyFont="1" applyAlignment="1">
      <alignment horizontal="centerContinuous"/>
    </xf>
    <xf numFmtId="0" fontId="2" fillId="0" borderId="46" xfId="0" applyFont="1" applyBorder="1"/>
    <xf numFmtId="0" fontId="2" fillId="0" borderId="33" xfId="0" applyFont="1" applyBorder="1"/>
    <xf numFmtId="164" fontId="0" fillId="0" borderId="38" xfId="0" applyNumberFormat="1" applyBorder="1" applyAlignment="1">
      <alignment horizontal="center"/>
    </xf>
    <xf numFmtId="234" fontId="0" fillId="37" borderId="0" xfId="0" applyNumberFormat="1" applyFill="1"/>
    <xf numFmtId="7" fontId="60" fillId="0" borderId="0" xfId="0" applyNumberFormat="1" applyFont="1"/>
    <xf numFmtId="3" fontId="0" fillId="0" borderId="0" xfId="0" quotePrefix="1" applyNumberFormat="1"/>
    <xf numFmtId="3" fontId="62" fillId="0" borderId="0" xfId="0" applyNumberFormat="1" applyFont="1"/>
    <xf numFmtId="3" fontId="1" fillId="37" borderId="0" xfId="0" applyNumberFormat="1" applyFont="1" applyFill="1"/>
    <xf numFmtId="37" fontId="1" fillId="41" borderId="0" xfId="0" applyNumberFormat="1" applyFont="1" applyFill="1"/>
    <xf numFmtId="37" fontId="60" fillId="41" borderId="0" xfId="0" applyNumberFormat="1" applyFont="1" applyFill="1"/>
    <xf numFmtId="234" fontId="2" fillId="37" borderId="0" xfId="0" applyNumberFormat="1" applyFont="1" applyFill="1"/>
    <xf numFmtId="37" fontId="1" fillId="37" borderId="29" xfId="0" applyNumberFormat="1" applyFont="1" applyFill="1" applyBorder="1"/>
    <xf numFmtId="10" fontId="1" fillId="37" borderId="0" xfId="0" applyNumberFormat="1" applyFont="1" applyFill="1"/>
    <xf numFmtId="234" fontId="1" fillId="0" borderId="0" xfId="0" applyNumberFormat="1" applyFont="1"/>
    <xf numFmtId="234" fontId="82" fillId="39" borderId="0" xfId="0" applyNumberFormat="1" applyFont="1" applyFill="1"/>
    <xf numFmtId="37" fontId="2" fillId="41" borderId="0" xfId="0" applyNumberFormat="1" applyFont="1" applyFill="1"/>
    <xf numFmtId="37" fontId="1" fillId="0" borderId="23" xfId="0" applyNumberFormat="1" applyFont="1" applyBorder="1"/>
    <xf numFmtId="3" fontId="60" fillId="0" borderId="0" xfId="0" applyNumberFormat="1" applyFont="1"/>
    <xf numFmtId="3" fontId="60" fillId="0" borderId="23" xfId="0" applyNumberFormat="1" applyFont="1" applyBorder="1"/>
    <xf numFmtId="200" fontId="0" fillId="37" borderId="0" xfId="0" applyNumberFormat="1" applyFill="1"/>
    <xf numFmtId="234" fontId="82" fillId="0" borderId="0" xfId="0" applyNumberFormat="1" applyFont="1"/>
    <xf numFmtId="0" fontId="86" fillId="0" borderId="36" xfId="0" applyFont="1" applyBorder="1" applyAlignment="1">
      <alignment horizontal="left" indent="2"/>
    </xf>
    <xf numFmtId="0" fontId="60" fillId="0" borderId="0" xfId="0" applyFont="1" applyAlignment="1">
      <alignment horizontal="left" indent="1"/>
    </xf>
    <xf numFmtId="8" fontId="1" fillId="0" borderId="0" xfId="0" applyNumberFormat="1" applyFont="1"/>
    <xf numFmtId="9" fontId="2" fillId="0" borderId="0" xfId="0" applyNumberFormat="1" applyFont="1"/>
    <xf numFmtId="37" fontId="62" fillId="0" borderId="47" xfId="0" applyNumberFormat="1" applyFont="1" applyBorder="1"/>
    <xf numFmtId="37" fontId="62" fillId="37" borderId="48" xfId="0" applyNumberFormat="1" applyFont="1" applyFill="1" applyBorder="1"/>
    <xf numFmtId="0" fontId="62" fillId="0" borderId="20" xfId="0" applyFont="1" applyBorder="1"/>
    <xf numFmtId="235" fontId="62" fillId="0" borderId="43" xfId="0" applyNumberFormat="1" applyFont="1" applyBorder="1"/>
  </cellXfs>
  <cellStyles count="209">
    <cellStyle name="$" xfId="1" xr:uid="{00000000-0005-0000-0000-000000000000}"/>
    <cellStyle name="$m" xfId="2" xr:uid="{00000000-0005-0000-0000-000001000000}"/>
    <cellStyle name="$q" xfId="3" xr:uid="{00000000-0005-0000-0000-000002000000}"/>
    <cellStyle name="$q*" xfId="4" xr:uid="{00000000-0005-0000-0000-000003000000}"/>
    <cellStyle name="$qA" xfId="5" xr:uid="{00000000-0005-0000-0000-000004000000}"/>
    <cellStyle name="$qRange" xfId="6" xr:uid="{00000000-0005-0000-0000-000005000000}"/>
    <cellStyle name="%" xfId="7" xr:uid="{00000000-0005-0000-0000-000006000000}"/>
    <cellStyle name="******************************************" xfId="8" xr:uid="{00000000-0005-0000-0000-000007000000}"/>
    <cellStyle name="10Q" xfId="184" xr:uid="{00000000-0005-0000-0000-000008000000}"/>
    <cellStyle name="2 Decimal Places_MA Software Comps - List_AccretionDilution OTGS v16.xls Chart 1" xfId="9" xr:uid="{00000000-0005-0000-0000-000009000000}"/>
    <cellStyle name="20% - Accent1 2" xfId="10" xr:uid="{00000000-0005-0000-0000-00000A000000}"/>
    <cellStyle name="20% - Accent2 2" xfId="11" xr:uid="{00000000-0005-0000-0000-00000B000000}"/>
    <cellStyle name="20% - Accent3 2" xfId="12" xr:uid="{00000000-0005-0000-0000-00000C000000}"/>
    <cellStyle name="20% - Accent4 2" xfId="13" xr:uid="{00000000-0005-0000-0000-00000D000000}"/>
    <cellStyle name="20% - Accent5 2" xfId="14" xr:uid="{00000000-0005-0000-0000-00000E000000}"/>
    <cellStyle name="20% - Accent6 2" xfId="15" xr:uid="{00000000-0005-0000-0000-00000F000000}"/>
    <cellStyle name="40% - Accent1 2" xfId="16" xr:uid="{00000000-0005-0000-0000-000010000000}"/>
    <cellStyle name="40% - Accent2 2" xfId="17" xr:uid="{00000000-0005-0000-0000-000011000000}"/>
    <cellStyle name="40% - Accent3 2" xfId="18" xr:uid="{00000000-0005-0000-0000-000012000000}"/>
    <cellStyle name="40% - Accent4 2" xfId="19" xr:uid="{00000000-0005-0000-0000-000013000000}"/>
    <cellStyle name="40% - Accent5 2" xfId="20" xr:uid="{00000000-0005-0000-0000-000014000000}"/>
    <cellStyle name="40% - Accent6 2" xfId="21" xr:uid="{00000000-0005-0000-0000-000015000000}"/>
    <cellStyle name="60% - Accent1 2" xfId="22" xr:uid="{00000000-0005-0000-0000-000016000000}"/>
    <cellStyle name="60% - Accent2 2" xfId="23" xr:uid="{00000000-0005-0000-0000-000017000000}"/>
    <cellStyle name="60% - Accent3 2" xfId="24" xr:uid="{00000000-0005-0000-0000-000018000000}"/>
    <cellStyle name="60% - Accent4 2" xfId="25" xr:uid="{00000000-0005-0000-0000-000019000000}"/>
    <cellStyle name="60% - Accent5 2" xfId="26" xr:uid="{00000000-0005-0000-0000-00001A000000}"/>
    <cellStyle name="60% - Accent6 2" xfId="27" xr:uid="{00000000-0005-0000-0000-00001B000000}"/>
    <cellStyle name="Accent1 2" xfId="28" xr:uid="{00000000-0005-0000-0000-00001C000000}"/>
    <cellStyle name="Accent2 2" xfId="29" xr:uid="{00000000-0005-0000-0000-00001D000000}"/>
    <cellStyle name="Accent3 2" xfId="30" xr:uid="{00000000-0005-0000-0000-00001E000000}"/>
    <cellStyle name="Accent4 2" xfId="31" xr:uid="{00000000-0005-0000-0000-00001F000000}"/>
    <cellStyle name="Accent5 2" xfId="32" xr:uid="{00000000-0005-0000-0000-000020000000}"/>
    <cellStyle name="Accent6 2" xfId="33" xr:uid="{00000000-0005-0000-0000-000021000000}"/>
    <cellStyle name="AFE" xfId="34" xr:uid="{00000000-0005-0000-0000-000022000000}"/>
    <cellStyle name="Bad 2" xfId="35" xr:uid="{00000000-0005-0000-0000-000023000000}"/>
    <cellStyle name="Balance" xfId="36" xr:uid="{00000000-0005-0000-0000-000024000000}"/>
    <cellStyle name="BalanceSheet" xfId="37" xr:uid="{00000000-0005-0000-0000-000025000000}"/>
    <cellStyle name="Body_$Numeric" xfId="38" xr:uid="{00000000-0005-0000-0000-000026000000}"/>
    <cellStyle name="Bold Header" xfId="39" xr:uid="{00000000-0005-0000-0000-000027000000}"/>
    <cellStyle name="Calculation 2" xfId="40" xr:uid="{00000000-0005-0000-0000-000028000000}"/>
    <cellStyle name="CashFlow" xfId="41" xr:uid="{00000000-0005-0000-0000-000029000000}"/>
    <cellStyle name="ChartingText" xfId="185" xr:uid="{00000000-0005-0000-0000-00002A000000}"/>
    <cellStyle name="Check" xfId="42" xr:uid="{00000000-0005-0000-0000-00002B000000}"/>
    <cellStyle name="Check Cell 2" xfId="43" xr:uid="{00000000-0005-0000-0000-00002C000000}"/>
    <cellStyle name="CHPTop" xfId="186" xr:uid="{00000000-0005-0000-0000-00002D000000}"/>
    <cellStyle name="ColHeading" xfId="44" xr:uid="{00000000-0005-0000-0000-00002E000000}"/>
    <cellStyle name="colheadleft" xfId="45" xr:uid="{00000000-0005-0000-0000-00002F000000}"/>
    <cellStyle name="colheadright" xfId="46" xr:uid="{00000000-0005-0000-0000-000030000000}"/>
    <cellStyle name="ColumnHeaderNormal" xfId="187" xr:uid="{00000000-0005-0000-0000-000031000000}"/>
    <cellStyle name="Comma 2" xfId="47" xr:uid="{00000000-0005-0000-0000-000032000000}"/>
    <cellStyle name="Comma0" xfId="48" xr:uid="{00000000-0005-0000-0000-000033000000}"/>
    <cellStyle name="Comma2" xfId="49" xr:uid="{00000000-0005-0000-0000-000034000000}"/>
    <cellStyle name="Company" xfId="50" xr:uid="{00000000-0005-0000-0000-000035000000}"/>
    <cellStyle name="CurRatio" xfId="51" xr:uid="{00000000-0005-0000-0000-000036000000}"/>
    <cellStyle name="Currency--" xfId="188" xr:uid="{00000000-0005-0000-0000-000037000000}"/>
    <cellStyle name="Currency [1]" xfId="52" xr:uid="{00000000-0005-0000-0000-000038000000}"/>
    <cellStyle name="Currency [2]" xfId="53" xr:uid="{00000000-0005-0000-0000-000039000000}"/>
    <cellStyle name="Currency0" xfId="54" xr:uid="{00000000-0005-0000-0000-00003A000000}"/>
    <cellStyle name="Currency2" xfId="55" xr:uid="{00000000-0005-0000-0000-00003B000000}"/>
    <cellStyle name="d_yield" xfId="56" xr:uid="{00000000-0005-0000-0000-00003C000000}"/>
    <cellStyle name="d_yield_CW's MAKER MODEL" xfId="57" xr:uid="{00000000-0005-0000-0000-00003D000000}"/>
    <cellStyle name="d_yield_valuation" xfId="58" xr:uid="{00000000-0005-0000-0000-00003E000000}"/>
    <cellStyle name="Date [d-mmm-yy]" xfId="59" xr:uid="{00000000-0005-0000-0000-00003F000000}"/>
    <cellStyle name="Date [mm-dd-yy]" xfId="189" xr:uid="{00000000-0005-0000-0000-000040000000}"/>
    <cellStyle name="Date [mm-dd-yyyy]" xfId="190" xr:uid="{00000000-0005-0000-0000-000041000000}"/>
    <cellStyle name="Date [mm-d-yyyy]" xfId="191" xr:uid="{00000000-0005-0000-0000-000042000000}"/>
    <cellStyle name="Date [mmm-d-yyyy]" xfId="60" xr:uid="{00000000-0005-0000-0000-000043000000}"/>
    <cellStyle name="Date [mmm-yyyy]" xfId="61" xr:uid="{00000000-0005-0000-0000-000044000000}"/>
    <cellStyle name="Dates" xfId="62" xr:uid="{00000000-0005-0000-0000-000045000000}"/>
    <cellStyle name="DateYear" xfId="63" xr:uid="{00000000-0005-0000-0000-000046000000}"/>
    <cellStyle name="Dezimal_Capital expenditure planning FY 2000" xfId="64" xr:uid="{00000000-0005-0000-0000-000047000000}"/>
    <cellStyle name="Dollar" xfId="65" xr:uid="{00000000-0005-0000-0000-000048000000}"/>
    <cellStyle name="Dollars" xfId="66" xr:uid="{00000000-0005-0000-0000-000049000000}"/>
    <cellStyle name="DollarWhole" xfId="67" xr:uid="{00000000-0005-0000-0000-00004A000000}"/>
    <cellStyle name="eps" xfId="68" xr:uid="{00000000-0005-0000-0000-00004B000000}"/>
    <cellStyle name="eps$" xfId="69" xr:uid="{00000000-0005-0000-0000-00004C000000}"/>
    <cellStyle name="eps$A" xfId="70" xr:uid="{00000000-0005-0000-0000-00004D000000}"/>
    <cellStyle name="eps$E" xfId="71" xr:uid="{00000000-0005-0000-0000-00004E000000}"/>
    <cellStyle name="epsA" xfId="72" xr:uid="{00000000-0005-0000-0000-00004F000000}"/>
    <cellStyle name="EPSActual" xfId="73" xr:uid="{00000000-0005-0000-0000-000050000000}"/>
    <cellStyle name="epsE" xfId="74" xr:uid="{00000000-0005-0000-0000-000051000000}"/>
    <cellStyle name="EPSEstimate" xfId="75" xr:uid="{00000000-0005-0000-0000-000052000000}"/>
    <cellStyle name="Euro" xfId="76" xr:uid="{00000000-0005-0000-0000-000053000000}"/>
    <cellStyle name="Explanatory Text 2" xfId="77" xr:uid="{00000000-0005-0000-0000-000054000000}"/>
    <cellStyle name="fy_eps$" xfId="78" xr:uid="{00000000-0005-0000-0000-000055000000}"/>
    <cellStyle name="g_rate" xfId="79" xr:uid="{00000000-0005-0000-0000-000056000000}"/>
    <cellStyle name="g_rate_CW's MAKER MODEL" xfId="80" xr:uid="{00000000-0005-0000-0000-000057000000}"/>
    <cellStyle name="g_rate_valuation" xfId="81" xr:uid="{00000000-0005-0000-0000-000058000000}"/>
    <cellStyle name="General" xfId="82" xr:uid="{00000000-0005-0000-0000-000059000000}"/>
    <cellStyle name="Good 2" xfId="83" xr:uid="{00000000-0005-0000-0000-00005A000000}"/>
    <cellStyle name="GrowthRate" xfId="84" xr:uid="{00000000-0005-0000-0000-00005B000000}"/>
    <cellStyle name="GrowthSeq" xfId="85" xr:uid="{00000000-0005-0000-0000-00005C000000}"/>
    <cellStyle name="Hard Number Input" xfId="86" xr:uid="{00000000-0005-0000-0000-00005D000000}"/>
    <cellStyle name="Heading 1 2" xfId="87" xr:uid="{00000000-0005-0000-0000-00005E000000}"/>
    <cellStyle name="Heading 2 2" xfId="88" xr:uid="{00000000-0005-0000-0000-00005F000000}"/>
    <cellStyle name="Heading 3 2" xfId="89" xr:uid="{00000000-0005-0000-0000-000060000000}"/>
    <cellStyle name="Heading 4 2" xfId="90" xr:uid="{00000000-0005-0000-0000-000061000000}"/>
    <cellStyle name="Historical Number" xfId="91" xr:uid="{00000000-0005-0000-0000-000062000000}"/>
    <cellStyle name="iemens" xfId="92" xr:uid="{00000000-0005-0000-0000-000064000000}"/>
    <cellStyle name="Income" xfId="93" xr:uid="{00000000-0005-0000-0000-000065000000}"/>
    <cellStyle name="IncomeStatement" xfId="94" xr:uid="{00000000-0005-0000-0000-000066000000}"/>
    <cellStyle name="Input 2" xfId="95" xr:uid="{00000000-0005-0000-0000-000067000000}"/>
    <cellStyle name="Input Fixed [0]" xfId="96" xr:uid="{00000000-0005-0000-0000-000068000000}"/>
    <cellStyle name="Integer" xfId="97" xr:uid="{00000000-0005-0000-0000-000069000000}"/>
    <cellStyle name="Inverse Header" xfId="98" xr:uid="{00000000-0005-0000-0000-00006A000000}"/>
    <cellStyle name="Invisible" xfId="192" xr:uid="{00000000-0005-0000-0000-00006B000000}"/>
    <cellStyle name="Item" xfId="99" xr:uid="{00000000-0005-0000-0000-00006C000000}"/>
    <cellStyle name="ItemTypeClass" xfId="100" xr:uid="{00000000-0005-0000-0000-00006D000000}"/>
    <cellStyle name="Linked Cell 2" xfId="101" xr:uid="{00000000-0005-0000-0000-00006E000000}"/>
    <cellStyle name="LTGR" xfId="102" xr:uid="{00000000-0005-0000-0000-00006F000000}"/>
    <cellStyle name="m" xfId="103" xr:uid="{00000000-0005-0000-0000-000070000000}"/>
    <cellStyle name="m$" xfId="104" xr:uid="{00000000-0005-0000-0000-000071000000}"/>
    <cellStyle name="m/d/yy" xfId="193" xr:uid="{00000000-0005-0000-0000-000072000000}"/>
    <cellStyle name="m_CW's MAKER MODEL" xfId="105" xr:uid="{00000000-0005-0000-0000-000073000000}"/>
    <cellStyle name="m_valuation" xfId="106" xr:uid="{00000000-0005-0000-0000-000074000000}"/>
    <cellStyle name="Margin" xfId="107" xr:uid="{00000000-0005-0000-0000-000075000000}"/>
    <cellStyle name="Margins" xfId="108" xr:uid="{00000000-0005-0000-0000-000076000000}"/>
    <cellStyle name="mm" xfId="109" xr:uid="{00000000-0005-0000-0000-000077000000}"/>
    <cellStyle name="Multiple" xfId="110" xr:uid="{00000000-0005-0000-0000-000078000000}"/>
    <cellStyle name="MyStyle" xfId="194" xr:uid="{00000000-0005-0000-0000-000079000000}"/>
    <cellStyle name="NA is zero" xfId="111" xr:uid="{00000000-0005-0000-0000-00007A000000}"/>
    <cellStyle name="Neutral 2" xfId="112" xr:uid="{00000000-0005-0000-0000-00007B000000}"/>
    <cellStyle name="NewColumnHeaderNormal" xfId="195" xr:uid="{00000000-0005-0000-0000-00007C000000}"/>
    <cellStyle name="NewSectionHeaderNormal" xfId="196" xr:uid="{00000000-0005-0000-0000-00007D000000}"/>
    <cellStyle name="NewTitleNormal" xfId="197" xr:uid="{00000000-0005-0000-0000-00007E000000}"/>
    <cellStyle name="Normal" xfId="0" builtinId="0"/>
    <cellStyle name="Normal--" xfId="198" xr:uid="{00000000-0005-0000-0000-000080000000}"/>
    <cellStyle name="Normal [0]" xfId="113" xr:uid="{00000000-0005-0000-0000-000081000000}"/>
    <cellStyle name="Normal [1]" xfId="114" xr:uid="{00000000-0005-0000-0000-000082000000}"/>
    <cellStyle name="Normal [2]" xfId="115" xr:uid="{00000000-0005-0000-0000-000083000000}"/>
    <cellStyle name="Normal [3]" xfId="116" xr:uid="{00000000-0005-0000-0000-000084000000}"/>
    <cellStyle name="Normal 2" xfId="117" xr:uid="{00000000-0005-0000-0000-000085000000}"/>
    <cellStyle name="Normal Bold" xfId="118" xr:uid="{00000000-0005-0000-0000-000086000000}"/>
    <cellStyle name="Normal Pct" xfId="119" xr:uid="{00000000-0005-0000-0000-000087000000}"/>
    <cellStyle name="NormalX" xfId="120" xr:uid="{00000000-0005-0000-0000-000088000000}"/>
    <cellStyle name="Note 2" xfId="121" xr:uid="{00000000-0005-0000-0000-000089000000}"/>
    <cellStyle name="NPPESalesPct" xfId="122" xr:uid="{00000000-0005-0000-0000-00008A000000}"/>
    <cellStyle name="Number" xfId="123" xr:uid="{00000000-0005-0000-0000-00008B000000}"/>
    <cellStyle name="NWI%S" xfId="124" xr:uid="{00000000-0005-0000-0000-00008C000000}"/>
    <cellStyle name="Output 2" xfId="125" xr:uid="{00000000-0005-0000-0000-00008D000000}"/>
    <cellStyle name="P/E" xfId="126" xr:uid="{00000000-0005-0000-0000-00008E000000}"/>
    <cellStyle name="Palatino" xfId="127" xr:uid="{00000000-0005-0000-0000-00008F000000}"/>
    <cellStyle name="pc1" xfId="128" xr:uid="{00000000-0005-0000-0000-000090000000}"/>
    <cellStyle name="pe" xfId="129" xr:uid="{00000000-0005-0000-0000-000091000000}"/>
    <cellStyle name="PE/LTGR" xfId="130" xr:uid="{00000000-0005-0000-0000-000092000000}"/>
    <cellStyle name="PEG" xfId="131" xr:uid="{00000000-0005-0000-0000-000093000000}"/>
    <cellStyle name="Percent [0]" xfId="132" xr:uid="{00000000-0005-0000-0000-000094000000}"/>
    <cellStyle name="Percent [1]" xfId="133" xr:uid="{00000000-0005-0000-0000-000095000000}"/>
    <cellStyle name="Percent [2]" xfId="134" xr:uid="{00000000-0005-0000-0000-000096000000}"/>
    <cellStyle name="PercentChange" xfId="135" xr:uid="{00000000-0005-0000-0000-000097000000}"/>
    <cellStyle name="PercentPresentation" xfId="136" xr:uid="{00000000-0005-0000-0000-000098000000}"/>
    <cellStyle name="PerShare" xfId="137" xr:uid="{00000000-0005-0000-0000-000099000000}"/>
    <cellStyle name="POPS" xfId="138" xr:uid="{00000000-0005-0000-0000-00009A000000}"/>
    <cellStyle name="Presentation" xfId="139" xr:uid="{00000000-0005-0000-0000-00009B000000}"/>
    <cellStyle name="PresentationZero" xfId="140" xr:uid="{00000000-0005-0000-0000-00009C000000}"/>
    <cellStyle name="price" xfId="141" xr:uid="{00000000-0005-0000-0000-00009D000000}"/>
    <cellStyle name="q" xfId="142" xr:uid="{00000000-0005-0000-0000-00009E000000}"/>
    <cellStyle name="q_CW's MAKER MODEL" xfId="143" xr:uid="{00000000-0005-0000-0000-00009F000000}"/>
    <cellStyle name="QEPS-h" xfId="144" xr:uid="{00000000-0005-0000-0000-0000A0000000}"/>
    <cellStyle name="QEPS-H1" xfId="145" xr:uid="{00000000-0005-0000-0000-0000A1000000}"/>
    <cellStyle name="qRange" xfId="146" xr:uid="{00000000-0005-0000-0000-0000A2000000}"/>
    <cellStyle name="range" xfId="147" xr:uid="{00000000-0005-0000-0000-0000A3000000}"/>
    <cellStyle name="RatioX" xfId="148" xr:uid="{00000000-0005-0000-0000-0000A4000000}"/>
    <cellStyle name="Red font" xfId="199" xr:uid="{00000000-0005-0000-0000-0000A5000000}"/>
    <cellStyle name="Report" xfId="149" xr:uid="{00000000-0005-0000-0000-0000A6000000}"/>
    <cellStyle name="Right" xfId="150" xr:uid="{00000000-0005-0000-0000-0000A7000000}"/>
    <cellStyle name="SectionHeaderNormal" xfId="200" xr:uid="{00000000-0005-0000-0000-0000A8000000}"/>
    <cellStyle name="SectionHeading" xfId="151" xr:uid="{00000000-0005-0000-0000-0000A9000000}"/>
    <cellStyle name="Shares" xfId="152" xr:uid="{00000000-0005-0000-0000-0000AA000000}"/>
    <cellStyle name="StockPrice" xfId="153" xr:uid="{00000000-0005-0000-0000-0000AB000000}"/>
    <cellStyle name="Style 1" xfId="154" xr:uid="{00000000-0005-0000-0000-0000AC000000}"/>
    <cellStyle name="Style 21" xfId="155" xr:uid="{00000000-0005-0000-0000-0000AD000000}"/>
    <cellStyle name="Style 22" xfId="156" xr:uid="{00000000-0005-0000-0000-0000AE000000}"/>
    <cellStyle name="Style 23" xfId="157" xr:uid="{00000000-0005-0000-0000-0000AF000000}"/>
    <cellStyle name="Style 24" xfId="158" xr:uid="{00000000-0005-0000-0000-0000B0000000}"/>
    <cellStyle name="Style 26" xfId="159" xr:uid="{00000000-0005-0000-0000-0000B1000000}"/>
    <cellStyle name="Style 27" xfId="160" xr:uid="{00000000-0005-0000-0000-0000B2000000}"/>
    <cellStyle name="Style 34" xfId="161" xr:uid="{00000000-0005-0000-0000-0000B3000000}"/>
    <cellStyle name="Style 37" xfId="162" xr:uid="{00000000-0005-0000-0000-0000B4000000}"/>
    <cellStyle name="Style 63" xfId="163" xr:uid="{00000000-0005-0000-0000-0000B5000000}"/>
    <cellStyle name="SubDollar" xfId="164" xr:uid="{00000000-0005-0000-0000-0000B6000000}"/>
    <cellStyle name="SubGrowth" xfId="165" xr:uid="{00000000-0005-0000-0000-0000B7000000}"/>
    <cellStyle name="SubGrowthRate" xfId="166" xr:uid="{00000000-0005-0000-0000-0000B8000000}"/>
    <cellStyle name="SubMargins" xfId="167" xr:uid="{00000000-0005-0000-0000-0000B9000000}"/>
    <cellStyle name="SubPenetration" xfId="168" xr:uid="{00000000-0005-0000-0000-0000BA000000}"/>
    <cellStyle name="Subscribers" xfId="169" xr:uid="{00000000-0005-0000-0000-0000BB000000}"/>
    <cellStyle name="SubScript" xfId="201" xr:uid="{00000000-0005-0000-0000-0000BC000000}"/>
    <cellStyle name="SubVariable" xfId="170" xr:uid="{00000000-0005-0000-0000-0000BD000000}"/>
    <cellStyle name="SuperScript" xfId="202" xr:uid="{00000000-0005-0000-0000-0000BE000000}"/>
    <cellStyle name="tcn" xfId="171" xr:uid="{00000000-0005-0000-0000-0000BF000000}"/>
    <cellStyle name="TextBold" xfId="203" xr:uid="{00000000-0005-0000-0000-0000C0000000}"/>
    <cellStyle name="TextItalic" xfId="204" xr:uid="{00000000-0005-0000-0000-0000C1000000}"/>
    <cellStyle name="TextNormal" xfId="205" xr:uid="{00000000-0005-0000-0000-0000C2000000}"/>
    <cellStyle name="Times" xfId="206" xr:uid="{00000000-0005-0000-0000-0000C3000000}"/>
    <cellStyle name="Times [1]" xfId="172" xr:uid="{00000000-0005-0000-0000-0000C4000000}"/>
    <cellStyle name="Times [2]" xfId="173" xr:uid="{00000000-0005-0000-0000-0000C5000000}"/>
    <cellStyle name="Title 2" xfId="174" xr:uid="{00000000-0005-0000-0000-0000C6000000}"/>
    <cellStyle name="title2" xfId="175" xr:uid="{00000000-0005-0000-0000-0000C7000000}"/>
    <cellStyle name="TitleII" xfId="176" xr:uid="{00000000-0005-0000-0000-0000C8000000}"/>
    <cellStyle name="TitleNormal" xfId="207" xr:uid="{00000000-0005-0000-0000-0000C9000000}"/>
    <cellStyle name="Titles" xfId="177" xr:uid="{00000000-0005-0000-0000-0000CA000000}"/>
    <cellStyle name="TitleSub" xfId="178" xr:uid="{00000000-0005-0000-0000-0000CB000000}"/>
    <cellStyle name="tn" xfId="179" xr:uid="{00000000-0005-0000-0000-0000CC000000}"/>
    <cellStyle name="Total 2" xfId="180" xr:uid="{00000000-0005-0000-0000-0000CD000000}"/>
    <cellStyle name="Warning Text 2" xfId="181" xr:uid="{00000000-0005-0000-0000-0000CE000000}"/>
    <cellStyle name="WholeNumber" xfId="182" xr:uid="{00000000-0005-0000-0000-0000CF000000}"/>
    <cellStyle name="Year&quot;E&quot;" xfId="183" xr:uid="{00000000-0005-0000-0000-0000D0000000}"/>
    <cellStyle name="Years" xfId="208" xr:uid="{00000000-0005-0000-0000-0000D1000000}"/>
  </cellStyles>
  <dxfs count="8"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colors>
    <mruColors>
      <color rgb="FF0000FF"/>
      <color rgb="FFFFFF99"/>
      <color rgb="FF0080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9D69-961A-4718-882C-A41746680855}">
  <sheetPr>
    <pageSetUpPr fitToPage="1"/>
  </sheetPr>
  <dimension ref="C1:O75"/>
  <sheetViews>
    <sheetView tabSelected="1" zoomScaleNormal="100" workbookViewId="0">
      <selection activeCell="X37" sqref="X37"/>
    </sheetView>
  </sheetViews>
  <sheetFormatPr defaultColWidth="8.85546875" defaultRowHeight="15"/>
  <cols>
    <col min="1" max="2" width="1.7109375" customWidth="1"/>
    <col min="3" max="3" width="48" customWidth="1"/>
    <col min="4" max="4" width="12" customWidth="1"/>
    <col min="5" max="6" width="11.42578125" customWidth="1"/>
    <col min="7" max="7" width="2.28515625" customWidth="1"/>
    <col min="8" max="8" width="11.42578125" customWidth="1"/>
    <col min="9" max="9" width="11.85546875" customWidth="1"/>
    <col min="10" max="12" width="10.28515625" bestFit="1" customWidth="1"/>
    <col min="13" max="14" width="9.42578125" bestFit="1" customWidth="1"/>
  </cols>
  <sheetData>
    <row r="1" spans="3:8" ht="15.75" thickBot="1"/>
    <row r="2" spans="3:8" ht="15.75" thickBot="1">
      <c r="C2" s="63" t="str">
        <f>"Financial Statement Model for "&amp;D5</f>
        <v>Financial Statement Model for Apple</v>
      </c>
      <c r="D2" s="48"/>
      <c r="E2" s="48"/>
      <c r="F2" s="48"/>
      <c r="H2" s="54"/>
    </row>
    <row r="3" spans="3:8">
      <c r="C3" s="2" t="s">
        <v>46</v>
      </c>
      <c r="D3" s="40"/>
      <c r="E3" s="40"/>
      <c r="F3" s="40"/>
    </row>
    <row r="5" spans="3:8">
      <c r="C5" s="1" t="s">
        <v>5</v>
      </c>
      <c r="D5" s="77" t="s">
        <v>50</v>
      </c>
    </row>
    <row r="6" spans="3:8">
      <c r="C6" s="1" t="s">
        <v>6</v>
      </c>
      <c r="D6" s="77" t="s">
        <v>51</v>
      </c>
    </row>
    <row r="7" spans="3:8">
      <c r="C7" t="s">
        <v>107</v>
      </c>
      <c r="D7" s="78">
        <v>1</v>
      </c>
    </row>
    <row r="8" spans="3:8">
      <c r="C8" t="s">
        <v>73</v>
      </c>
      <c r="D8" s="79">
        <v>171.25</v>
      </c>
    </row>
    <row r="9" spans="3:8">
      <c r="C9" t="s">
        <v>9</v>
      </c>
      <c r="D9" s="80">
        <v>43500</v>
      </c>
    </row>
    <row r="10" spans="3:8">
      <c r="C10" s="1" t="s">
        <v>8</v>
      </c>
      <c r="D10" s="81">
        <v>43372</v>
      </c>
    </row>
    <row r="11" spans="3:8" ht="15" customHeight="1">
      <c r="C11" t="s">
        <v>228</v>
      </c>
      <c r="D11" s="92">
        <v>4745.3980000000001</v>
      </c>
    </row>
    <row r="13" spans="3:8">
      <c r="C13" s="5" t="s">
        <v>19</v>
      </c>
      <c r="D13" s="7"/>
      <c r="E13" s="7"/>
      <c r="F13" s="7"/>
    </row>
    <row r="14" spans="3:8">
      <c r="C14" t="s">
        <v>10</v>
      </c>
      <c r="D14" s="8">
        <f>E14-1</f>
        <v>2016</v>
      </c>
      <c r="E14" s="8">
        <f>F14-1</f>
        <v>2017</v>
      </c>
      <c r="F14" s="8">
        <f>YEAR(D10)</f>
        <v>2018</v>
      </c>
      <c r="H14" s="54"/>
    </row>
    <row r="15" spans="3:8">
      <c r="C15" s="10" t="s">
        <v>7</v>
      </c>
      <c r="D15" s="56">
        <f>EOMONTH(E15,-12)</f>
        <v>42643</v>
      </c>
      <c r="E15" s="56">
        <f>EOMONTH(F15,-12)</f>
        <v>43008</v>
      </c>
      <c r="F15" s="56">
        <f>D10</f>
        <v>43372</v>
      </c>
    </row>
    <row r="16" spans="3:8">
      <c r="C16" s="12"/>
      <c r="D16" s="13"/>
      <c r="E16" s="14"/>
      <c r="F16" s="14"/>
    </row>
    <row r="17" spans="3:10">
      <c r="C17" t="s">
        <v>11</v>
      </c>
      <c r="D17" s="169">
        <v>215639</v>
      </c>
      <c r="E17" s="169">
        <v>229234</v>
      </c>
      <c r="F17" s="169">
        <v>265595</v>
      </c>
      <c r="H17" s="34"/>
      <c r="I17" s="34"/>
      <c r="J17" s="34"/>
    </row>
    <row r="18" spans="3:10" ht="15" customHeight="1">
      <c r="C18" t="s">
        <v>14</v>
      </c>
      <c r="D18" s="170">
        <v>-131376</v>
      </c>
      <c r="E18" s="170">
        <v>-141048</v>
      </c>
      <c r="F18" s="170">
        <v>-163756</v>
      </c>
      <c r="H18" s="34"/>
      <c r="I18" s="34"/>
      <c r="J18" s="34"/>
    </row>
    <row r="19" spans="3:10" ht="15" customHeight="1">
      <c r="C19" s="16" t="s">
        <v>13</v>
      </c>
      <c r="D19" s="171">
        <f>SUM(D17:D18)</f>
        <v>84263</v>
      </c>
      <c r="E19" s="171">
        <f>SUM(E17:E18)</f>
        <v>88186</v>
      </c>
      <c r="F19" s="171">
        <f>SUM(F17:F18)</f>
        <v>101839</v>
      </c>
      <c r="H19" s="167"/>
      <c r="I19" s="34"/>
      <c r="J19" s="34"/>
    </row>
    <row r="20" spans="3:10" ht="15" customHeight="1">
      <c r="C20" t="s">
        <v>52</v>
      </c>
      <c r="D20" s="170">
        <v>-10045</v>
      </c>
      <c r="E20" s="170">
        <v>-11581</v>
      </c>
      <c r="F20" s="170">
        <v>-14236</v>
      </c>
      <c r="H20" s="167"/>
      <c r="I20" s="34"/>
      <c r="J20" s="34"/>
    </row>
    <row r="21" spans="3:10" ht="15" customHeight="1">
      <c r="C21" t="s">
        <v>16</v>
      </c>
      <c r="D21" s="170">
        <v>-14194</v>
      </c>
      <c r="E21" s="170">
        <v>-15261</v>
      </c>
      <c r="F21" s="170">
        <v>-16705</v>
      </c>
      <c r="H21" s="167"/>
      <c r="I21" s="34"/>
      <c r="J21" s="34"/>
    </row>
    <row r="22" spans="3:10">
      <c r="C22" s="16" t="s">
        <v>3</v>
      </c>
      <c r="D22" s="99">
        <f>SUM(D19:D21)</f>
        <v>60024</v>
      </c>
      <c r="E22" s="99">
        <f>SUM(E19:E21)</f>
        <v>61344</v>
      </c>
      <c r="F22" s="99">
        <f>SUM(F19:F21)</f>
        <v>70898</v>
      </c>
      <c r="H22" s="168"/>
      <c r="I22" s="34"/>
      <c r="J22" s="34"/>
    </row>
    <row r="23" spans="3:10">
      <c r="C23" t="s">
        <v>4</v>
      </c>
      <c r="D23" s="58">
        <v>3999</v>
      </c>
      <c r="E23" s="58">
        <v>5201</v>
      </c>
      <c r="F23" s="58">
        <v>5686</v>
      </c>
      <c r="H23" s="34"/>
      <c r="I23" s="34"/>
      <c r="J23" s="34"/>
    </row>
    <row r="24" spans="3:10">
      <c r="C24" t="s">
        <v>17</v>
      </c>
      <c r="D24" s="58">
        <v>-1456</v>
      </c>
      <c r="E24" s="58">
        <v>-2323</v>
      </c>
      <c r="F24" s="58">
        <v>-3240</v>
      </c>
      <c r="H24" s="34"/>
      <c r="I24" s="34"/>
      <c r="J24" s="34"/>
    </row>
    <row r="25" spans="3:10">
      <c r="C25" t="s">
        <v>53</v>
      </c>
      <c r="D25" s="58">
        <v>-1195</v>
      </c>
      <c r="E25" s="58">
        <v>-133</v>
      </c>
      <c r="F25" s="58">
        <v>-441</v>
      </c>
      <c r="H25" s="34"/>
      <c r="I25" s="34"/>
      <c r="J25" s="34"/>
    </row>
    <row r="26" spans="3:10">
      <c r="C26" s="16" t="s">
        <v>12</v>
      </c>
      <c r="D26" s="99">
        <f>SUM(D22:D25)</f>
        <v>61372</v>
      </c>
      <c r="E26" s="99">
        <f>SUM(E22:E25)</f>
        <v>64089</v>
      </c>
      <c r="F26" s="99">
        <f>SUM(F22:F25)</f>
        <v>72903</v>
      </c>
      <c r="H26" s="168"/>
      <c r="I26" s="168"/>
      <c r="J26" s="34"/>
    </row>
    <row r="27" spans="3:10">
      <c r="C27" t="s">
        <v>15</v>
      </c>
      <c r="D27" s="58">
        <v>-15685</v>
      </c>
      <c r="E27" s="58">
        <v>-15738</v>
      </c>
      <c r="F27" s="58">
        <v>-13372</v>
      </c>
      <c r="H27" s="34"/>
      <c r="I27" s="34"/>
      <c r="J27" s="34"/>
    </row>
    <row r="28" spans="3:10">
      <c r="C28" s="16" t="s">
        <v>2</v>
      </c>
      <c r="D28" s="99">
        <f>SUM(D26:D27)</f>
        <v>45687</v>
      </c>
      <c r="E28" s="99">
        <f>SUM(E26:E27)</f>
        <v>48351</v>
      </c>
      <c r="F28" s="99">
        <f>SUM(F26:F27)</f>
        <v>59531</v>
      </c>
      <c r="H28" s="16"/>
    </row>
    <row r="29" spans="3:10">
      <c r="C29" s="20"/>
    </row>
    <row r="30" spans="3:10">
      <c r="C30" s="28" t="s">
        <v>49</v>
      </c>
      <c r="D30" s="58">
        <v>10505</v>
      </c>
      <c r="E30" s="58">
        <v>10157</v>
      </c>
      <c r="F30" s="58">
        <v>10903</v>
      </c>
      <c r="H30" t="s">
        <v>130</v>
      </c>
    </row>
    <row r="31" spans="3:10">
      <c r="C31" s="27" t="s">
        <v>47</v>
      </c>
      <c r="D31" s="99">
        <f>D22+D30</f>
        <v>70529</v>
      </c>
      <c r="E31" s="99">
        <f>E22+E30</f>
        <v>71501</v>
      </c>
      <c r="F31" s="99">
        <f>F22+F30</f>
        <v>81801</v>
      </c>
      <c r="H31" s="16" t="s">
        <v>96</v>
      </c>
    </row>
    <row r="32" spans="3:10">
      <c r="C32" s="28" t="s">
        <v>74</v>
      </c>
      <c r="D32" s="58">
        <v>4210</v>
      </c>
      <c r="E32" s="58">
        <v>4840</v>
      </c>
      <c r="F32" s="58">
        <v>5340</v>
      </c>
      <c r="H32" t="s">
        <v>130</v>
      </c>
    </row>
    <row r="33" spans="3:15">
      <c r="C33" s="27" t="s">
        <v>72</v>
      </c>
      <c r="D33" s="99">
        <f>SUM(D31:D32)</f>
        <v>74739</v>
      </c>
      <c r="E33" s="99">
        <f>SUM(E31:E32)</f>
        <v>76341</v>
      </c>
      <c r="F33" s="99">
        <f>SUM(F31:F32)</f>
        <v>87141</v>
      </c>
      <c r="H33" s="16" t="s">
        <v>97</v>
      </c>
    </row>
    <row r="34" spans="3:15">
      <c r="C34" s="20"/>
    </row>
    <row r="35" spans="3:15">
      <c r="C35" s="19" t="s">
        <v>140</v>
      </c>
    </row>
    <row r="36" spans="3:15">
      <c r="C36" s="20" t="s">
        <v>1</v>
      </c>
      <c r="D36" s="96"/>
      <c r="E36" s="172">
        <f>E17/D17-1</f>
        <v>6.304518199398057E-2</v>
      </c>
      <c r="F36" s="172">
        <f>F17/E17-1</f>
        <v>0.15861957650261305</v>
      </c>
      <c r="H36" t="s">
        <v>131</v>
      </c>
      <c r="J36" s="22"/>
      <c r="K36" s="22"/>
      <c r="L36" s="22"/>
      <c r="M36" s="22"/>
      <c r="N36" s="22"/>
      <c r="O36" s="22"/>
    </row>
    <row r="37" spans="3:15">
      <c r="C37" s="20" t="s">
        <v>220</v>
      </c>
      <c r="D37" s="172">
        <f>D19/D17</f>
        <v>0.39075955648097049</v>
      </c>
      <c r="E37" s="172">
        <f>E19/E17</f>
        <v>0.38469860491899105</v>
      </c>
      <c r="F37" s="172">
        <f>F19/F17</f>
        <v>0.38343718820007905</v>
      </c>
      <c r="H37" t="s">
        <v>142</v>
      </c>
      <c r="J37" s="22"/>
      <c r="K37" s="22"/>
      <c r="L37" s="22"/>
      <c r="M37" s="22"/>
      <c r="N37" s="22"/>
      <c r="O37" s="22"/>
    </row>
    <row r="38" spans="3:15">
      <c r="C38" s="20" t="s">
        <v>221</v>
      </c>
      <c r="D38" s="172">
        <f>-(D20/D17)</f>
        <v>4.6582482760539605E-2</v>
      </c>
      <c r="E38" s="172">
        <f>-(E20/E17)</f>
        <v>5.0520428906706681E-2</v>
      </c>
      <c r="F38" s="172">
        <f>-(F20/F17)</f>
        <v>5.3600406634161032E-2</v>
      </c>
      <c r="H38" t="s">
        <v>132</v>
      </c>
      <c r="J38" s="22"/>
      <c r="K38" s="22"/>
      <c r="L38" s="22"/>
      <c r="M38" s="22"/>
      <c r="N38" s="22"/>
      <c r="O38" s="22"/>
    </row>
    <row r="39" spans="3:15">
      <c r="C39" s="20" t="s">
        <v>223</v>
      </c>
      <c r="D39" s="172">
        <f>-(D21/D17)</f>
        <v>6.5822972653369755E-2</v>
      </c>
      <c r="E39" s="172">
        <f>-(E21/E17)</f>
        <v>6.6573893924984945E-2</v>
      </c>
      <c r="F39" s="172">
        <f>-(F21/F17)</f>
        <v>6.2896515371147807E-2</v>
      </c>
      <c r="H39" t="s">
        <v>133</v>
      </c>
      <c r="J39" s="22"/>
      <c r="K39" s="22"/>
      <c r="L39" s="22"/>
      <c r="M39" s="22"/>
      <c r="N39" s="22"/>
      <c r="O39" s="22"/>
    </row>
    <row r="40" spans="3:15">
      <c r="C40" s="20" t="s">
        <v>0</v>
      </c>
      <c r="D40" s="172">
        <f>-(D27/D26)</f>
        <v>0.25557257381216192</v>
      </c>
      <c r="E40" s="172">
        <f>-(E27/E26)</f>
        <v>0.24556476150353415</v>
      </c>
      <c r="F40" s="172">
        <f>-(F27/F26)</f>
        <v>0.18342180705869443</v>
      </c>
      <c r="H40" t="s">
        <v>134</v>
      </c>
      <c r="J40" s="22"/>
      <c r="K40" s="22"/>
      <c r="L40" s="22"/>
      <c r="M40" s="22"/>
      <c r="N40" s="22"/>
      <c r="O40" s="22"/>
    </row>
    <row r="41" spans="3:15">
      <c r="C41" s="20"/>
    </row>
    <row r="42" spans="3:15">
      <c r="C42" s="5" t="s">
        <v>20</v>
      </c>
      <c r="D42" s="11"/>
      <c r="E42" s="11"/>
      <c r="F42" s="11"/>
    </row>
    <row r="43" spans="3:15">
      <c r="C43" s="26" t="str">
        <f>C14</f>
        <v xml:space="preserve">Fiscal year  </v>
      </c>
      <c r="D43" s="23"/>
      <c r="E43" s="23">
        <f>E14</f>
        <v>2017</v>
      </c>
      <c r="F43" s="23">
        <f>F14</f>
        <v>2018</v>
      </c>
    </row>
    <row r="44" spans="3:15">
      <c r="C44" s="7" t="str">
        <f>C15</f>
        <v>Fiscal year end date</v>
      </c>
      <c r="D44" s="25"/>
      <c r="E44" s="25">
        <f>E15</f>
        <v>43008</v>
      </c>
      <c r="F44" s="25">
        <f>F15</f>
        <v>43372</v>
      </c>
    </row>
    <row r="45" spans="3:15">
      <c r="C45" t="s">
        <v>135</v>
      </c>
      <c r="D45" s="3"/>
      <c r="E45" s="58">
        <f>20289+53892+194714</f>
        <v>268895</v>
      </c>
      <c r="F45" s="58">
        <f>25913+40388+170799</f>
        <v>237100</v>
      </c>
    </row>
    <row r="46" spans="3:15">
      <c r="C46" t="s">
        <v>54</v>
      </c>
      <c r="D46" s="3"/>
      <c r="E46" s="58">
        <v>17874</v>
      </c>
      <c r="F46" s="58">
        <v>23186</v>
      </c>
    </row>
    <row r="47" spans="3:15">
      <c r="C47" t="s">
        <v>55</v>
      </c>
      <c r="D47" s="3"/>
      <c r="E47" s="58">
        <v>4855</v>
      </c>
      <c r="F47" s="58">
        <v>3956</v>
      </c>
    </row>
    <row r="48" spans="3:15">
      <c r="C48" t="s">
        <v>106</v>
      </c>
      <c r="D48" s="3"/>
      <c r="E48" s="58">
        <f>17799+13936</f>
        <v>31735</v>
      </c>
      <c r="F48" s="58">
        <f>25809+12087</f>
        <v>37896</v>
      </c>
      <c r="H48" t="s">
        <v>147</v>
      </c>
    </row>
    <row r="49" spans="3:8">
      <c r="C49" t="s">
        <v>21</v>
      </c>
      <c r="D49" s="3"/>
      <c r="E49" s="58">
        <v>33783</v>
      </c>
      <c r="F49" s="58">
        <v>41304</v>
      </c>
    </row>
    <row r="50" spans="3:8">
      <c r="C50" t="s">
        <v>56</v>
      </c>
      <c r="D50" s="3"/>
      <c r="E50" s="58">
        <v>18177</v>
      </c>
      <c r="F50" s="58">
        <v>22283</v>
      </c>
      <c r="H50" s="34"/>
    </row>
    <row r="51" spans="3:8">
      <c r="C51" s="27" t="s">
        <v>22</v>
      </c>
      <c r="D51" s="17"/>
      <c r="E51" s="99">
        <f>SUM(E45:E50)</f>
        <v>375319</v>
      </c>
      <c r="F51" s="99">
        <f>SUM(F45:F50)</f>
        <v>365725</v>
      </c>
      <c r="H51" s="34"/>
    </row>
    <row r="52" spans="3:8">
      <c r="C52" s="28"/>
      <c r="D52" s="18"/>
      <c r="H52" s="34"/>
    </row>
    <row r="53" spans="3:8">
      <c r="C53" s="28" t="s">
        <v>57</v>
      </c>
      <c r="D53" s="3"/>
      <c r="E53" s="58">
        <v>44242</v>
      </c>
      <c r="F53" s="58">
        <v>55888</v>
      </c>
      <c r="H53" s="34"/>
    </row>
    <row r="54" spans="3:8">
      <c r="C54" s="28" t="s">
        <v>115</v>
      </c>
      <c r="D54" s="3"/>
      <c r="E54" s="58">
        <v>30551</v>
      </c>
      <c r="F54" s="58">
        <v>32687</v>
      </c>
      <c r="H54" s="34"/>
    </row>
    <row r="55" spans="3:8">
      <c r="C55" s="28" t="s">
        <v>58</v>
      </c>
      <c r="D55" s="3"/>
      <c r="E55" s="58">
        <f>7548+2836</f>
        <v>10384</v>
      </c>
      <c r="F55" s="58">
        <f>7543+2797</f>
        <v>10340</v>
      </c>
      <c r="H55" s="34"/>
    </row>
    <row r="56" spans="3:8">
      <c r="C56" s="28" t="s">
        <v>60</v>
      </c>
      <c r="D56" s="3"/>
      <c r="E56" s="58">
        <v>11977</v>
      </c>
      <c r="F56" s="58">
        <v>11964</v>
      </c>
      <c r="H56" s="34"/>
    </row>
    <row r="57" spans="3:8">
      <c r="C57" s="28" t="s">
        <v>120</v>
      </c>
      <c r="D57" s="3"/>
      <c r="E57" s="58">
        <f>6496+97207</f>
        <v>103703</v>
      </c>
      <c r="F57" s="58">
        <f>8784+93735</f>
        <v>102519</v>
      </c>
      <c r="H57" s="34"/>
    </row>
    <row r="58" spans="3:8" ht="15.75" customHeight="1">
      <c r="C58" s="28" t="s">
        <v>59</v>
      </c>
      <c r="D58" s="3"/>
      <c r="E58" s="58">
        <v>40415</v>
      </c>
      <c r="F58" s="58">
        <v>45180</v>
      </c>
      <c r="H58" s="34"/>
    </row>
    <row r="59" spans="3:8">
      <c r="C59" s="27" t="s">
        <v>24</v>
      </c>
      <c r="D59" s="17"/>
      <c r="E59" s="99">
        <f>SUM(E53:E58)</f>
        <v>241272</v>
      </c>
      <c r="F59" s="99">
        <f>SUM(F53:F58)</f>
        <v>258578</v>
      </c>
      <c r="H59" s="34"/>
    </row>
    <row r="60" spans="3:8">
      <c r="C60" s="27"/>
      <c r="D60" s="17"/>
      <c r="E60" s="97"/>
      <c r="F60" s="97"/>
      <c r="H60" s="34"/>
    </row>
    <row r="61" spans="3:8">
      <c r="C61" s="28" t="s">
        <v>61</v>
      </c>
      <c r="D61" s="3"/>
      <c r="E61" s="58">
        <v>35867</v>
      </c>
      <c r="F61" s="58">
        <v>40201</v>
      </c>
      <c r="H61" s="34"/>
    </row>
    <row r="62" spans="3:8" ht="15.75" customHeight="1">
      <c r="C62" s="28" t="s">
        <v>44</v>
      </c>
      <c r="D62" s="15"/>
      <c r="E62" s="58">
        <v>98330</v>
      </c>
      <c r="F62" s="58">
        <v>70400</v>
      </c>
    </row>
    <row r="63" spans="3:8" ht="15.75" customHeight="1">
      <c r="C63" s="28" t="s">
        <v>119</v>
      </c>
      <c r="D63" s="3"/>
      <c r="E63" s="58">
        <v>-150</v>
      </c>
      <c r="F63" s="58">
        <v>-3454</v>
      </c>
    </row>
    <row r="64" spans="3:8">
      <c r="C64" s="27" t="s">
        <v>25</v>
      </c>
      <c r="D64" s="29"/>
      <c r="E64" s="99">
        <f>SUM(E61:E63)</f>
        <v>134047</v>
      </c>
      <c r="F64" s="99">
        <f>SUM(F61:F63)</f>
        <v>107147</v>
      </c>
    </row>
    <row r="65" spans="3:8">
      <c r="D65" s="18"/>
      <c r="E65" s="18"/>
      <c r="F65" s="18"/>
    </row>
    <row r="66" spans="3:8">
      <c r="C66" s="12" t="s">
        <v>26</v>
      </c>
      <c r="D66" s="30"/>
      <c r="E66" s="30">
        <f>ROUND(E51-E59-E64,3)</f>
        <v>0</v>
      </c>
      <c r="F66" s="30">
        <f>ROUND(F51-F59-F64,3)</f>
        <v>0</v>
      </c>
    </row>
    <row r="67" spans="3:8">
      <c r="E67" s="18"/>
      <c r="F67" s="18"/>
    </row>
    <row r="68" spans="3:8">
      <c r="C68" s="16" t="s">
        <v>139</v>
      </c>
      <c r="D68" s="34"/>
      <c r="E68" s="18"/>
      <c r="F68" s="18"/>
    </row>
    <row r="69" spans="3:8">
      <c r="C69" s="28" t="s">
        <v>144</v>
      </c>
      <c r="D69" s="58">
        <v>12734</v>
      </c>
      <c r="E69" s="58">
        <v>12451</v>
      </c>
      <c r="F69" s="58">
        <v>13313</v>
      </c>
    </row>
    <row r="70" spans="3:8">
      <c r="C70" s="28" t="s">
        <v>146</v>
      </c>
      <c r="D70" s="58">
        <v>-8300</v>
      </c>
      <c r="E70" s="58">
        <v>-8200</v>
      </c>
      <c r="F70" s="58">
        <v>-9300</v>
      </c>
      <c r="H70" s="54" t="s">
        <v>145</v>
      </c>
    </row>
    <row r="71" spans="3:8">
      <c r="C71" s="28" t="s">
        <v>136</v>
      </c>
      <c r="D71" s="58">
        <v>-12188</v>
      </c>
      <c r="E71" s="58">
        <v>-12803</v>
      </c>
      <c r="F71" s="58">
        <v>-13735</v>
      </c>
      <c r="H71" t="s">
        <v>143</v>
      </c>
    </row>
    <row r="72" spans="3:8">
      <c r="C72" s="28" t="s">
        <v>137</v>
      </c>
      <c r="D72" s="173">
        <v>-29000</v>
      </c>
      <c r="E72" s="58">
        <v>-33001</v>
      </c>
      <c r="F72" s="58">
        <v>-73056</v>
      </c>
      <c r="H72" t="s">
        <v>143</v>
      </c>
    </row>
    <row r="73" spans="3:8">
      <c r="C73" s="28" t="s">
        <v>138</v>
      </c>
      <c r="D73" s="96"/>
      <c r="E73" s="174">
        <v>1.2E-2</v>
      </c>
      <c r="F73" s="174">
        <v>2.18E-2</v>
      </c>
      <c r="H73" t="s">
        <v>141</v>
      </c>
    </row>
    <row r="74" spans="3:8">
      <c r="C74" s="28" t="s">
        <v>113</v>
      </c>
      <c r="D74" s="174">
        <v>1.7299999999999999E-2</v>
      </c>
      <c r="E74" s="174">
        <v>1.9900000000000001E-2</v>
      </c>
      <c r="F74" s="174">
        <v>2.1600000000000001E-2</v>
      </c>
      <c r="H74" s="54" t="s">
        <v>226</v>
      </c>
    </row>
    <row r="75" spans="3:8">
      <c r="C75" s="41"/>
      <c r="D75" s="60"/>
      <c r="E75" s="60"/>
      <c r="F75" s="60"/>
    </row>
  </sheetData>
  <conditionalFormatting sqref="C39">
    <cfRule type="expression" dxfId="7" priority="1">
      <formula>#REF!=$C39</formula>
    </cfRule>
  </conditionalFormatting>
  <dataValidations count="2">
    <dataValidation type="list" allowBlank="1" showInputMessage="1" showErrorMessage="1" sqref="C3" xr:uid="{704C8707-F078-44D7-A210-2E09B4193B16}">
      <formula1>"$ bns except per share, $ mm except per share,$ in thousands except per share"</formula1>
    </dataValidation>
    <dataValidation type="list" allowBlank="1" showInputMessage="1" showErrorMessage="1" sqref="D7" xr:uid="{82A305A1-0325-4282-B4A3-0E8D9440F1B6}">
      <formula1>"0,1"</formula1>
    </dataValidation>
  </dataValidations>
  <pageMargins left="0.7" right="0.7" top="0.75" bottom="0.75" header="0.3" footer="0.3"/>
  <pageSetup scale="6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1:T157"/>
  <sheetViews>
    <sheetView zoomScaleNormal="100" workbookViewId="0">
      <selection activeCell="C4" sqref="C4:AC353"/>
    </sheetView>
  </sheetViews>
  <sheetFormatPr defaultColWidth="8.85546875" defaultRowHeight="15"/>
  <cols>
    <col min="1" max="2" width="1.7109375" customWidth="1"/>
    <col min="3" max="3" width="46.7109375" bestFit="1" customWidth="1"/>
    <col min="4" max="11" width="11.42578125" customWidth="1"/>
    <col min="12" max="12" width="2.28515625" customWidth="1"/>
    <col min="13" max="13" width="11.42578125" customWidth="1"/>
    <col min="14" max="14" width="11.85546875" customWidth="1"/>
    <col min="15" max="17" width="10.28515625" bestFit="1" customWidth="1"/>
    <col min="18" max="19" width="9.42578125" bestFit="1" customWidth="1"/>
  </cols>
  <sheetData>
    <row r="1" spans="3:19" ht="15.75" thickBot="1"/>
    <row r="2" spans="3:19" ht="15.75" thickBot="1">
      <c r="C2" s="63" t="str">
        <f>"Financial Statement Model for "&amp;D5</f>
        <v>Financial Statement Model for Apple</v>
      </c>
      <c r="D2" s="48"/>
      <c r="E2" s="48"/>
      <c r="F2" s="48"/>
      <c r="G2" s="48"/>
      <c r="H2" s="48"/>
      <c r="I2" s="48"/>
      <c r="J2" s="48"/>
      <c r="K2" s="48"/>
    </row>
    <row r="3" spans="3:19">
      <c r="C3" s="2" t="s">
        <v>46</v>
      </c>
      <c r="D3" s="40"/>
      <c r="E3" s="40"/>
      <c r="F3" s="40"/>
      <c r="G3" s="40"/>
      <c r="H3" s="40"/>
    </row>
    <row r="5" spans="3:19">
      <c r="C5" s="1" t="s">
        <v>5</v>
      </c>
      <c r="D5" s="77" t="s">
        <v>50</v>
      </c>
    </row>
    <row r="6" spans="3:19">
      <c r="C6" s="1" t="s">
        <v>6</v>
      </c>
      <c r="D6" s="77" t="s">
        <v>51</v>
      </c>
    </row>
    <row r="7" spans="3:19">
      <c r="C7" t="s">
        <v>107</v>
      </c>
      <c r="D7" s="78">
        <v>1</v>
      </c>
    </row>
    <row r="8" spans="3:19">
      <c r="C8" t="s">
        <v>73</v>
      </c>
      <c r="D8" s="79">
        <v>171.25</v>
      </c>
    </row>
    <row r="9" spans="3:19">
      <c r="C9" t="s">
        <v>9</v>
      </c>
      <c r="D9" s="80">
        <v>43500</v>
      </c>
    </row>
    <row r="10" spans="3:19">
      <c r="C10" s="1" t="s">
        <v>8</v>
      </c>
      <c r="D10" s="81">
        <v>43372</v>
      </c>
    </row>
    <row r="11" spans="3:19" ht="15" customHeight="1">
      <c r="C11" t="s">
        <v>228</v>
      </c>
      <c r="D11" s="93">
        <v>4745.3980000000001</v>
      </c>
    </row>
    <row r="13" spans="3:19">
      <c r="C13" s="5" t="s">
        <v>19</v>
      </c>
      <c r="D13" s="7"/>
      <c r="E13" s="7"/>
      <c r="F13" s="7"/>
      <c r="G13" s="7"/>
      <c r="H13" s="7"/>
      <c r="I13" s="7"/>
      <c r="J13" s="7"/>
      <c r="K13" s="7"/>
    </row>
    <row r="14" spans="3:19">
      <c r="C14" t="s">
        <v>10</v>
      </c>
      <c r="D14" s="8">
        <f>E14-1</f>
        <v>2016</v>
      </c>
      <c r="E14" s="8">
        <f>F14-1</f>
        <v>2017</v>
      </c>
      <c r="F14" s="8">
        <f>YEAR(D10)</f>
        <v>2018</v>
      </c>
      <c r="G14" s="9">
        <f>F14+1</f>
        <v>2019</v>
      </c>
      <c r="H14" s="9">
        <f>G14+1</f>
        <v>2020</v>
      </c>
      <c r="I14" s="9">
        <f>H14+1</f>
        <v>2021</v>
      </c>
      <c r="J14" s="9">
        <f>I14+1</f>
        <v>2022</v>
      </c>
      <c r="K14" s="9">
        <f>J14+1</f>
        <v>2023</v>
      </c>
    </row>
    <row r="15" spans="3:19">
      <c r="C15" s="10" t="s">
        <v>7</v>
      </c>
      <c r="D15" s="56">
        <f>EOMONTH(E15,-12)</f>
        <v>42643</v>
      </c>
      <c r="E15" s="56">
        <f>EOMONTH(F15,-12)</f>
        <v>43008</v>
      </c>
      <c r="F15" s="56">
        <f>D10</f>
        <v>43372</v>
      </c>
      <c r="G15" s="56">
        <f>EOMONTH(F15,12)</f>
        <v>43738</v>
      </c>
      <c r="H15" s="56">
        <f>EOMONTH(G15,12)</f>
        <v>44104</v>
      </c>
      <c r="I15" s="56">
        <f>EOMONTH(H15,12)</f>
        <v>44469</v>
      </c>
      <c r="J15" s="56">
        <f>EOMONTH(I15,12)</f>
        <v>44834</v>
      </c>
      <c r="K15" s="56">
        <f>EOMONTH(J15,12)</f>
        <v>45199</v>
      </c>
      <c r="M15" s="51"/>
      <c r="N15" s="64"/>
      <c r="O15" s="64"/>
      <c r="P15" s="64"/>
      <c r="Q15" s="64"/>
      <c r="R15" s="64"/>
      <c r="S15" s="64"/>
    </row>
    <row r="16" spans="3:19">
      <c r="C16" s="12"/>
      <c r="D16" s="13"/>
      <c r="E16" s="14"/>
      <c r="F16" s="14"/>
      <c r="G16" s="52"/>
      <c r="H16" s="53"/>
      <c r="I16" s="53"/>
      <c r="J16" s="14"/>
      <c r="K16" s="14"/>
    </row>
    <row r="17" spans="3:14">
      <c r="C17" t="s">
        <v>11</v>
      </c>
      <c r="D17" s="3">
        <v>215639</v>
      </c>
      <c r="E17" s="3">
        <v>229234</v>
      </c>
      <c r="F17" s="3">
        <v>265595</v>
      </c>
      <c r="G17" s="98">
        <f>F17*(1+G36)</f>
        <v>254971.19999999998</v>
      </c>
      <c r="H17" s="98">
        <f>G17*(1+H36)</f>
        <v>270269.47200000001</v>
      </c>
      <c r="I17" s="98">
        <f>H17*(1+I36)</f>
        <v>288918.06556800002</v>
      </c>
      <c r="J17" s="98">
        <f>I17*(1+J36)</f>
        <v>308853.41209219198</v>
      </c>
      <c r="K17" s="98">
        <f>J17*(1+K36)</f>
        <v>330164.29752655321</v>
      </c>
      <c r="M17" t="s">
        <v>86</v>
      </c>
    </row>
    <row r="18" spans="3:14">
      <c r="C18" t="s">
        <v>14</v>
      </c>
      <c r="D18" s="3">
        <v>-131376</v>
      </c>
      <c r="E18" s="3">
        <v>-141048</v>
      </c>
      <c r="F18" s="3">
        <v>-163756</v>
      </c>
      <c r="G18" s="98">
        <f>G19-G17</f>
        <v>-158592.08639999997</v>
      </c>
      <c r="H18" s="98">
        <f>H19-H17</f>
        <v>-167296.80316800001</v>
      </c>
      <c r="I18" s="98">
        <f>I19-I17</f>
        <v>-178551.36452102399</v>
      </c>
      <c r="J18" s="98">
        <f>J19-J17</f>
        <v>-190871.40867297465</v>
      </c>
      <c r="K18" s="98">
        <f>K19-K17</f>
        <v>-204041.53587140987</v>
      </c>
      <c r="M18" t="s">
        <v>87</v>
      </c>
    </row>
    <row r="19" spans="3:14">
      <c r="C19" s="16" t="s">
        <v>13</v>
      </c>
      <c r="D19" s="17">
        <f>SUM(D17:D18)</f>
        <v>84263</v>
      </c>
      <c r="E19" s="17">
        <f>SUM(E17:E18)</f>
        <v>88186</v>
      </c>
      <c r="F19" s="17">
        <f>SUM(F17:F18)</f>
        <v>101839</v>
      </c>
      <c r="G19" s="99">
        <f>G17*G37</f>
        <v>96379.113599999997</v>
      </c>
      <c r="H19" s="99">
        <f>H17*H37</f>
        <v>102972.66883200001</v>
      </c>
      <c r="I19" s="99">
        <f>I17*I37</f>
        <v>110366.70104697601</v>
      </c>
      <c r="J19" s="99">
        <f>J17*J37</f>
        <v>117982.00341921733</v>
      </c>
      <c r="K19" s="99">
        <f>K17*K37</f>
        <v>126122.76165514333</v>
      </c>
      <c r="M19" s="54" t="s">
        <v>88</v>
      </c>
    </row>
    <row r="20" spans="3:14">
      <c r="C20" t="s">
        <v>52</v>
      </c>
      <c r="D20" s="3">
        <v>-10045</v>
      </c>
      <c r="E20" s="3">
        <v>-11581</v>
      </c>
      <c r="F20" s="3">
        <v>-14236</v>
      </c>
      <c r="G20" s="98">
        <f>-G38*G17</f>
        <v>-15808.214399999999</v>
      </c>
      <c r="H20" s="98">
        <f>-H38*H17</f>
        <v>-17026.976736000001</v>
      </c>
      <c r="I20" s="98">
        <f>-I38*I17</f>
        <v>-18201.838130784003</v>
      </c>
      <c r="J20" s="98">
        <f>-J38*J17</f>
        <v>-19457.764961808094</v>
      </c>
      <c r="K20" s="98">
        <f>-K38*K17</f>
        <v>-20800.350744172854</v>
      </c>
      <c r="M20" s="54" t="s">
        <v>222</v>
      </c>
    </row>
    <row r="21" spans="3:14">
      <c r="C21" t="s">
        <v>16</v>
      </c>
      <c r="D21" s="3">
        <v>-14194</v>
      </c>
      <c r="E21" s="3">
        <v>-15261</v>
      </c>
      <c r="F21" s="3">
        <v>-16705</v>
      </c>
      <c r="G21" s="98">
        <f>-G17*G39</f>
        <v>-18867.868799999997</v>
      </c>
      <c r="H21" s="98">
        <f>-H17*H39</f>
        <v>-18648.593568000004</v>
      </c>
      <c r="I21" s="98">
        <f>-I17*I39</f>
        <v>-19935.346524192002</v>
      </c>
      <c r="J21" s="98">
        <f>-J17*J39</f>
        <v>-21310.885434361247</v>
      </c>
      <c r="K21" s="98">
        <f>-K17*K39</f>
        <v>-22781.336529332173</v>
      </c>
      <c r="M21" s="54" t="s">
        <v>224</v>
      </c>
    </row>
    <row r="22" spans="3:14">
      <c r="C22" s="16" t="s">
        <v>3</v>
      </c>
      <c r="D22" s="17">
        <f t="shared" ref="D22:K22" si="0">D19+D20+D21</f>
        <v>60024</v>
      </c>
      <c r="E22" s="17">
        <f>E19+E20+E21</f>
        <v>61344</v>
      </c>
      <c r="F22" s="17">
        <f>F19+F20+F21</f>
        <v>70898</v>
      </c>
      <c r="G22" s="99">
        <f t="shared" si="0"/>
        <v>61703.030400000003</v>
      </c>
      <c r="H22" s="99">
        <f>H19+H20+H21</f>
        <v>67297.098528000002</v>
      </c>
      <c r="I22" s="99">
        <f t="shared" si="0"/>
        <v>72229.516392000005</v>
      </c>
      <c r="J22" s="99">
        <f t="shared" si="0"/>
        <v>77213.353023047996</v>
      </c>
      <c r="K22" s="99">
        <f t="shared" si="0"/>
        <v>82541.074381638304</v>
      </c>
      <c r="M22" s="16" t="s">
        <v>89</v>
      </c>
    </row>
    <row r="23" spans="3:14">
      <c r="C23" t="s">
        <v>4</v>
      </c>
      <c r="D23" s="3">
        <v>3999</v>
      </c>
      <c r="E23" s="3">
        <v>5201</v>
      </c>
      <c r="F23" s="3">
        <v>5686</v>
      </c>
      <c r="G23" s="105">
        <f ca="1">G156</f>
        <v>4744.4371106301642</v>
      </c>
      <c r="H23" s="105">
        <f t="shared" ref="H23:K23" ca="1" si="1">H156</f>
        <v>4090.2133392642463</v>
      </c>
      <c r="I23" s="105">
        <f t="shared" ca="1" si="1"/>
        <v>3592.0870665129901</v>
      </c>
      <c r="J23" s="105">
        <f t="shared" ca="1" si="1"/>
        <v>3200.5876330043361</v>
      </c>
      <c r="K23" s="105">
        <f t="shared" ca="1" si="1"/>
        <v>2913.259316698618</v>
      </c>
      <c r="M23" t="s">
        <v>94</v>
      </c>
    </row>
    <row r="24" spans="3:14">
      <c r="C24" t="s">
        <v>17</v>
      </c>
      <c r="D24" s="3">
        <v>-1456</v>
      </c>
      <c r="E24" s="3">
        <v>-2323</v>
      </c>
      <c r="F24" s="3">
        <v>-3240</v>
      </c>
      <c r="G24" s="105">
        <f ca="1">-G142</f>
        <v>-3223.1468651501777</v>
      </c>
      <c r="H24" s="105">
        <f t="shared" ref="H24:K24" ca="1" si="2">-H142</f>
        <v>-3223.5392651501775</v>
      </c>
      <c r="I24" s="105">
        <f t="shared" ca="1" si="2"/>
        <v>-3223.5392651501775</v>
      </c>
      <c r="J24" s="105">
        <f t="shared" ca="1" si="2"/>
        <v>-3223.5392651501775</v>
      </c>
      <c r="K24" s="105">
        <f t="shared" ca="1" si="2"/>
        <v>-3223.5392651501775</v>
      </c>
      <c r="M24" t="s">
        <v>93</v>
      </c>
    </row>
    <row r="25" spans="3:14">
      <c r="C25" t="s">
        <v>53</v>
      </c>
      <c r="D25" s="3">
        <v>-1195</v>
      </c>
      <c r="E25" s="3">
        <v>-133</v>
      </c>
      <c r="F25" s="3">
        <v>-441</v>
      </c>
      <c r="G25" s="59">
        <f>F25</f>
        <v>-441</v>
      </c>
      <c r="H25" s="59">
        <f>G25</f>
        <v>-441</v>
      </c>
      <c r="I25" s="59">
        <f>H25</f>
        <v>-441</v>
      </c>
      <c r="J25" s="59">
        <f>I25</f>
        <v>-441</v>
      </c>
      <c r="K25" s="59">
        <f>J25</f>
        <v>-441</v>
      </c>
      <c r="M25" t="s">
        <v>90</v>
      </c>
    </row>
    <row r="26" spans="3:14">
      <c r="C26" s="16" t="s">
        <v>12</v>
      </c>
      <c r="D26" s="17">
        <f t="shared" ref="D26:K26" si="3">SUM(D22:D25)</f>
        <v>61372</v>
      </c>
      <c r="E26" s="17">
        <f>SUM(E22:E25)</f>
        <v>64089</v>
      </c>
      <c r="F26" s="17">
        <f>SUM(F22:F25)</f>
        <v>72903</v>
      </c>
      <c r="G26" s="99">
        <f ca="1">SUM(G22:G25)</f>
        <v>62783.320645479995</v>
      </c>
      <c r="H26" s="99">
        <f ca="1">SUM(H22:H25)</f>
        <v>67722.77260211407</v>
      </c>
      <c r="I26" s="99">
        <f t="shared" ca="1" si="3"/>
        <v>72157.064193362821</v>
      </c>
      <c r="J26" s="99">
        <f t="shared" ca="1" si="3"/>
        <v>76749.40139090216</v>
      </c>
      <c r="K26" s="99">
        <f t="shared" ca="1" si="3"/>
        <v>81789.794433186747</v>
      </c>
      <c r="M26" s="16" t="s">
        <v>95</v>
      </c>
      <c r="N26" s="16"/>
    </row>
    <row r="27" spans="3:14">
      <c r="C27" t="s">
        <v>15</v>
      </c>
      <c r="D27" s="3">
        <v>-15685</v>
      </c>
      <c r="E27" s="3">
        <v>-15738</v>
      </c>
      <c r="F27" s="3">
        <v>-13372</v>
      </c>
      <c r="G27" s="98">
        <f ca="1">-G40*G26</f>
        <v>-10484.81454779516</v>
      </c>
      <c r="H27" s="98">
        <f ca="1">-H40*H26</f>
        <v>-11512.871342359393</v>
      </c>
      <c r="I27" s="98">
        <f ca="1">-I40*I26</f>
        <v>-12194.543848678317</v>
      </c>
      <c r="J27" s="98">
        <f ca="1">-J40*J26</f>
        <v>-12970.648835062466</v>
      </c>
      <c r="K27" s="98">
        <f ca="1">-K40*K26</f>
        <v>-13822.475259208561</v>
      </c>
      <c r="M27" t="s">
        <v>91</v>
      </c>
    </row>
    <row r="28" spans="3:14">
      <c r="C28" s="16" t="s">
        <v>2</v>
      </c>
      <c r="D28" s="17">
        <f t="shared" ref="D28" si="4">SUM(D26:D27)</f>
        <v>45687</v>
      </c>
      <c r="E28" s="17">
        <f t="shared" ref="E28:K28" si="5">SUM(E26:E27)</f>
        <v>48351</v>
      </c>
      <c r="F28" s="17">
        <f t="shared" si="5"/>
        <v>59531</v>
      </c>
      <c r="G28" s="99">
        <f t="shared" ca="1" si="5"/>
        <v>52298.506097684833</v>
      </c>
      <c r="H28" s="99">
        <f t="shared" ca="1" si="5"/>
        <v>56209.901259754675</v>
      </c>
      <c r="I28" s="99">
        <f t="shared" ca="1" si="5"/>
        <v>59962.520344684504</v>
      </c>
      <c r="J28" s="99">
        <f t="shared" ca="1" si="5"/>
        <v>63778.752555839696</v>
      </c>
      <c r="K28" s="99">
        <f t="shared" ca="1" si="5"/>
        <v>67967.319173978191</v>
      </c>
      <c r="M28" s="16" t="s">
        <v>92</v>
      </c>
    </row>
    <row r="29" spans="3:14">
      <c r="C29" s="20"/>
      <c r="D29" s="18"/>
      <c r="E29" s="18"/>
      <c r="F29" s="18"/>
      <c r="G29" s="18"/>
      <c r="H29" s="18"/>
      <c r="I29" s="18"/>
      <c r="J29" s="18"/>
      <c r="K29" s="18"/>
    </row>
    <row r="30" spans="3:14">
      <c r="C30" s="28" t="s">
        <v>49</v>
      </c>
      <c r="D30" s="3">
        <v>10505</v>
      </c>
      <c r="E30" s="3">
        <v>10157</v>
      </c>
      <c r="F30" s="3">
        <v>10903</v>
      </c>
      <c r="G30" s="59">
        <f>G106</f>
        <v>11085.020171261172</v>
      </c>
      <c r="H30" s="59">
        <f>H106</f>
        <v>11711.890744865921</v>
      </c>
      <c r="I30" s="59">
        <f>I106</f>
        <v>12226.380531123083</v>
      </c>
      <c r="J30" s="59">
        <f>J106</f>
        <v>13365.451007770575</v>
      </c>
      <c r="K30" s="59">
        <f>K106</f>
        <v>14603.503412486743</v>
      </c>
      <c r="M30" t="s">
        <v>156</v>
      </c>
    </row>
    <row r="31" spans="3:14">
      <c r="C31" s="27" t="s">
        <v>47</v>
      </c>
      <c r="D31" s="17">
        <f t="shared" ref="D31:K31" si="6">D22+D30</f>
        <v>70529</v>
      </c>
      <c r="E31" s="17">
        <f>E22+E30</f>
        <v>71501</v>
      </c>
      <c r="F31" s="17">
        <f>F22+F30</f>
        <v>81801</v>
      </c>
      <c r="G31" s="99">
        <f t="shared" si="6"/>
        <v>72788.050571261178</v>
      </c>
      <c r="H31" s="99">
        <f t="shared" si="6"/>
        <v>79008.989272865918</v>
      </c>
      <c r="I31" s="99">
        <f t="shared" si="6"/>
        <v>84455.896923123088</v>
      </c>
      <c r="J31" s="99">
        <f t="shared" si="6"/>
        <v>90578.804030818574</v>
      </c>
      <c r="K31" s="99">
        <f t="shared" si="6"/>
        <v>97144.577794125042</v>
      </c>
      <c r="M31" s="16" t="s">
        <v>96</v>
      </c>
    </row>
    <row r="32" spans="3:14">
      <c r="C32" s="28" t="s">
        <v>74</v>
      </c>
      <c r="D32" s="3">
        <v>4210</v>
      </c>
      <c r="E32" s="3">
        <v>4840</v>
      </c>
      <c r="F32" s="3">
        <v>5340</v>
      </c>
      <c r="G32" s="59">
        <f>F32*(1+G36)</f>
        <v>5126.3999999999996</v>
      </c>
      <c r="H32" s="59">
        <f>G32*(1+H36)</f>
        <v>5433.9839999999995</v>
      </c>
      <c r="I32" s="59">
        <f>H32*(1+I36)</f>
        <v>5808.9288959999994</v>
      </c>
      <c r="J32" s="59">
        <f>I32*(1+J36)</f>
        <v>6209.7449898239993</v>
      </c>
      <c r="K32" s="59">
        <f>J32*(1+K36)</f>
        <v>6638.2173941218552</v>
      </c>
      <c r="M32" t="s">
        <v>98</v>
      </c>
    </row>
    <row r="33" spans="3:20">
      <c r="C33" s="27" t="s">
        <v>72</v>
      </c>
      <c r="D33" s="17">
        <f t="shared" ref="D33:K33" si="7">SUM(D31:D32)</f>
        <v>74739</v>
      </c>
      <c r="E33" s="17">
        <f>SUM(E31:E32)</f>
        <v>76341</v>
      </c>
      <c r="F33" s="17">
        <f>SUM(F31:F32)</f>
        <v>87141</v>
      </c>
      <c r="G33" s="99">
        <f t="shared" si="7"/>
        <v>77914.450571261172</v>
      </c>
      <c r="H33" s="99">
        <f t="shared" si="7"/>
        <v>84442.973272865915</v>
      </c>
      <c r="I33" s="99">
        <f t="shared" si="7"/>
        <v>90264.825819123085</v>
      </c>
      <c r="J33" s="99">
        <f t="shared" si="7"/>
        <v>96788.549020642575</v>
      </c>
      <c r="K33" s="99">
        <f t="shared" si="7"/>
        <v>103782.79518824689</v>
      </c>
      <c r="M33" s="16" t="s">
        <v>97</v>
      </c>
    </row>
    <row r="34" spans="3:20">
      <c r="C34" s="20"/>
      <c r="G34" s="38"/>
    </row>
    <row r="35" spans="3:20">
      <c r="C35" s="19" t="s">
        <v>18</v>
      </c>
    </row>
    <row r="36" spans="3:20">
      <c r="C36" s="20" t="s">
        <v>1</v>
      </c>
      <c r="D36" s="21"/>
      <c r="E36" s="21">
        <f>E17/D17-1</f>
        <v>6.304518199398057E-2</v>
      </c>
      <c r="F36" s="21">
        <f>F17/E17-1</f>
        <v>0.15861957650261305</v>
      </c>
      <c r="G36" s="22">
        <v>-0.04</v>
      </c>
      <c r="H36" s="22">
        <v>0.06</v>
      </c>
      <c r="I36" s="22">
        <v>6.9000000000000006E-2</v>
      </c>
      <c r="J36" s="21">
        <f t="shared" ref="J36:K40" si="8">I36</f>
        <v>6.9000000000000006E-2</v>
      </c>
      <c r="K36" s="21">
        <f t="shared" si="8"/>
        <v>6.9000000000000006E-2</v>
      </c>
      <c r="M36" t="s">
        <v>148</v>
      </c>
      <c r="O36" s="22"/>
      <c r="P36" s="22"/>
      <c r="Q36" s="22"/>
      <c r="R36" s="22"/>
      <c r="S36" s="22"/>
      <c r="T36" s="22"/>
    </row>
    <row r="37" spans="3:20">
      <c r="C37" s="20" t="s">
        <v>220</v>
      </c>
      <c r="D37" s="21">
        <f>D19/D17</f>
        <v>0.39075955648097049</v>
      </c>
      <c r="E37" s="21">
        <f>E19/E17</f>
        <v>0.38469860491899105</v>
      </c>
      <c r="F37" s="21">
        <f>F19/F17</f>
        <v>0.38343718820007905</v>
      </c>
      <c r="G37" s="22">
        <v>0.378</v>
      </c>
      <c r="H37" s="22">
        <v>0.38100000000000001</v>
      </c>
      <c r="I37" s="22">
        <v>0.38200000000000001</v>
      </c>
      <c r="J37" s="21">
        <f t="shared" si="8"/>
        <v>0.38200000000000001</v>
      </c>
      <c r="K37" s="21">
        <f t="shared" si="8"/>
        <v>0.38200000000000001</v>
      </c>
      <c r="M37" t="s">
        <v>149</v>
      </c>
      <c r="O37" s="22"/>
      <c r="P37" s="22"/>
      <c r="Q37" s="22"/>
      <c r="R37" s="22"/>
      <c r="S37" s="22"/>
      <c r="T37" s="22"/>
    </row>
    <row r="38" spans="3:20">
      <c r="C38" s="20" t="s">
        <v>221</v>
      </c>
      <c r="D38" s="21">
        <f>-D20/D17</f>
        <v>4.6582482760539605E-2</v>
      </c>
      <c r="E38" s="21">
        <f>-E20/E17</f>
        <v>5.0520428906706681E-2</v>
      </c>
      <c r="F38" s="21">
        <f>-F20/F17</f>
        <v>5.3600406634161032E-2</v>
      </c>
      <c r="G38" s="22">
        <v>6.2E-2</v>
      </c>
      <c r="H38" s="22">
        <v>6.3E-2</v>
      </c>
      <c r="I38" s="22">
        <v>6.3E-2</v>
      </c>
      <c r="J38" s="21">
        <f t="shared" si="8"/>
        <v>6.3E-2</v>
      </c>
      <c r="K38" s="21">
        <f t="shared" si="8"/>
        <v>6.3E-2</v>
      </c>
      <c r="M38" t="s">
        <v>150</v>
      </c>
      <c r="O38" s="22"/>
      <c r="P38" s="22"/>
      <c r="Q38" s="22"/>
      <c r="R38" s="22"/>
      <c r="S38" s="22"/>
      <c r="T38" s="22"/>
    </row>
    <row r="39" spans="3:20">
      <c r="C39" s="20" t="s">
        <v>223</v>
      </c>
      <c r="D39" s="21">
        <f>-D21/D17</f>
        <v>6.5822972653369755E-2</v>
      </c>
      <c r="E39" s="21">
        <f>-E21/E17</f>
        <v>6.6573893924984945E-2</v>
      </c>
      <c r="F39" s="21">
        <f>-F21/F17</f>
        <v>6.2896515371147807E-2</v>
      </c>
      <c r="G39" s="22">
        <v>7.3999999999999996E-2</v>
      </c>
      <c r="H39" s="22">
        <v>6.9000000000000006E-2</v>
      </c>
      <c r="I39" s="22">
        <v>6.9000000000000006E-2</v>
      </c>
      <c r="J39" s="21">
        <f t="shared" si="8"/>
        <v>6.9000000000000006E-2</v>
      </c>
      <c r="K39" s="21">
        <f t="shared" si="8"/>
        <v>6.9000000000000006E-2</v>
      </c>
      <c r="M39" t="s">
        <v>150</v>
      </c>
      <c r="O39" s="22"/>
      <c r="P39" s="22"/>
      <c r="Q39" s="22"/>
      <c r="R39" s="22"/>
      <c r="S39" s="22"/>
      <c r="T39" s="22"/>
    </row>
    <row r="40" spans="3:20">
      <c r="C40" s="20" t="s">
        <v>0</v>
      </c>
      <c r="D40" s="21">
        <f>-(D27/D26)</f>
        <v>0.25557257381216192</v>
      </c>
      <c r="E40" s="21">
        <f>-(E27/E26)</f>
        <v>0.24556476150353415</v>
      </c>
      <c r="F40" s="21">
        <f>-(F27/F26)</f>
        <v>0.18342180705869443</v>
      </c>
      <c r="G40" s="22">
        <v>0.16700000000000001</v>
      </c>
      <c r="H40" s="22">
        <v>0.17</v>
      </c>
      <c r="I40" s="22">
        <v>0.16900000000000001</v>
      </c>
      <c r="J40" s="21">
        <f t="shared" si="8"/>
        <v>0.16900000000000001</v>
      </c>
      <c r="K40" s="21">
        <f t="shared" si="8"/>
        <v>0.16900000000000001</v>
      </c>
      <c r="M40" t="s">
        <v>150</v>
      </c>
      <c r="O40" s="22"/>
      <c r="P40" s="22"/>
      <c r="Q40" s="22"/>
      <c r="R40" s="22"/>
      <c r="S40" s="22"/>
      <c r="T40" s="22"/>
    </row>
    <row r="41" spans="3:20">
      <c r="C41" s="20"/>
      <c r="G41" s="38"/>
    </row>
    <row r="42" spans="3:20">
      <c r="C42" s="5" t="s">
        <v>20</v>
      </c>
      <c r="D42" s="11"/>
      <c r="E42" s="11"/>
      <c r="F42" s="11"/>
      <c r="G42" s="7"/>
      <c r="H42" s="7"/>
      <c r="I42" s="7"/>
      <c r="J42" s="7"/>
      <c r="K42" s="7"/>
    </row>
    <row r="43" spans="3:20">
      <c r="C43" s="26" t="str">
        <f>C14</f>
        <v xml:space="preserve">Fiscal year  </v>
      </c>
      <c r="D43" s="23"/>
      <c r="E43" s="23">
        <f t="shared" ref="E43:K44" si="9">E14</f>
        <v>2017</v>
      </c>
      <c r="F43" s="23">
        <f t="shared" si="9"/>
        <v>2018</v>
      </c>
      <c r="G43" s="24">
        <f t="shared" si="9"/>
        <v>2019</v>
      </c>
      <c r="H43" s="24">
        <f t="shared" si="9"/>
        <v>2020</v>
      </c>
      <c r="I43" s="24">
        <f t="shared" si="9"/>
        <v>2021</v>
      </c>
      <c r="J43" s="24">
        <f t="shared" si="9"/>
        <v>2022</v>
      </c>
      <c r="K43" s="24">
        <f t="shared" si="9"/>
        <v>2023</v>
      </c>
    </row>
    <row r="44" spans="3:20">
      <c r="C44" s="7" t="str">
        <f>C15</f>
        <v>Fiscal year end date</v>
      </c>
      <c r="D44" s="25"/>
      <c r="E44" s="25">
        <f t="shared" si="9"/>
        <v>43008</v>
      </c>
      <c r="F44" s="25">
        <f t="shared" si="9"/>
        <v>43372</v>
      </c>
      <c r="G44" s="25">
        <f t="shared" si="9"/>
        <v>43738</v>
      </c>
      <c r="H44" s="25">
        <f t="shared" si="9"/>
        <v>44104</v>
      </c>
      <c r="I44" s="25">
        <f t="shared" si="9"/>
        <v>44469</v>
      </c>
      <c r="J44" s="25">
        <f t="shared" si="9"/>
        <v>44834</v>
      </c>
      <c r="K44" s="25">
        <f t="shared" si="9"/>
        <v>45199</v>
      </c>
    </row>
    <row r="45" spans="3:20">
      <c r="C45" t="s">
        <v>135</v>
      </c>
      <c r="D45" s="3"/>
      <c r="E45" s="3">
        <f>20289+53892+194714</f>
        <v>268895</v>
      </c>
      <c r="F45" s="3">
        <f>25913+40388+170799</f>
        <v>237100</v>
      </c>
      <c r="G45" s="59">
        <f ca="1">G90+F45</f>
        <v>202199.73246575586</v>
      </c>
      <c r="H45" s="59">
        <f ca="1">H90+G45</f>
        <v>176523.72487352614</v>
      </c>
      <c r="I45" s="59">
        <f ca="1">I90+H45</f>
        <v>156076.92943323214</v>
      </c>
      <c r="J45" s="59">
        <f ca="1">J90+I45</f>
        <v>140273.77732642859</v>
      </c>
      <c r="K45" s="59">
        <f ca="1">K90+J45</f>
        <v>129472.4557012212</v>
      </c>
      <c r="M45" t="s">
        <v>116</v>
      </c>
    </row>
    <row r="46" spans="3:20">
      <c r="C46" t="s">
        <v>54</v>
      </c>
      <c r="D46" s="3"/>
      <c r="E46" s="3">
        <v>17874</v>
      </c>
      <c r="F46" s="3">
        <v>23186</v>
      </c>
      <c r="G46" s="59">
        <f>F46*(1+G36)</f>
        <v>22258.559999999998</v>
      </c>
      <c r="H46" s="59">
        <f>G46*(1+H36)</f>
        <v>23594.0736</v>
      </c>
      <c r="I46" s="59">
        <f>H46*(1+I36)</f>
        <v>25222.064678399998</v>
      </c>
      <c r="J46" s="59">
        <f>I46*(1+J36)</f>
        <v>26962.387141209598</v>
      </c>
      <c r="K46" s="59">
        <f>J46*(1+K36)</f>
        <v>28822.791853953058</v>
      </c>
      <c r="M46" t="s">
        <v>102</v>
      </c>
    </row>
    <row r="47" spans="3:20">
      <c r="C47" t="s">
        <v>55</v>
      </c>
      <c r="D47" s="3"/>
      <c r="E47" s="3">
        <v>4855</v>
      </c>
      <c r="F47" s="3">
        <v>3956</v>
      </c>
      <c r="G47" s="59">
        <f>F47*G18/F18</f>
        <v>3831.2507254598299</v>
      </c>
      <c r="H47" s="59">
        <f>G47*H18/G18</f>
        <v>4041.5383456643303</v>
      </c>
      <c r="I47" s="59">
        <f>H47*I18/H18</f>
        <v>4313.4248396710409</v>
      </c>
      <c r="J47" s="59">
        <f>I47*J18/I18</f>
        <v>4611.0511536083422</v>
      </c>
      <c r="K47" s="59">
        <f>J47*K18/J18</f>
        <v>4929.2136832073174</v>
      </c>
      <c r="M47" t="s">
        <v>103</v>
      </c>
    </row>
    <row r="48" spans="3:20">
      <c r="C48" t="s">
        <v>106</v>
      </c>
      <c r="D48" s="3"/>
      <c r="E48" s="3">
        <f>17799+13936</f>
        <v>31735</v>
      </c>
      <c r="F48" s="3">
        <f>25809+12087</f>
        <v>37896</v>
      </c>
      <c r="G48" s="59">
        <f>F48*(1+G36)</f>
        <v>36380.159999999996</v>
      </c>
      <c r="H48" s="59">
        <f>G48*(1+H36)</f>
        <v>38562.969599999997</v>
      </c>
      <c r="I48" s="59">
        <f>H48*(1+I36)</f>
        <v>41223.814502399997</v>
      </c>
      <c r="J48" s="59">
        <f>I48*(1+J36)</f>
        <v>44068.257703065596</v>
      </c>
      <c r="K48" s="59">
        <f>J48*(1+K36)</f>
        <v>47108.967484577122</v>
      </c>
      <c r="M48" t="s">
        <v>102</v>
      </c>
    </row>
    <row r="49" spans="3:13">
      <c r="C49" t="s">
        <v>21</v>
      </c>
      <c r="D49" s="3"/>
      <c r="E49" s="3">
        <v>33783</v>
      </c>
      <c r="F49" s="3">
        <v>41304</v>
      </c>
      <c r="G49" s="59">
        <f>G99</f>
        <v>45042.85982873883</v>
      </c>
      <c r="H49" s="59">
        <f>H99</f>
        <v>48611.181883872909</v>
      </c>
      <c r="I49" s="59">
        <f>I99</f>
        <v>51947.567835949827</v>
      </c>
      <c r="J49" s="59">
        <f>J99</f>
        <v>55218.714198720052</v>
      </c>
      <c r="K49" s="59">
        <f>K99</f>
        <v>58399.73337534142</v>
      </c>
      <c r="M49" t="s">
        <v>104</v>
      </c>
    </row>
    <row r="50" spans="3:13">
      <c r="C50" t="s">
        <v>56</v>
      </c>
      <c r="D50" s="3"/>
      <c r="E50" s="3">
        <v>18177</v>
      </c>
      <c r="F50" s="3">
        <v>22283</v>
      </c>
      <c r="G50" s="59">
        <f>F50*(1+G36)</f>
        <v>21391.68</v>
      </c>
      <c r="H50" s="59">
        <f>G50*(1+H36)</f>
        <v>22675.180800000002</v>
      </c>
      <c r="I50" s="59">
        <f>H50*(1+I36)</f>
        <v>24239.7682752</v>
      </c>
      <c r="J50" s="59">
        <f>I50*(1+J36)</f>
        <v>25912.3122861888</v>
      </c>
      <c r="K50" s="59">
        <f>J50*(1+K36)</f>
        <v>27700.261833935827</v>
      </c>
      <c r="M50" t="s">
        <v>102</v>
      </c>
    </row>
    <row r="51" spans="3:13">
      <c r="C51" s="27" t="s">
        <v>22</v>
      </c>
      <c r="D51" s="17"/>
      <c r="E51" s="17">
        <f t="shared" ref="E51:K51" si="10">SUM(E45:E50)</f>
        <v>375319</v>
      </c>
      <c r="F51" s="17">
        <f t="shared" si="10"/>
        <v>365725</v>
      </c>
      <c r="G51" s="100">
        <f t="shared" ca="1" si="10"/>
        <v>331104.24301995453</v>
      </c>
      <c r="H51" s="100">
        <f t="shared" ca="1" si="10"/>
        <v>314008.66910306341</v>
      </c>
      <c r="I51" s="100">
        <f t="shared" ca="1" si="10"/>
        <v>303023.56956485298</v>
      </c>
      <c r="J51" s="100">
        <f t="shared" ca="1" si="10"/>
        <v>297046.49980922102</v>
      </c>
      <c r="K51" s="100">
        <f t="shared" ca="1" si="10"/>
        <v>296433.42393223592</v>
      </c>
    </row>
    <row r="52" spans="3:13">
      <c r="C52" s="28"/>
      <c r="D52" s="18"/>
      <c r="E52" s="18"/>
      <c r="F52" s="18"/>
      <c r="G52" s="18"/>
      <c r="H52" s="18"/>
      <c r="I52" s="18"/>
      <c r="J52" s="18"/>
      <c r="K52" s="18"/>
    </row>
    <row r="53" spans="3:13">
      <c r="C53" s="28" t="s">
        <v>57</v>
      </c>
      <c r="D53" s="3"/>
      <c r="E53" s="3">
        <v>44242</v>
      </c>
      <c r="F53" s="3">
        <v>55888</v>
      </c>
      <c r="G53" s="59">
        <f>F53*G18/F18</f>
        <v>54125.616922269706</v>
      </c>
      <c r="H53" s="59">
        <f>G53*H18/G18</f>
        <v>57096.434545623881</v>
      </c>
      <c r="I53" s="59">
        <f>H53*I18/H18</f>
        <v>60937.484185928995</v>
      </c>
      <c r="J53" s="59">
        <f>I53*J18/I18</f>
        <v>65142.170594758099</v>
      </c>
      <c r="K53" s="59">
        <f>J53*K18/J18</f>
        <v>69636.980365796408</v>
      </c>
      <c r="M53" t="s">
        <v>103</v>
      </c>
    </row>
    <row r="54" spans="3:13">
      <c r="C54" s="28" t="s">
        <v>115</v>
      </c>
      <c r="D54" s="3"/>
      <c r="E54" s="3">
        <v>30551</v>
      </c>
      <c r="F54" s="3">
        <v>32687</v>
      </c>
      <c r="G54" s="59">
        <f>F54*(1+G36)</f>
        <v>31379.52</v>
      </c>
      <c r="H54" s="59">
        <f>G54*(1+H36)</f>
        <v>33262.2912</v>
      </c>
      <c r="I54" s="59">
        <f>H54*(1+I36)</f>
        <v>35557.389292799999</v>
      </c>
      <c r="J54" s="59">
        <f>I54*(1+J36)</f>
        <v>38010.849154003197</v>
      </c>
      <c r="K54" s="59">
        <f>J54*(1+K36)</f>
        <v>40633.597745629413</v>
      </c>
      <c r="M54" t="s">
        <v>102</v>
      </c>
    </row>
    <row r="55" spans="3:13">
      <c r="C55" s="28" t="s">
        <v>58</v>
      </c>
      <c r="D55" s="3"/>
      <c r="E55" s="3">
        <f>7548+2836</f>
        <v>10384</v>
      </c>
      <c r="F55" s="3">
        <f>7543+2797</f>
        <v>10340</v>
      </c>
      <c r="G55" s="59">
        <f>F55*(1+G36)</f>
        <v>9926.4</v>
      </c>
      <c r="H55" s="59">
        <f>G55*(1+H36)</f>
        <v>10521.984</v>
      </c>
      <c r="I55" s="59">
        <f>H55*(1+I36)</f>
        <v>11248.000896</v>
      </c>
      <c r="J55" s="59">
        <f>I55*(1+J36)</f>
        <v>12024.112957824</v>
      </c>
      <c r="K55" s="59">
        <f>J55*(1+K36)</f>
        <v>12853.776751913854</v>
      </c>
      <c r="M55" t="s">
        <v>102</v>
      </c>
    </row>
    <row r="56" spans="3:13">
      <c r="C56" s="28" t="s">
        <v>60</v>
      </c>
      <c r="D56" s="3"/>
      <c r="E56" s="3">
        <v>11977</v>
      </c>
      <c r="F56" s="3">
        <v>11964</v>
      </c>
      <c r="G56" s="105">
        <f ca="1">G135</f>
        <v>12000</v>
      </c>
      <c r="H56" s="105">
        <f ca="1">H135</f>
        <v>12000</v>
      </c>
      <c r="I56" s="105">
        <f ca="1">I135</f>
        <v>12000</v>
      </c>
      <c r="J56" s="105">
        <f ca="1">J135</f>
        <v>12000</v>
      </c>
      <c r="K56" s="105">
        <f ca="1">K135</f>
        <v>12000</v>
      </c>
      <c r="M56" t="s">
        <v>178</v>
      </c>
    </row>
    <row r="57" spans="3:13">
      <c r="C57" s="28" t="s">
        <v>120</v>
      </c>
      <c r="D57" s="3"/>
      <c r="E57" s="3">
        <f>6496+97207</f>
        <v>103703</v>
      </c>
      <c r="F57" s="3">
        <f>8784+93735</f>
        <v>102519</v>
      </c>
      <c r="G57" s="59">
        <f t="shared" ref="G57:K57" si="11">F57</f>
        <v>102519</v>
      </c>
      <c r="H57" s="59">
        <f t="shared" si="11"/>
        <v>102519</v>
      </c>
      <c r="I57" s="59">
        <f t="shared" si="11"/>
        <v>102519</v>
      </c>
      <c r="J57" s="59">
        <f t="shared" si="11"/>
        <v>102519</v>
      </c>
      <c r="K57" s="59">
        <f t="shared" si="11"/>
        <v>102519</v>
      </c>
      <c r="M57" t="s">
        <v>99</v>
      </c>
    </row>
    <row r="58" spans="3:13" ht="15.75" customHeight="1">
      <c r="C58" s="28" t="s">
        <v>59</v>
      </c>
      <c r="D58" s="3"/>
      <c r="E58" s="3">
        <v>40415</v>
      </c>
      <c r="F58" s="3">
        <v>45180</v>
      </c>
      <c r="G58" s="59">
        <f>F58*(1+G36)</f>
        <v>43372.799999999996</v>
      </c>
      <c r="H58" s="59">
        <f t="shared" ref="H58:K58" si="12">G58*(1+H36)</f>
        <v>45975.167999999998</v>
      </c>
      <c r="I58" s="59">
        <f t="shared" si="12"/>
        <v>49147.454591999995</v>
      </c>
      <c r="J58" s="59">
        <f t="shared" si="12"/>
        <v>52538.628958847992</v>
      </c>
      <c r="K58" s="59">
        <f t="shared" si="12"/>
        <v>56163.794357008504</v>
      </c>
      <c r="M58" t="s">
        <v>102</v>
      </c>
    </row>
    <row r="59" spans="3:13">
      <c r="C59" s="27" t="s">
        <v>24</v>
      </c>
      <c r="D59" s="17"/>
      <c r="E59" s="17">
        <f t="shared" ref="E59:K59" si="13">SUM(E53:E58)</f>
        <v>241272</v>
      </c>
      <c r="F59" s="17">
        <f t="shared" si="13"/>
        <v>258578</v>
      </c>
      <c r="G59" s="100">
        <f t="shared" ca="1" si="13"/>
        <v>253323.33692226969</v>
      </c>
      <c r="H59" s="100">
        <f t="shared" ca="1" si="13"/>
        <v>261374.87774562387</v>
      </c>
      <c r="I59" s="100">
        <f t="shared" ca="1" si="13"/>
        <v>271409.32896672899</v>
      </c>
      <c r="J59" s="100">
        <f t="shared" ca="1" si="13"/>
        <v>282234.7616654333</v>
      </c>
      <c r="K59" s="100">
        <f t="shared" ca="1" si="13"/>
        <v>293807.14922034822</v>
      </c>
    </row>
    <row r="60" spans="3:13">
      <c r="C60" s="27"/>
      <c r="D60" s="17"/>
      <c r="E60" s="17"/>
      <c r="F60" s="17"/>
      <c r="G60" s="18"/>
      <c r="H60" s="18"/>
      <c r="I60" s="18"/>
      <c r="J60" s="18"/>
      <c r="K60" s="18"/>
    </row>
    <row r="61" spans="3:13">
      <c r="C61" s="28" t="s">
        <v>61</v>
      </c>
      <c r="D61" s="3"/>
      <c r="E61" s="3">
        <v>35867</v>
      </c>
      <c r="F61" s="3">
        <v>40201</v>
      </c>
      <c r="G61" s="59">
        <f>F61+G32</f>
        <v>45327.4</v>
      </c>
      <c r="H61" s="59">
        <f>G61+H32</f>
        <v>50761.383999999998</v>
      </c>
      <c r="I61" s="59">
        <f>H61+I32</f>
        <v>56570.312895999996</v>
      </c>
      <c r="J61" s="59">
        <f>I61+J32</f>
        <v>62780.057885823997</v>
      </c>
      <c r="K61" s="59">
        <f>J61+K32</f>
        <v>69418.275279945854</v>
      </c>
      <c r="M61" t="s">
        <v>152</v>
      </c>
    </row>
    <row r="62" spans="3:13" ht="15.75" customHeight="1">
      <c r="C62" s="28" t="s">
        <v>44</v>
      </c>
      <c r="D62" s="15"/>
      <c r="E62" s="15">
        <f>98330</f>
        <v>98330</v>
      </c>
      <c r="F62" s="3">
        <v>70400</v>
      </c>
      <c r="G62" s="59">
        <f ca="1">G119</f>
        <v>35907.506097684833</v>
      </c>
      <c r="H62" s="59">
        <f ca="1">H119</f>
        <v>5326.4073574395152</v>
      </c>
      <c r="I62" s="59">
        <f ca="1">I119</f>
        <v>-21502.07229787598</v>
      </c>
      <c r="J62" s="59">
        <f ca="1">J119</f>
        <v>-44514.319742036285</v>
      </c>
      <c r="K62" s="59">
        <f ca="1">K119</f>
        <v>-63338.000568058094</v>
      </c>
      <c r="M62" t="s">
        <v>105</v>
      </c>
    </row>
    <row r="63" spans="3:13" ht="15.75" customHeight="1">
      <c r="C63" s="28" t="s">
        <v>119</v>
      </c>
      <c r="D63" s="3"/>
      <c r="E63" s="3">
        <v>-150</v>
      </c>
      <c r="F63" s="3">
        <v>-3454</v>
      </c>
      <c r="G63" s="59">
        <f>F63</f>
        <v>-3454</v>
      </c>
      <c r="H63" s="59">
        <f>G63</f>
        <v>-3454</v>
      </c>
      <c r="I63" s="59">
        <f>H63</f>
        <v>-3454</v>
      </c>
      <c r="J63" s="59">
        <f>I63</f>
        <v>-3454</v>
      </c>
      <c r="K63" s="59">
        <f>J63</f>
        <v>-3454</v>
      </c>
      <c r="M63" t="s">
        <v>99</v>
      </c>
    </row>
    <row r="64" spans="3:13">
      <c r="C64" s="27" t="s">
        <v>25</v>
      </c>
      <c r="D64" s="29"/>
      <c r="E64" s="29">
        <f t="shared" ref="E64:K64" si="14">SUM(E61:E63)</f>
        <v>134047</v>
      </c>
      <c r="F64" s="29">
        <f t="shared" si="14"/>
        <v>107147</v>
      </c>
      <c r="G64" s="100">
        <f t="shared" ca="1" si="14"/>
        <v>77780.906097684841</v>
      </c>
      <c r="H64" s="100">
        <f t="shared" ca="1" si="14"/>
        <v>52633.791357439513</v>
      </c>
      <c r="I64" s="100">
        <f t="shared" ca="1" si="14"/>
        <v>31614.240598124015</v>
      </c>
      <c r="J64" s="100">
        <f t="shared" ca="1" si="14"/>
        <v>14811.738143787712</v>
      </c>
      <c r="K64" s="100">
        <f t="shared" ca="1" si="14"/>
        <v>2626.2747118877596</v>
      </c>
    </row>
    <row r="65" spans="3:13">
      <c r="D65" s="18"/>
      <c r="E65" s="18"/>
      <c r="F65" s="18"/>
    </row>
    <row r="66" spans="3:13">
      <c r="C66" s="12" t="s">
        <v>26</v>
      </c>
      <c r="D66" s="30"/>
      <c r="E66" s="30">
        <f>ROUND(E51-E59-E64,3)</f>
        <v>0</v>
      </c>
      <c r="F66" s="30">
        <f t="shared" ref="F66:K66" si="15">ROUND(F51-F59-F64,3)</f>
        <v>0</v>
      </c>
      <c r="G66" s="30">
        <f t="shared" ca="1" si="15"/>
        <v>0</v>
      </c>
      <c r="H66" s="30">
        <f t="shared" ca="1" si="15"/>
        <v>0</v>
      </c>
      <c r="I66" s="30">
        <f t="shared" ca="1" si="15"/>
        <v>0</v>
      </c>
      <c r="J66" s="30">
        <f t="shared" ca="1" si="15"/>
        <v>0</v>
      </c>
      <c r="K66" s="30">
        <f t="shared" ca="1" si="15"/>
        <v>0</v>
      </c>
    </row>
    <row r="67" spans="3:13">
      <c r="E67" s="18"/>
      <c r="F67" s="18"/>
      <c r="H67" s="18"/>
      <c r="I67" s="18"/>
      <c r="J67" s="18"/>
      <c r="K67" s="18"/>
    </row>
    <row r="68" spans="3:13">
      <c r="C68" s="5" t="s">
        <v>32</v>
      </c>
      <c r="D68" s="11"/>
      <c r="E68" s="11"/>
      <c r="F68" s="11"/>
      <c r="G68" s="11"/>
      <c r="H68" s="11"/>
      <c r="I68" s="11"/>
      <c r="J68" s="11"/>
      <c r="K68" s="11"/>
    </row>
    <row r="69" spans="3:13">
      <c r="C69" s="26" t="str">
        <f>C14</f>
        <v xml:space="preserve">Fiscal year  </v>
      </c>
      <c r="D69" s="23"/>
      <c r="E69" s="23"/>
      <c r="F69" s="23"/>
      <c r="G69" s="24">
        <f t="shared" ref="G69:K70" si="16">G14</f>
        <v>2019</v>
      </c>
      <c r="H69" s="24">
        <f t="shared" si="16"/>
        <v>2020</v>
      </c>
      <c r="I69" s="24">
        <f t="shared" si="16"/>
        <v>2021</v>
      </c>
      <c r="J69" s="24">
        <f t="shared" si="16"/>
        <v>2022</v>
      </c>
      <c r="K69" s="24">
        <f t="shared" si="16"/>
        <v>2023</v>
      </c>
    </row>
    <row r="70" spans="3:13">
      <c r="C70" s="7" t="str">
        <f>C15</f>
        <v>Fiscal year end date</v>
      </c>
      <c r="D70" s="25"/>
      <c r="E70" s="25"/>
      <c r="F70" s="25"/>
      <c r="G70" s="25">
        <f t="shared" si="16"/>
        <v>43738</v>
      </c>
      <c r="H70" s="25">
        <f t="shared" si="16"/>
        <v>44104</v>
      </c>
      <c r="I70" s="25">
        <f t="shared" si="16"/>
        <v>44469</v>
      </c>
      <c r="J70" s="25">
        <f t="shared" si="16"/>
        <v>44834</v>
      </c>
      <c r="K70" s="25">
        <f t="shared" si="16"/>
        <v>45199</v>
      </c>
    </row>
    <row r="72" spans="3:13">
      <c r="C72" t="s">
        <v>2</v>
      </c>
      <c r="D72" s="34"/>
      <c r="E72" s="34"/>
      <c r="F72" s="34"/>
      <c r="G72" s="59">
        <f ca="1">G28</f>
        <v>52298.506097684833</v>
      </c>
      <c r="H72" s="59">
        <f ca="1">H28</f>
        <v>56209.901259754675</v>
      </c>
      <c r="I72" s="59">
        <f ca="1">I28</f>
        <v>59962.520344684504</v>
      </c>
      <c r="J72" s="59">
        <f ca="1">J28</f>
        <v>63778.752555839696</v>
      </c>
      <c r="K72" s="59">
        <f ca="1">K28</f>
        <v>67967.319173978191</v>
      </c>
      <c r="M72" s="16"/>
    </row>
    <row r="73" spans="3:13">
      <c r="C73" t="s">
        <v>33</v>
      </c>
      <c r="D73" s="34"/>
      <c r="E73" s="34"/>
      <c r="F73" s="34"/>
      <c r="G73" s="59">
        <f>G30</f>
        <v>11085.020171261172</v>
      </c>
      <c r="H73" s="59">
        <f>H30</f>
        <v>11711.890744865921</v>
      </c>
      <c r="I73" s="59">
        <f>I30</f>
        <v>12226.380531123083</v>
      </c>
      <c r="J73" s="59">
        <f>J30</f>
        <v>13365.451007770575</v>
      </c>
      <c r="K73" s="59">
        <f>K30</f>
        <v>14603.503412486743</v>
      </c>
      <c r="M73" t="s">
        <v>166</v>
      </c>
    </row>
    <row r="74" spans="3:13">
      <c r="C74" t="s">
        <v>74</v>
      </c>
      <c r="D74" s="34"/>
      <c r="E74" s="34"/>
      <c r="F74" s="34"/>
      <c r="G74" s="59">
        <f>G32</f>
        <v>5126.3999999999996</v>
      </c>
      <c r="H74" s="59">
        <f>H32</f>
        <v>5433.9839999999995</v>
      </c>
      <c r="I74" s="59">
        <f>I32</f>
        <v>5808.9288959999994</v>
      </c>
      <c r="J74" s="59">
        <f>J32</f>
        <v>6209.7449898239993</v>
      </c>
      <c r="K74" s="59">
        <f>K32</f>
        <v>6638.2173941218552</v>
      </c>
    </row>
    <row r="75" spans="3:13">
      <c r="C75" t="s">
        <v>65</v>
      </c>
      <c r="D75" s="18"/>
      <c r="E75" s="18"/>
      <c r="F75" s="18"/>
      <c r="G75" s="59">
        <f>-1*(SUM(G46:G48)-SUM(F46:F48))</f>
        <v>2568.0292745401748</v>
      </c>
      <c r="H75" s="59">
        <f>-1*(SUM(H46:H48)-SUM(G46:G48))</f>
        <v>-3728.6108202044925</v>
      </c>
      <c r="I75" s="59">
        <f>-1*(SUM(I46:I48)-SUM(H46:H48))</f>
        <v>-4560.7224748067092</v>
      </c>
      <c r="J75" s="59">
        <f>-1*(SUM(J46:J48)-SUM(I46:I48))</f>
        <v>-4882.3919774125097</v>
      </c>
      <c r="K75" s="59">
        <f>-1*(SUM(K46:K48)-SUM(J46:J48))</f>
        <v>-5219.277023853967</v>
      </c>
    </row>
    <row r="76" spans="3:13">
      <c r="C76" t="s">
        <v>66</v>
      </c>
      <c r="D76" s="18"/>
      <c r="E76" s="18"/>
      <c r="F76" s="18"/>
      <c r="G76" s="59">
        <f>SUM(G53:G55)-SUM(F53:F55)</f>
        <v>-3483.4630777302955</v>
      </c>
      <c r="H76" s="59">
        <f>SUM(H53:H55)-SUM(G53:G55)</f>
        <v>5449.1728233541653</v>
      </c>
      <c r="I76" s="59">
        <f>SUM(I53:I55)-SUM(H53:H55)</f>
        <v>6862.1646291051147</v>
      </c>
      <c r="J76" s="59">
        <f>SUM(J53:J55)-SUM(I53:I55)</f>
        <v>7434.2583318562974</v>
      </c>
      <c r="K76" s="59">
        <f>SUM(K53:K55)-SUM(J53:J55)</f>
        <v>7947.2221567544038</v>
      </c>
    </row>
    <row r="77" spans="3:13">
      <c r="C77" t="s">
        <v>56</v>
      </c>
      <c r="G77" s="59">
        <f>-(G111)</f>
        <v>-647.56000000000131</v>
      </c>
      <c r="H77" s="59">
        <f>-(H111)</f>
        <v>-2914.7136000000028</v>
      </c>
      <c r="I77" s="59">
        <f>-(I111)</f>
        <v>-3308.3539583999991</v>
      </c>
      <c r="J77" s="59">
        <f>-(J111)</f>
        <v>-3536.6303815296014</v>
      </c>
      <c r="K77" s="59">
        <f>-(K111)</f>
        <v>-3780.6578778551411</v>
      </c>
      <c r="M77" t="s">
        <v>167</v>
      </c>
    </row>
    <row r="78" spans="3:13">
      <c r="C78" t="s">
        <v>59</v>
      </c>
      <c r="G78" s="59">
        <f>G58-F58</f>
        <v>-1807.2000000000044</v>
      </c>
      <c r="H78" s="59">
        <f>H58-G58</f>
        <v>2602.3680000000022</v>
      </c>
      <c r="I78" s="59">
        <f>I58-H58</f>
        <v>3172.2865919999967</v>
      </c>
      <c r="J78" s="59">
        <f>J58-I58</f>
        <v>3391.1743668479976</v>
      </c>
      <c r="K78" s="59">
        <f>K58-J58</f>
        <v>3625.1653981605123</v>
      </c>
      <c r="M78" s="16"/>
    </row>
    <row r="79" spans="3:13">
      <c r="C79" s="16" t="s">
        <v>34</v>
      </c>
      <c r="G79" s="100">
        <f ca="1">SUM(G72:G78)</f>
        <v>65139.732465755871</v>
      </c>
      <c r="H79" s="100">
        <f ca="1">SUM(H72:H78)</f>
        <v>74763.992407770274</v>
      </c>
      <c r="I79" s="100">
        <f ca="1">SUM(I72:I78)</f>
        <v>80163.204559706006</v>
      </c>
      <c r="J79" s="100">
        <f ca="1">SUM(J72:J78)</f>
        <v>85760.358893196448</v>
      </c>
      <c r="K79" s="100">
        <f ca="1">SUM(K72:K78)</f>
        <v>91781.492633792601</v>
      </c>
    </row>
    <row r="80" spans="3:13">
      <c r="G80" s="18"/>
      <c r="H80" s="18"/>
      <c r="I80" s="18"/>
      <c r="J80" s="18"/>
      <c r="K80" s="18"/>
    </row>
    <row r="81" spans="3:13">
      <c r="C81" t="s">
        <v>35</v>
      </c>
      <c r="G81" s="59">
        <f>-(G97)</f>
        <v>-13285</v>
      </c>
      <c r="H81" s="59">
        <f>-(H97)</f>
        <v>-13649</v>
      </c>
      <c r="I81" s="59">
        <f>-(I97)</f>
        <v>-13819</v>
      </c>
      <c r="J81" s="59">
        <f>-(J97)</f>
        <v>-14772.510999999999</v>
      </c>
      <c r="K81" s="59">
        <f>-(K97)</f>
        <v>-15791.814258999997</v>
      </c>
      <c r="M81" t="s">
        <v>104</v>
      </c>
    </row>
    <row r="82" spans="3:13">
      <c r="C82" s="16" t="s">
        <v>36</v>
      </c>
      <c r="G82" s="100">
        <f>IFERROR(G81,"NA")</f>
        <v>-13285</v>
      </c>
      <c r="H82" s="100">
        <f>IFERROR(H81,"NA")</f>
        <v>-13649</v>
      </c>
      <c r="I82" s="100">
        <f>IFERROR(I81,"NA")</f>
        <v>-13819</v>
      </c>
      <c r="J82" s="100">
        <f>IFERROR(J81,"NA")</f>
        <v>-14772.510999999999</v>
      </c>
      <c r="K82" s="100">
        <f>IFERROR(K81,"NA")</f>
        <v>-15791.814258999997</v>
      </c>
    </row>
    <row r="83" spans="3:13">
      <c r="G83" s="18"/>
      <c r="H83" s="18"/>
      <c r="I83" s="18"/>
      <c r="J83" s="18"/>
      <c r="K83" s="18"/>
    </row>
    <row r="84" spans="3:13">
      <c r="C84" t="s">
        <v>67</v>
      </c>
      <c r="G84" s="59">
        <f>G57-F57</f>
        <v>0</v>
      </c>
      <c r="H84" s="59">
        <f>H57-G57</f>
        <v>0</v>
      </c>
      <c r="I84" s="59">
        <f>I57-H57</f>
        <v>0</v>
      </c>
      <c r="J84" s="59">
        <f>J57-I57</f>
        <v>0</v>
      </c>
      <c r="K84" s="59">
        <f>K57-J57</f>
        <v>0</v>
      </c>
    </row>
    <row r="85" spans="3:13">
      <c r="C85" t="s">
        <v>23</v>
      </c>
      <c r="G85" s="105">
        <f ca="1">G56-F56</f>
        <v>36</v>
      </c>
      <c r="H85" s="105">
        <f ca="1">H56-G56</f>
        <v>0</v>
      </c>
      <c r="I85" s="105">
        <f ca="1">I56-H56</f>
        <v>0</v>
      </c>
      <c r="J85" s="105">
        <f ca="1">J56-I56</f>
        <v>0</v>
      </c>
      <c r="K85" s="105">
        <f ca="1">K56-J56</f>
        <v>0</v>
      </c>
      <c r="M85" t="s">
        <v>175</v>
      </c>
    </row>
    <row r="86" spans="3:13">
      <c r="C86" t="s">
        <v>70</v>
      </c>
      <c r="G86" s="59">
        <f>G118</f>
        <v>-73056</v>
      </c>
      <c r="H86" s="59">
        <f>H118</f>
        <v>-73056</v>
      </c>
      <c r="I86" s="59">
        <f>I118</f>
        <v>-73056</v>
      </c>
      <c r="J86" s="59">
        <f>J118</f>
        <v>-73056</v>
      </c>
      <c r="K86" s="59">
        <f>K118</f>
        <v>-73056</v>
      </c>
      <c r="M86" t="s">
        <v>105</v>
      </c>
    </row>
    <row r="87" spans="3:13">
      <c r="C87" t="s">
        <v>71</v>
      </c>
      <c r="G87" s="59">
        <f>G117</f>
        <v>-13735</v>
      </c>
      <c r="H87" s="59">
        <f>H117</f>
        <v>-13735</v>
      </c>
      <c r="I87" s="59">
        <f>I117</f>
        <v>-13735</v>
      </c>
      <c r="J87" s="59">
        <f>J117</f>
        <v>-13735</v>
      </c>
      <c r="K87" s="59">
        <f>K117</f>
        <v>-13735</v>
      </c>
      <c r="M87" t="s">
        <v>105</v>
      </c>
    </row>
    <row r="88" spans="3:13">
      <c r="C88" s="16" t="s">
        <v>37</v>
      </c>
      <c r="G88" s="100">
        <f ca="1">SUM(G84:G87)</f>
        <v>-86755</v>
      </c>
      <c r="H88" s="100">
        <f ca="1">SUM(H84:H87)</f>
        <v>-86791</v>
      </c>
      <c r="I88" s="100">
        <f ca="1">SUM(I84:I87)</f>
        <v>-86791</v>
      </c>
      <c r="J88" s="100">
        <f ca="1">SUM(J84:J87)</f>
        <v>-86791</v>
      </c>
      <c r="K88" s="100">
        <f ca="1">SUM(K84:K87)</f>
        <v>-86791</v>
      </c>
    </row>
    <row r="89" spans="3:13">
      <c r="G89" s="18"/>
      <c r="H89" s="18"/>
      <c r="I89" s="18"/>
      <c r="J89" s="18"/>
      <c r="K89" s="18"/>
    </row>
    <row r="90" spans="3:13">
      <c r="C90" s="16" t="s">
        <v>38</v>
      </c>
      <c r="G90" s="100">
        <f ca="1">G79+G82+G88</f>
        <v>-34900.267534244129</v>
      </c>
      <c r="H90" s="100">
        <f ca="1">H79+H82+H88</f>
        <v>-25676.007592229726</v>
      </c>
      <c r="I90" s="100">
        <f ca="1">I79+I82+I88</f>
        <v>-20446.795440293994</v>
      </c>
      <c r="J90" s="100">
        <f ca="1">J79+J82+J88</f>
        <v>-15803.152106803551</v>
      </c>
      <c r="K90" s="100">
        <f ca="1">K79+K82+K88</f>
        <v>-10801.321625207391</v>
      </c>
    </row>
    <row r="92" spans="3:13">
      <c r="C92" s="5" t="s">
        <v>29</v>
      </c>
      <c r="D92" s="7"/>
      <c r="E92" s="7"/>
      <c r="F92" s="7"/>
      <c r="G92" s="7"/>
      <c r="H92" s="7"/>
      <c r="I92" s="7"/>
      <c r="J92" s="7"/>
      <c r="K92" s="7"/>
    </row>
    <row r="93" spans="3:13">
      <c r="C93" s="26" t="str">
        <f t="shared" ref="C93:K93" si="17">C14</f>
        <v xml:space="preserve">Fiscal year  </v>
      </c>
      <c r="D93" s="23">
        <f t="shared" si="17"/>
        <v>2016</v>
      </c>
      <c r="E93" s="23">
        <f t="shared" si="17"/>
        <v>2017</v>
      </c>
      <c r="F93" s="23">
        <f t="shared" si="17"/>
        <v>2018</v>
      </c>
      <c r="G93" s="24">
        <f t="shared" si="17"/>
        <v>2019</v>
      </c>
      <c r="H93" s="24">
        <f t="shared" si="17"/>
        <v>2020</v>
      </c>
      <c r="I93" s="24">
        <f t="shared" si="17"/>
        <v>2021</v>
      </c>
      <c r="J93" s="24">
        <f t="shared" si="17"/>
        <v>2022</v>
      </c>
      <c r="K93" s="24">
        <f t="shared" si="17"/>
        <v>2023</v>
      </c>
    </row>
    <row r="94" spans="3:13">
      <c r="C94" s="7" t="str">
        <f t="shared" ref="C94:K94" si="18">C15</f>
        <v>Fiscal year end date</v>
      </c>
      <c r="D94" s="25">
        <f t="shared" si="18"/>
        <v>42643</v>
      </c>
      <c r="E94" s="25">
        <f t="shared" si="18"/>
        <v>43008</v>
      </c>
      <c r="F94" s="25">
        <f t="shared" si="18"/>
        <v>43372</v>
      </c>
      <c r="G94" s="25">
        <f t="shared" si="18"/>
        <v>43738</v>
      </c>
      <c r="H94" s="25">
        <f t="shared" si="18"/>
        <v>44104</v>
      </c>
      <c r="I94" s="25">
        <f t="shared" si="18"/>
        <v>44469</v>
      </c>
      <c r="J94" s="25">
        <f t="shared" si="18"/>
        <v>44834</v>
      </c>
      <c r="K94" s="25">
        <f t="shared" si="18"/>
        <v>45199</v>
      </c>
    </row>
    <row r="95" spans="3:13">
      <c r="C95" s="16"/>
      <c r="G95" s="76" t="s">
        <v>114</v>
      </c>
      <c r="H95" s="76"/>
      <c r="I95" s="76"/>
      <c r="J95" s="76"/>
      <c r="K95" s="76"/>
    </row>
    <row r="96" spans="3:13">
      <c r="C96" s="28" t="s">
        <v>27</v>
      </c>
      <c r="G96" s="59">
        <f>F99</f>
        <v>41304</v>
      </c>
      <c r="H96" s="59">
        <f>G99</f>
        <v>45042.85982873883</v>
      </c>
      <c r="I96" s="59">
        <f>H99</f>
        <v>48611.181883872909</v>
      </c>
      <c r="J96" s="59">
        <f>I99</f>
        <v>51947.567835949827</v>
      </c>
      <c r="K96" s="59">
        <f>J99</f>
        <v>55218.714198720052</v>
      </c>
      <c r="M96" t="s">
        <v>163</v>
      </c>
    </row>
    <row r="97" spans="3:17">
      <c r="C97" s="31" t="s">
        <v>30</v>
      </c>
      <c r="D97" s="3">
        <v>12734</v>
      </c>
      <c r="E97" s="3">
        <v>12451</v>
      </c>
      <c r="F97" s="3">
        <v>13313</v>
      </c>
      <c r="G97" s="3">
        <v>13285</v>
      </c>
      <c r="H97" s="3">
        <v>13649</v>
      </c>
      <c r="I97" s="3">
        <v>13819</v>
      </c>
      <c r="J97" s="3">
        <f>I97*(1+J36)</f>
        <v>14772.510999999999</v>
      </c>
      <c r="K97" s="3">
        <f t="shared" ref="K97" si="19">J97*(1+K36)</f>
        <v>15791.814258999997</v>
      </c>
      <c r="M97" t="s">
        <v>151</v>
      </c>
    </row>
    <row r="98" spans="3:17">
      <c r="C98" s="69" t="s">
        <v>31</v>
      </c>
      <c r="D98" s="62">
        <v>-8300</v>
      </c>
      <c r="E98" s="62">
        <v>-8200</v>
      </c>
      <c r="F98" s="62">
        <v>-9300</v>
      </c>
      <c r="G98" s="101">
        <f>-(G101*G97)</f>
        <v>-9546.1401712611732</v>
      </c>
      <c r="H98" s="101">
        <f>-(H101*H97)</f>
        <v>-10080.677944865922</v>
      </c>
      <c r="I98" s="101">
        <f>-(I101*I97)</f>
        <v>-10482.614047923083</v>
      </c>
      <c r="J98" s="101">
        <f>-(J101*J97)</f>
        <v>-11501.364637229775</v>
      </c>
      <c r="K98" s="101">
        <f>-(K101*K97)</f>
        <v>-12610.795082378629</v>
      </c>
      <c r="M98" t="s">
        <v>162</v>
      </c>
    </row>
    <row r="99" spans="3:17">
      <c r="C99" s="35" t="s">
        <v>28</v>
      </c>
      <c r="D99" s="29"/>
      <c r="E99" s="29">
        <f>E49</f>
        <v>33783</v>
      </c>
      <c r="F99" s="29">
        <f>F49</f>
        <v>41304</v>
      </c>
      <c r="G99" s="100">
        <f>SUM(G96:G98)</f>
        <v>45042.85982873883</v>
      </c>
      <c r="H99" s="100">
        <f>SUM(H96:H98)</f>
        <v>48611.181883872909</v>
      </c>
      <c r="I99" s="100">
        <f>SUM(I96:I98)</f>
        <v>51947.567835949827</v>
      </c>
      <c r="J99" s="100">
        <f>SUM(J96:J98)</f>
        <v>55218.714198720052</v>
      </c>
      <c r="K99" s="100">
        <f>SUM(K96:K98)</f>
        <v>58399.73337534142</v>
      </c>
      <c r="M99" t="s">
        <v>161</v>
      </c>
    </row>
    <row r="100" spans="3:17">
      <c r="C100" s="28"/>
      <c r="M100" s="19" t="s">
        <v>48</v>
      </c>
    </row>
    <row r="101" spans="3:17">
      <c r="C101" s="28" t="s">
        <v>121</v>
      </c>
      <c r="D101" s="4">
        <f>-(D98/D97)</f>
        <v>0.65179833516569818</v>
      </c>
      <c r="E101" s="4">
        <f>-(E98/E97)</f>
        <v>0.6585816400289134</v>
      </c>
      <c r="F101" s="4">
        <f>-(F98/F97)</f>
        <v>0.69856531210095396</v>
      </c>
      <c r="G101" s="95">
        <f>F101+$M$101</f>
        <v>0.71856531210095398</v>
      </c>
      <c r="H101" s="95">
        <f>G101+$M$101</f>
        <v>0.738565312100954</v>
      </c>
      <c r="I101" s="95">
        <f>H101+$M$101</f>
        <v>0.75856531210095401</v>
      </c>
      <c r="J101" s="95">
        <f>I101+$M$101</f>
        <v>0.77856531210095403</v>
      </c>
      <c r="K101" s="95">
        <f>J101+$M$101</f>
        <v>0.79856531210095405</v>
      </c>
      <c r="M101" s="55">
        <v>0.02</v>
      </c>
      <c r="O101" s="65"/>
      <c r="P101" s="65"/>
      <c r="Q101" s="65"/>
    </row>
    <row r="102" spans="3:17">
      <c r="C102" s="28"/>
      <c r="D102" s="4"/>
      <c r="E102" s="4"/>
      <c r="F102" s="4"/>
      <c r="G102" s="21"/>
      <c r="H102" s="21"/>
      <c r="I102" s="21"/>
      <c r="J102" s="21"/>
      <c r="K102" s="21"/>
      <c r="O102" s="65"/>
      <c r="P102" s="65"/>
      <c r="Q102" s="65"/>
    </row>
    <row r="103" spans="3:17">
      <c r="C103" s="90" t="s">
        <v>127</v>
      </c>
      <c r="D103" s="32"/>
      <c r="E103" s="32"/>
      <c r="F103" s="32"/>
      <c r="G103" s="91"/>
      <c r="H103" s="91"/>
      <c r="I103" s="91"/>
      <c r="J103" s="91"/>
      <c r="K103" s="91"/>
      <c r="O103" s="65"/>
      <c r="P103" s="65"/>
      <c r="Q103" s="65"/>
    </row>
    <row r="104" spans="3:17">
      <c r="C104" s="28" t="s">
        <v>153</v>
      </c>
      <c r="D104" s="18">
        <f>D106+D98</f>
        <v>2205</v>
      </c>
      <c r="E104" s="18">
        <f>E106+E98</f>
        <v>1957</v>
      </c>
      <c r="F104" s="18">
        <f>F106+F98</f>
        <v>1603</v>
      </c>
      <c r="G104" s="98">
        <f>G105*G17</f>
        <v>1538.8799999999999</v>
      </c>
      <c r="H104" s="98">
        <f>H105*H17</f>
        <v>1631.2128</v>
      </c>
      <c r="I104" s="98">
        <f>I105*I17</f>
        <v>1743.7664832</v>
      </c>
      <c r="J104" s="98">
        <f>J105*J17</f>
        <v>1864.0863705407999</v>
      </c>
      <c r="K104" s="98">
        <f>K105*K17</f>
        <v>1992.708330108115</v>
      </c>
      <c r="M104" t="s">
        <v>227</v>
      </c>
      <c r="O104" s="65"/>
      <c r="P104" s="65"/>
      <c r="Q104" s="65"/>
    </row>
    <row r="105" spans="3:17">
      <c r="C105" s="20" t="s">
        <v>154</v>
      </c>
      <c r="D105" s="60">
        <f>D104/D17</f>
        <v>1.0225423044996499E-2</v>
      </c>
      <c r="E105" s="60">
        <f>E104/E17</f>
        <v>8.537128000209393E-3</v>
      </c>
      <c r="F105" s="60">
        <f>F104/F17</f>
        <v>6.0355051864681188E-3</v>
      </c>
      <c r="G105" s="95">
        <f>F105</f>
        <v>6.0355051864681188E-3</v>
      </c>
      <c r="H105" s="95">
        <f>G105</f>
        <v>6.0355051864681188E-3</v>
      </c>
      <c r="I105" s="95">
        <f>H105</f>
        <v>6.0355051864681188E-3</v>
      </c>
      <c r="J105" s="95">
        <f>I105</f>
        <v>6.0355051864681188E-3</v>
      </c>
      <c r="K105" s="95">
        <f>J105</f>
        <v>6.0355051864681188E-3</v>
      </c>
      <c r="M105" t="s">
        <v>155</v>
      </c>
    </row>
    <row r="106" spans="3:17">
      <c r="C106" s="27" t="s">
        <v>108</v>
      </c>
      <c r="D106" s="29">
        <f>D30</f>
        <v>10505</v>
      </c>
      <c r="E106" s="29">
        <f>E30</f>
        <v>10157</v>
      </c>
      <c r="F106" s="29">
        <f>F30</f>
        <v>10903</v>
      </c>
      <c r="G106" s="99">
        <f>-G98+G104</f>
        <v>11085.020171261172</v>
      </c>
      <c r="H106" s="99">
        <f>-H98+H104</f>
        <v>11711.890744865921</v>
      </c>
      <c r="I106" s="99">
        <f>-I98+I104</f>
        <v>12226.380531123083</v>
      </c>
      <c r="J106" s="99">
        <f>-J98+J104</f>
        <v>13365.451007770575</v>
      </c>
      <c r="K106" s="99">
        <f>-K98+K104</f>
        <v>14603.503412486743</v>
      </c>
      <c r="M106" t="s">
        <v>157</v>
      </c>
    </row>
    <row r="107" spans="3:17">
      <c r="C107" s="28"/>
      <c r="D107" s="18"/>
      <c r="E107" s="18"/>
      <c r="F107" s="18"/>
      <c r="H107" s="18"/>
      <c r="I107" s="18"/>
      <c r="J107" s="18"/>
      <c r="K107" s="18"/>
    </row>
    <row r="108" spans="3:17">
      <c r="C108" s="42" t="s">
        <v>126</v>
      </c>
      <c r="D108" s="7"/>
      <c r="E108" s="7"/>
      <c r="F108" s="7"/>
      <c r="H108" s="18"/>
      <c r="I108" s="18"/>
      <c r="J108" s="18"/>
      <c r="K108" s="18"/>
    </row>
    <row r="109" spans="3:17">
      <c r="C109" s="28" t="s">
        <v>27</v>
      </c>
      <c r="D109" s="18"/>
      <c r="G109" s="104">
        <f>F112</f>
        <v>22283</v>
      </c>
      <c r="H109" s="104">
        <f>G112</f>
        <v>21391.68</v>
      </c>
      <c r="I109" s="104">
        <f>H112</f>
        <v>22675.180800000002</v>
      </c>
      <c r="J109" s="104">
        <f>I112</f>
        <v>24239.7682752</v>
      </c>
      <c r="K109" s="104">
        <f>J112</f>
        <v>25912.3122861888</v>
      </c>
      <c r="M109" t="s">
        <v>163</v>
      </c>
    </row>
    <row r="110" spans="3:17">
      <c r="C110" s="20" t="s">
        <v>122</v>
      </c>
      <c r="G110" s="18">
        <f>-(G104)</f>
        <v>-1538.8799999999999</v>
      </c>
      <c r="H110" s="18">
        <f>-(H104)</f>
        <v>-1631.2128</v>
      </c>
      <c r="I110" s="18">
        <f>-(I104)</f>
        <v>-1743.7664832</v>
      </c>
      <c r="J110" s="18">
        <f>-(J104)</f>
        <v>-1864.0863705407999</v>
      </c>
      <c r="K110" s="18">
        <f>-(K104)</f>
        <v>-1992.708330108115</v>
      </c>
      <c r="M110" t="s">
        <v>158</v>
      </c>
    </row>
    <row r="111" spans="3:17" ht="15" customHeight="1">
      <c r="C111" s="70" t="s">
        <v>123</v>
      </c>
      <c r="D111" s="67"/>
      <c r="E111" s="67"/>
      <c r="F111" s="67"/>
      <c r="G111" s="103">
        <f>G112-G110-G109</f>
        <v>647.56000000000131</v>
      </c>
      <c r="H111" s="103">
        <f>H112-H110-H109</f>
        <v>2914.7136000000028</v>
      </c>
      <c r="I111" s="103">
        <f>I112-I110-I109</f>
        <v>3308.3539583999991</v>
      </c>
      <c r="J111" s="103">
        <f>J112-J110-J109</f>
        <v>3536.6303815296014</v>
      </c>
      <c r="K111" s="103">
        <f>K112-K110-K109</f>
        <v>3780.6578778551411</v>
      </c>
      <c r="M111" t="s">
        <v>164</v>
      </c>
    </row>
    <row r="112" spans="3:17">
      <c r="C112" s="35" t="s">
        <v>28</v>
      </c>
      <c r="E112" s="29">
        <f t="shared" ref="E112:K112" si="20">E50</f>
        <v>18177</v>
      </c>
      <c r="F112" s="29">
        <f t="shared" si="20"/>
        <v>22283</v>
      </c>
      <c r="G112" s="29">
        <f t="shared" si="20"/>
        <v>21391.68</v>
      </c>
      <c r="H112" s="29">
        <f t="shared" si="20"/>
        <v>22675.180800000002</v>
      </c>
      <c r="I112" s="29">
        <f t="shared" si="20"/>
        <v>24239.7682752</v>
      </c>
      <c r="J112" s="29">
        <f t="shared" si="20"/>
        <v>25912.3122861888</v>
      </c>
      <c r="K112" s="29">
        <f t="shared" si="20"/>
        <v>27700.261833935827</v>
      </c>
      <c r="M112" t="s">
        <v>165</v>
      </c>
    </row>
    <row r="113" spans="3:17">
      <c r="C113" s="20"/>
      <c r="E113" s="18"/>
      <c r="F113" s="18"/>
      <c r="H113" s="18"/>
      <c r="I113" s="18"/>
      <c r="J113" s="18"/>
      <c r="K113" s="18"/>
    </row>
    <row r="114" spans="3:17">
      <c r="C114" s="43" t="s">
        <v>75</v>
      </c>
      <c r="D114" s="42"/>
      <c r="E114" s="42"/>
      <c r="F114" s="42"/>
      <c r="G114" s="7"/>
      <c r="H114" s="7"/>
      <c r="I114" s="7"/>
      <c r="J114" s="7"/>
      <c r="K114" s="7"/>
    </row>
    <row r="115" spans="3:17">
      <c r="C115" s="28" t="s">
        <v>27</v>
      </c>
      <c r="G115" s="59">
        <f>F119</f>
        <v>70400</v>
      </c>
      <c r="H115" s="59">
        <f ca="1">G119</f>
        <v>35907.506097684833</v>
      </c>
      <c r="I115" s="59">
        <f ca="1">H119</f>
        <v>5326.4073574395152</v>
      </c>
      <c r="J115" s="59">
        <f ca="1">I119</f>
        <v>-21502.07229787598</v>
      </c>
      <c r="K115" s="59">
        <f ca="1">J119</f>
        <v>-44514.319742036285</v>
      </c>
      <c r="M115" t="s">
        <v>163</v>
      </c>
    </row>
    <row r="116" spans="3:17">
      <c r="C116" s="20" t="s">
        <v>62</v>
      </c>
      <c r="D116" s="15">
        <f t="shared" ref="D116:K116" si="21">D28</f>
        <v>45687</v>
      </c>
      <c r="E116" s="15">
        <f t="shared" si="21"/>
        <v>48351</v>
      </c>
      <c r="F116" s="15">
        <f t="shared" si="21"/>
        <v>59531</v>
      </c>
      <c r="G116" s="59">
        <f t="shared" ca="1" si="21"/>
        <v>52298.506097684833</v>
      </c>
      <c r="H116" s="59">
        <f t="shared" ca="1" si="21"/>
        <v>56209.901259754675</v>
      </c>
      <c r="I116" s="59">
        <f t="shared" ca="1" si="21"/>
        <v>59962.520344684504</v>
      </c>
      <c r="J116" s="59">
        <f t="shared" ca="1" si="21"/>
        <v>63778.752555839696</v>
      </c>
      <c r="K116" s="59">
        <f t="shared" ca="1" si="21"/>
        <v>67967.319173978191</v>
      </c>
      <c r="M116" t="s">
        <v>100</v>
      </c>
    </row>
    <row r="117" spans="3:17">
      <c r="C117" s="20" t="s">
        <v>63</v>
      </c>
      <c r="D117" s="3">
        <v>-12188</v>
      </c>
      <c r="E117" s="3">
        <v>-12803</v>
      </c>
      <c r="F117" s="3">
        <v>-13735</v>
      </c>
      <c r="G117" s="59">
        <f t="shared" ref="G117:K118" si="22">F117</f>
        <v>-13735</v>
      </c>
      <c r="H117" s="59">
        <f t="shared" si="22"/>
        <v>-13735</v>
      </c>
      <c r="I117" s="59">
        <f t="shared" si="22"/>
        <v>-13735</v>
      </c>
      <c r="J117" s="59">
        <f t="shared" si="22"/>
        <v>-13735</v>
      </c>
      <c r="K117" s="59">
        <f t="shared" si="22"/>
        <v>-13735</v>
      </c>
      <c r="M117" t="s">
        <v>159</v>
      </c>
    </row>
    <row r="118" spans="3:17">
      <c r="C118" s="70" t="s">
        <v>64</v>
      </c>
      <c r="D118" s="62">
        <v>-29000</v>
      </c>
      <c r="E118" s="62">
        <v>-33001</v>
      </c>
      <c r="F118" s="62">
        <v>-73056</v>
      </c>
      <c r="G118" s="101">
        <f t="shared" si="22"/>
        <v>-73056</v>
      </c>
      <c r="H118" s="101">
        <f t="shared" si="22"/>
        <v>-73056</v>
      </c>
      <c r="I118" s="101">
        <f t="shared" si="22"/>
        <v>-73056</v>
      </c>
      <c r="J118" s="101">
        <f t="shared" si="22"/>
        <v>-73056</v>
      </c>
      <c r="K118" s="101">
        <f t="shared" si="22"/>
        <v>-73056</v>
      </c>
      <c r="M118" t="s">
        <v>225</v>
      </c>
    </row>
    <row r="119" spans="3:17">
      <c r="C119" s="35" t="s">
        <v>28</v>
      </c>
      <c r="D119" s="17">
        <f>D62</f>
        <v>0</v>
      </c>
      <c r="E119" s="17">
        <f>E62</f>
        <v>98330</v>
      </c>
      <c r="F119" s="17">
        <f>F62</f>
        <v>70400</v>
      </c>
      <c r="G119" s="100">
        <f ca="1">SUM(G115:G118)</f>
        <v>35907.506097684833</v>
      </c>
      <c r="H119" s="100">
        <f ca="1">SUM(H115:H118)</f>
        <v>5326.4073574395152</v>
      </c>
      <c r="I119" s="100">
        <f ca="1">SUM(I115:I118)</f>
        <v>-21502.07229787598</v>
      </c>
      <c r="J119" s="100">
        <f ca="1">SUM(J115:J118)</f>
        <v>-44514.319742036285</v>
      </c>
      <c r="K119" s="100">
        <f ca="1">SUM(K115:K118)</f>
        <v>-63338.000568058094</v>
      </c>
      <c r="M119" t="s">
        <v>160</v>
      </c>
    </row>
    <row r="120" spans="3:17">
      <c r="E120" s="34"/>
      <c r="F120" s="34"/>
    </row>
    <row r="121" spans="3:17">
      <c r="C121" s="5" t="s">
        <v>128</v>
      </c>
      <c r="D121" s="7"/>
      <c r="E121" s="7"/>
      <c r="F121" s="7"/>
      <c r="G121" s="7"/>
      <c r="H121" s="7"/>
      <c r="I121" s="7"/>
      <c r="J121" s="7"/>
      <c r="K121" s="7"/>
      <c r="O121" s="65"/>
      <c r="P121" s="65"/>
    </row>
    <row r="122" spans="3:17">
      <c r="C122" s="26" t="str">
        <f t="shared" ref="C122:K122" si="23">C14</f>
        <v xml:space="preserve">Fiscal year  </v>
      </c>
      <c r="D122" s="23">
        <f t="shared" si="23"/>
        <v>2016</v>
      </c>
      <c r="E122" s="23">
        <f t="shared" si="23"/>
        <v>2017</v>
      </c>
      <c r="F122" s="23">
        <f t="shared" si="23"/>
        <v>2018</v>
      </c>
      <c r="G122" s="24">
        <f t="shared" si="23"/>
        <v>2019</v>
      </c>
      <c r="H122" s="24">
        <f t="shared" si="23"/>
        <v>2020</v>
      </c>
      <c r="I122" s="24">
        <f t="shared" si="23"/>
        <v>2021</v>
      </c>
      <c r="J122" s="24">
        <f t="shared" si="23"/>
        <v>2022</v>
      </c>
      <c r="K122" s="24">
        <f t="shared" si="23"/>
        <v>2023</v>
      </c>
      <c r="O122" s="65"/>
      <c r="P122" s="65"/>
    </row>
    <row r="123" spans="3:17">
      <c r="C123" s="7" t="str">
        <f t="shared" ref="C123:K123" si="24">C15</f>
        <v>Fiscal year end date</v>
      </c>
      <c r="D123" s="25">
        <f t="shared" si="24"/>
        <v>42643</v>
      </c>
      <c r="E123" s="25">
        <f t="shared" si="24"/>
        <v>43008</v>
      </c>
      <c r="F123" s="25">
        <f t="shared" si="24"/>
        <v>43372</v>
      </c>
      <c r="G123" s="25">
        <f t="shared" si="24"/>
        <v>43738</v>
      </c>
      <c r="H123" s="25">
        <f t="shared" si="24"/>
        <v>44104</v>
      </c>
      <c r="I123" s="25">
        <f t="shared" si="24"/>
        <v>44469</v>
      </c>
      <c r="J123" s="25">
        <f t="shared" si="24"/>
        <v>44834</v>
      </c>
      <c r="K123" s="25">
        <f t="shared" si="24"/>
        <v>45199</v>
      </c>
      <c r="O123" s="65"/>
      <c r="P123" s="65"/>
    </row>
    <row r="124" spans="3:17">
      <c r="C124" s="16"/>
      <c r="O124" s="65"/>
      <c r="P124" s="65"/>
    </row>
    <row r="125" spans="3:17">
      <c r="C125" s="19" t="s">
        <v>39</v>
      </c>
      <c r="O125" s="65"/>
      <c r="P125" s="65"/>
      <c r="Q125" s="65"/>
    </row>
    <row r="126" spans="3:17">
      <c r="C126" s="20" t="s">
        <v>45</v>
      </c>
      <c r="G126" s="105">
        <f>F45</f>
        <v>237100</v>
      </c>
      <c r="H126" s="105">
        <f ca="1">G45</f>
        <v>202199.73246575586</v>
      </c>
      <c r="I126" s="105">
        <f ca="1">H45</f>
        <v>176523.72487352614</v>
      </c>
      <c r="J126" s="105">
        <f ca="1">I45</f>
        <v>156076.92943323214</v>
      </c>
      <c r="K126" s="105">
        <f ca="1">J45</f>
        <v>140273.77732642859</v>
      </c>
      <c r="M126" t="s">
        <v>168</v>
      </c>
      <c r="O126" s="65"/>
      <c r="P126" s="65"/>
    </row>
    <row r="127" spans="3:17">
      <c r="C127" s="20" t="s">
        <v>69</v>
      </c>
      <c r="G127" s="3">
        <v>-50000</v>
      </c>
      <c r="H127" s="3">
        <v>-50000</v>
      </c>
      <c r="I127" s="3">
        <v>-50000</v>
      </c>
      <c r="J127" s="3">
        <v>-50000</v>
      </c>
      <c r="K127" s="3">
        <v>-50000</v>
      </c>
      <c r="M127" t="s">
        <v>124</v>
      </c>
      <c r="O127" s="65"/>
      <c r="P127" s="65"/>
    </row>
    <row r="128" spans="3:17">
      <c r="C128" s="70" t="s">
        <v>40</v>
      </c>
      <c r="D128" s="67"/>
      <c r="E128" s="67"/>
      <c r="F128" s="67"/>
      <c r="G128" s="110">
        <f ca="1">SUM(G79,G82,G84,G86,G87)</f>
        <v>-34936.267534244129</v>
      </c>
      <c r="H128" s="110">
        <f ca="1">SUM(H79,H82,H84,H86,H87)</f>
        <v>-25676.007592229726</v>
      </c>
      <c r="I128" s="110">
        <f ca="1">SUM(I79,I82,I84,I86,I87)</f>
        <v>-20446.795440293994</v>
      </c>
      <c r="J128" s="110">
        <f ca="1">SUM(J79,J82,J84,J86,J87)</f>
        <v>-15803.152106803551</v>
      </c>
      <c r="K128" s="110">
        <f ca="1">SUM(K79,K82,K84,K86,K87)</f>
        <v>-10801.321625207391</v>
      </c>
      <c r="M128" t="s">
        <v>169</v>
      </c>
    </row>
    <row r="129" spans="3:19">
      <c r="C129" s="35" t="s">
        <v>101</v>
      </c>
      <c r="G129" s="107">
        <f ca="1">SUM(G126:G128)</f>
        <v>152163.73246575586</v>
      </c>
      <c r="H129" s="107">
        <f ca="1">SUM(H126:H128)</f>
        <v>126523.72487352614</v>
      </c>
      <c r="I129" s="107">
        <f ca="1">SUM(I126:I128)</f>
        <v>106076.92943323214</v>
      </c>
      <c r="J129" s="107">
        <f ca="1">SUM(J126:J128)</f>
        <v>90273.777326428593</v>
      </c>
      <c r="K129" s="107">
        <f ca="1">SUM(K126:K128)</f>
        <v>79472.455701221203</v>
      </c>
    </row>
    <row r="131" spans="3:19">
      <c r="C131" s="16" t="s">
        <v>111</v>
      </c>
    </row>
    <row r="132" spans="3:19">
      <c r="C132" s="20" t="s">
        <v>27</v>
      </c>
      <c r="G132" s="105">
        <f>F135</f>
        <v>11964</v>
      </c>
      <c r="H132" s="105">
        <f ca="1">G135</f>
        <v>12000</v>
      </c>
      <c r="I132" s="105">
        <f ca="1">H135</f>
        <v>12000</v>
      </c>
      <c r="J132" s="105">
        <f ca="1">I135</f>
        <v>12000</v>
      </c>
      <c r="K132" s="105">
        <f ca="1">J135</f>
        <v>12000</v>
      </c>
      <c r="M132" t="s">
        <v>163</v>
      </c>
    </row>
    <row r="133" spans="3:19">
      <c r="C133" s="31" t="s">
        <v>171</v>
      </c>
      <c r="G133" s="105">
        <f ca="1">-MIN(G129,G132)</f>
        <v>-11964</v>
      </c>
      <c r="H133" s="105">
        <f ca="1">-MIN(H129,H132)</f>
        <v>-12000</v>
      </c>
      <c r="I133" s="105">
        <f ca="1">-MIN(I129,I132)</f>
        <v>-12000</v>
      </c>
      <c r="J133" s="105">
        <f ca="1">-MIN(J129,J132)</f>
        <v>-12000</v>
      </c>
      <c r="K133" s="105">
        <f ca="1">-MIN(K129,K132)</f>
        <v>-12000</v>
      </c>
      <c r="M133" t="s">
        <v>170</v>
      </c>
    </row>
    <row r="134" spans="3:19">
      <c r="C134" s="69" t="s">
        <v>125</v>
      </c>
      <c r="D134" s="67"/>
      <c r="E134" s="67"/>
      <c r="F134" s="67"/>
      <c r="G134" s="62">
        <v>12000</v>
      </c>
      <c r="H134" s="62">
        <v>12000</v>
      </c>
      <c r="I134" s="62">
        <v>12000</v>
      </c>
      <c r="J134" s="62">
        <v>12000</v>
      </c>
      <c r="K134" s="62">
        <v>12000</v>
      </c>
      <c r="M134" t="s">
        <v>124</v>
      </c>
    </row>
    <row r="135" spans="3:19">
      <c r="C135" s="20" t="s">
        <v>28</v>
      </c>
      <c r="D135" s="68">
        <f>D56</f>
        <v>0</v>
      </c>
      <c r="E135" s="68">
        <f>E56</f>
        <v>11977</v>
      </c>
      <c r="F135" s="68">
        <f>F56</f>
        <v>11964</v>
      </c>
      <c r="G135" s="106">
        <f ca="1">SUM(G132:G134)</f>
        <v>12000</v>
      </c>
      <c r="H135" s="106">
        <f ca="1">SUM(H132:H134)</f>
        <v>12000</v>
      </c>
      <c r="I135" s="106">
        <f ca="1">SUM(I132:I134)</f>
        <v>12000</v>
      </c>
      <c r="J135" s="106">
        <f ca="1">SUM(J132:J134)</f>
        <v>12000</v>
      </c>
      <c r="K135" s="106">
        <f ca="1">SUM(K132:K134)</f>
        <v>12000</v>
      </c>
    </row>
    <row r="136" spans="3:19">
      <c r="C136" s="82" t="s">
        <v>117</v>
      </c>
      <c r="D136" s="87"/>
      <c r="E136" s="87"/>
      <c r="F136" s="88"/>
      <c r="G136" s="83" t="str">
        <f ca="1">IF(G135&lt;0,"Negative Debt","OK")</f>
        <v>OK</v>
      </c>
      <c r="H136" s="83" t="str">
        <f ca="1">IF(H135&lt;0,"Negative Debt","OK")</f>
        <v>OK</v>
      </c>
      <c r="I136" s="83" t="str">
        <f ca="1">IF(I135&lt;0,"Negative Debt","OK")</f>
        <v>OK</v>
      </c>
      <c r="J136" s="83" t="str">
        <f ca="1">IF(J135&lt;0,"Negative Debt","OK")</f>
        <v>OK</v>
      </c>
      <c r="K136" s="84" t="str">
        <f ca="1">IF(K135&lt;0,"Negative Debt","OK")</f>
        <v>OK</v>
      </c>
      <c r="S136" s="34"/>
    </row>
    <row r="137" spans="3:19">
      <c r="D137" s="18"/>
      <c r="E137" s="18"/>
      <c r="F137" s="85"/>
      <c r="G137" s="86"/>
      <c r="H137" s="86"/>
      <c r="I137" s="86"/>
      <c r="J137" s="86"/>
      <c r="K137" s="86"/>
      <c r="S137" s="34"/>
    </row>
    <row r="138" spans="3:19">
      <c r="C138" s="5" t="s">
        <v>43</v>
      </c>
      <c r="D138" s="32"/>
      <c r="E138" s="32"/>
      <c r="F138" s="32"/>
      <c r="G138" s="33"/>
      <c r="H138" s="33"/>
      <c r="I138" s="33"/>
      <c r="J138" s="33"/>
      <c r="K138" s="33"/>
      <c r="R138" s="66"/>
    </row>
    <row r="139" spans="3:19">
      <c r="C139" s="26" t="str">
        <f t="shared" ref="C139:K139" si="25">C14</f>
        <v xml:space="preserve">Fiscal year  </v>
      </c>
      <c r="D139" s="23">
        <f t="shared" si="25"/>
        <v>2016</v>
      </c>
      <c r="E139" s="23">
        <f t="shared" si="25"/>
        <v>2017</v>
      </c>
      <c r="F139" s="23">
        <f t="shared" si="25"/>
        <v>2018</v>
      </c>
      <c r="G139" s="24">
        <f t="shared" si="25"/>
        <v>2019</v>
      </c>
      <c r="H139" s="24">
        <f t="shared" si="25"/>
        <v>2020</v>
      </c>
      <c r="I139" s="24">
        <f t="shared" si="25"/>
        <v>2021</v>
      </c>
      <c r="J139" s="24">
        <f t="shared" si="25"/>
        <v>2022</v>
      </c>
      <c r="K139" s="24">
        <f t="shared" si="25"/>
        <v>2023</v>
      </c>
      <c r="R139" s="66"/>
      <c r="S139" s="34"/>
    </row>
    <row r="140" spans="3:19">
      <c r="C140" s="7" t="str">
        <f t="shared" ref="C140:K140" si="26">C15</f>
        <v>Fiscal year end date</v>
      </c>
      <c r="D140" s="25">
        <f t="shared" si="26"/>
        <v>42643</v>
      </c>
      <c r="E140" s="25">
        <f t="shared" si="26"/>
        <v>43008</v>
      </c>
      <c r="F140" s="25">
        <f t="shared" si="26"/>
        <v>43372</v>
      </c>
      <c r="G140" s="25">
        <f t="shared" si="26"/>
        <v>43738</v>
      </c>
      <c r="H140" s="25">
        <f t="shared" si="26"/>
        <v>44104</v>
      </c>
      <c r="I140" s="25">
        <f t="shared" si="26"/>
        <v>44469</v>
      </c>
      <c r="J140" s="25">
        <f t="shared" si="26"/>
        <v>44834</v>
      </c>
      <c r="K140" s="25">
        <f t="shared" si="26"/>
        <v>45199</v>
      </c>
      <c r="R140" s="66"/>
    </row>
    <row r="141" spans="3:19">
      <c r="C141" s="20"/>
      <c r="D141" s="18"/>
      <c r="E141" s="18"/>
      <c r="F141" s="18"/>
      <c r="G141" s="89"/>
      <c r="H141" s="89"/>
      <c r="I141" s="89"/>
      <c r="J141" s="89"/>
      <c r="K141" s="89"/>
      <c r="R141" s="66"/>
    </row>
    <row r="142" spans="3:19">
      <c r="C142" s="28" t="s">
        <v>118</v>
      </c>
      <c r="D142" s="18">
        <f>-(D24)</f>
        <v>1456</v>
      </c>
      <c r="E142" s="18">
        <f>-(E24)</f>
        <v>2323</v>
      </c>
      <c r="F142" s="18">
        <f>-(F24)</f>
        <v>3240</v>
      </c>
      <c r="G142" s="105">
        <f ca="1">G147+G152</f>
        <v>3223.1468651501777</v>
      </c>
      <c r="H142" s="105">
        <f ca="1">H147+H152</f>
        <v>3223.5392651501775</v>
      </c>
      <c r="I142" s="105">
        <f ca="1">I147+I152</f>
        <v>3223.5392651501775</v>
      </c>
      <c r="J142" s="105">
        <f ca="1">J147+J152</f>
        <v>3223.5392651501775</v>
      </c>
      <c r="K142" s="105">
        <f ca="1">K147+K152</f>
        <v>3223.5392651501775</v>
      </c>
      <c r="M142" t="s">
        <v>172</v>
      </c>
      <c r="R142" s="34"/>
    </row>
    <row r="143" spans="3:19">
      <c r="C143" s="39"/>
      <c r="R143" s="34"/>
    </row>
    <row r="144" spans="3:19">
      <c r="C144" s="61" t="s">
        <v>68</v>
      </c>
      <c r="R144" s="34"/>
    </row>
    <row r="145" spans="3:18">
      <c r="C145" s="20" t="s">
        <v>109</v>
      </c>
      <c r="E145" s="37">
        <v>1.2E-2</v>
      </c>
      <c r="F145" s="37">
        <v>2.18E-2</v>
      </c>
      <c r="G145" s="111">
        <f>F145</f>
        <v>2.18E-2</v>
      </c>
      <c r="H145" s="111">
        <f>G145</f>
        <v>2.18E-2</v>
      </c>
      <c r="I145" s="111">
        <f>H145</f>
        <v>2.18E-2</v>
      </c>
      <c r="J145" s="111">
        <f>I145</f>
        <v>2.18E-2</v>
      </c>
      <c r="K145" s="111">
        <f>J145</f>
        <v>2.18E-2</v>
      </c>
      <c r="M145" t="s">
        <v>129</v>
      </c>
    </row>
    <row r="146" spans="3:18">
      <c r="C146" s="20" t="s">
        <v>110</v>
      </c>
      <c r="D146" s="68"/>
      <c r="E146" s="68">
        <f t="shared" ref="E146:K146" si="27">E56</f>
        <v>11977</v>
      </c>
      <c r="F146" s="68">
        <f t="shared" si="27"/>
        <v>11964</v>
      </c>
      <c r="G146" s="105">
        <f t="shared" ca="1" si="27"/>
        <v>12000</v>
      </c>
      <c r="H146" s="105">
        <f t="shared" ca="1" si="27"/>
        <v>12000</v>
      </c>
      <c r="I146" s="105">
        <f t="shared" ca="1" si="27"/>
        <v>12000</v>
      </c>
      <c r="J146" s="105">
        <f t="shared" ca="1" si="27"/>
        <v>12000</v>
      </c>
      <c r="K146" s="105">
        <f t="shared" ca="1" si="27"/>
        <v>12000</v>
      </c>
      <c r="M146" t="s">
        <v>174</v>
      </c>
    </row>
    <row r="147" spans="3:18">
      <c r="C147" s="108" t="s">
        <v>41</v>
      </c>
      <c r="D147" s="18"/>
      <c r="E147" s="29">
        <f>AVERAGE(D146:E146)*E145</f>
        <v>143.72399999999999</v>
      </c>
      <c r="F147" s="29">
        <f>AVERAGE(E146:F146)*F145</f>
        <v>260.95690000000002</v>
      </c>
      <c r="G147" s="112">
        <f ca="1">IF($D$7=1,AVERAGE(F146,G146)*G145,0)</f>
        <v>261.20760000000001</v>
      </c>
      <c r="H147" s="112">
        <f t="shared" ref="H147:K147" ca="1" si="28">IF($D$7=1,AVERAGE(G146,H146)*H145,0)</f>
        <v>261.60000000000002</v>
      </c>
      <c r="I147" s="112">
        <f t="shared" ca="1" si="28"/>
        <v>261.60000000000002</v>
      </c>
      <c r="J147" s="112">
        <f t="shared" ca="1" si="28"/>
        <v>261.60000000000002</v>
      </c>
      <c r="K147" s="112">
        <f t="shared" ca="1" si="28"/>
        <v>261.60000000000002</v>
      </c>
      <c r="M147" t="s">
        <v>173</v>
      </c>
    </row>
    <row r="148" spans="3:18">
      <c r="C148" s="49"/>
      <c r="D148" s="18"/>
      <c r="E148" s="18"/>
      <c r="F148" s="18"/>
    </row>
    <row r="149" spans="3:18">
      <c r="C149" s="61" t="s">
        <v>67</v>
      </c>
      <c r="D149" s="18"/>
      <c r="E149" s="18"/>
      <c r="F149" s="18"/>
    </row>
    <row r="150" spans="3:18">
      <c r="C150" s="20" t="s">
        <v>110</v>
      </c>
      <c r="D150" s="18"/>
      <c r="E150" s="18">
        <f t="shared" ref="E150:K150" si="29">E57</f>
        <v>103703</v>
      </c>
      <c r="F150" s="18">
        <f t="shared" si="29"/>
        <v>102519</v>
      </c>
      <c r="G150" s="105">
        <f t="shared" si="29"/>
        <v>102519</v>
      </c>
      <c r="H150" s="105">
        <f t="shared" si="29"/>
        <v>102519</v>
      </c>
      <c r="I150" s="105">
        <f t="shared" si="29"/>
        <v>102519</v>
      </c>
      <c r="J150" s="105">
        <f t="shared" si="29"/>
        <v>102519</v>
      </c>
      <c r="K150" s="105">
        <f t="shared" si="29"/>
        <v>102519</v>
      </c>
      <c r="M150" t="s">
        <v>175</v>
      </c>
    </row>
    <row r="151" spans="3:18">
      <c r="C151" s="20" t="s">
        <v>109</v>
      </c>
      <c r="E151" s="60">
        <f t="shared" ref="E151" si="30">E152/AVERAGE(D150:E150)</f>
        <v>2.101458974185896E-2</v>
      </c>
      <c r="F151" s="60">
        <f>F152/AVERAGE(E150:F150)</f>
        <v>2.8891612921996681E-2</v>
      </c>
      <c r="G151" s="176">
        <f>F151</f>
        <v>2.8891612921996681E-2</v>
      </c>
      <c r="H151" s="176">
        <f>G151</f>
        <v>2.8891612921996681E-2</v>
      </c>
      <c r="I151" s="176">
        <f>H151</f>
        <v>2.8891612921996681E-2</v>
      </c>
      <c r="J151" s="176">
        <f>I151</f>
        <v>2.8891612921996681E-2</v>
      </c>
      <c r="K151" s="176">
        <f>J151</f>
        <v>2.8891612921996681E-2</v>
      </c>
      <c r="M151" t="s">
        <v>129</v>
      </c>
      <c r="R151" s="66"/>
    </row>
    <row r="152" spans="3:18">
      <c r="C152" s="35" t="s">
        <v>177</v>
      </c>
      <c r="D152" s="29"/>
      <c r="E152" s="29">
        <f>E142-E147</f>
        <v>2179.2759999999998</v>
      </c>
      <c r="F152" s="29">
        <f>F142-F147</f>
        <v>2979.0430999999999</v>
      </c>
      <c r="G152" s="113">
        <f>G151*AVERAGE(F150:G150)</f>
        <v>2961.9392651501776</v>
      </c>
      <c r="H152" s="113">
        <f>H151*AVERAGE(G150:H150)</f>
        <v>2961.9392651501776</v>
      </c>
      <c r="I152" s="113">
        <f>I151*AVERAGE(H150:I150)</f>
        <v>2961.9392651501776</v>
      </c>
      <c r="J152" s="113">
        <f>J151*AVERAGE(I150:J150)</f>
        <v>2961.9392651501776</v>
      </c>
      <c r="K152" s="113">
        <f>K151*AVERAGE(J150:K150)</f>
        <v>2961.9392651501776</v>
      </c>
      <c r="M152" t="s">
        <v>112</v>
      </c>
    </row>
    <row r="153" spans="3:18">
      <c r="E153" s="18"/>
    </row>
    <row r="154" spans="3:18">
      <c r="C154" s="39" t="s">
        <v>42</v>
      </c>
      <c r="E154" s="18"/>
      <c r="F154" s="18"/>
    </row>
    <row r="155" spans="3:18" ht="15" customHeight="1">
      <c r="C155" s="20" t="s">
        <v>113</v>
      </c>
      <c r="D155" s="36">
        <v>1.7299999999999999E-2</v>
      </c>
      <c r="E155" s="37">
        <v>1.9900000000000001E-2</v>
      </c>
      <c r="F155" s="37">
        <v>2.1600000000000001E-2</v>
      </c>
      <c r="G155" s="115">
        <f>F155</f>
        <v>2.1600000000000001E-2</v>
      </c>
      <c r="H155" s="115">
        <f>G155</f>
        <v>2.1600000000000001E-2</v>
      </c>
      <c r="I155" s="115">
        <f>H155</f>
        <v>2.1600000000000001E-2</v>
      </c>
      <c r="J155" s="115">
        <f>I155</f>
        <v>2.1600000000000001E-2</v>
      </c>
      <c r="K155" s="115">
        <f>J155</f>
        <v>2.1600000000000001E-2</v>
      </c>
      <c r="M155" t="s">
        <v>129</v>
      </c>
    </row>
    <row r="156" spans="3:18" ht="15" customHeight="1">
      <c r="C156" s="20" t="s">
        <v>4</v>
      </c>
      <c r="D156" s="18">
        <f>D23</f>
        <v>3999</v>
      </c>
      <c r="E156" s="18">
        <f>E23</f>
        <v>5201</v>
      </c>
      <c r="F156" s="18">
        <f>F23</f>
        <v>5686</v>
      </c>
      <c r="G156" s="116">
        <f ca="1">IF($D$7=1,AVERAGE(F45,G45)*G155,0)</f>
        <v>4744.4371106301642</v>
      </c>
      <c r="H156" s="116">
        <f t="shared" ref="H156:K156" ca="1" si="31">IF($D$7=1,AVERAGE(G45,H45)*H155,0)</f>
        <v>4090.2133392642463</v>
      </c>
      <c r="I156" s="116">
        <f t="shared" ca="1" si="31"/>
        <v>3592.0870665129901</v>
      </c>
      <c r="J156" s="116">
        <f t="shared" ca="1" si="31"/>
        <v>3200.5876330043361</v>
      </c>
      <c r="K156" s="116">
        <f t="shared" ca="1" si="31"/>
        <v>2913.259316698618</v>
      </c>
      <c r="M156" t="s">
        <v>176</v>
      </c>
    </row>
    <row r="157" spans="3:18">
      <c r="C157" s="41"/>
      <c r="D157" s="60"/>
      <c r="E157" s="60"/>
      <c r="F157" s="60"/>
      <c r="G157" s="60"/>
      <c r="H157" s="60"/>
    </row>
  </sheetData>
  <conditionalFormatting sqref="C39">
    <cfRule type="expression" dxfId="6" priority="3">
      <formula>#REF!=$C39</formula>
    </cfRule>
  </conditionalFormatting>
  <dataValidations count="2">
    <dataValidation type="list" allowBlank="1" showInputMessage="1" showErrorMessage="1" sqref="C3" xr:uid="{00000000-0002-0000-0100-000001000000}">
      <formula1>"$ bns except per share, $ mm except per share,$ in thousands except per share"</formula1>
    </dataValidation>
    <dataValidation type="list" allowBlank="1" showInputMessage="1" showErrorMessage="1" sqref="D7" xr:uid="{9A57190F-EA79-4F98-AACA-5F80337D16F9}">
      <formula1>"0,1"</formula1>
    </dataValidation>
  </dataValidations>
  <pageMargins left="0.7" right="0.7" top="0.75" bottom="0.75" header="0.3" footer="0.3"/>
  <pageSetup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FFF3-B6B3-4F6A-9CF4-D83D418E1777}">
  <sheetPr>
    <pageSetUpPr fitToPage="1"/>
  </sheetPr>
  <dimension ref="C1:T222"/>
  <sheetViews>
    <sheetView zoomScaleNormal="100" workbookViewId="0">
      <selection activeCell="C4" sqref="C4:Y223"/>
    </sheetView>
  </sheetViews>
  <sheetFormatPr defaultColWidth="8.85546875" defaultRowHeight="15"/>
  <cols>
    <col min="1" max="2" width="1.7109375" customWidth="1"/>
    <col min="3" max="3" width="46.7109375" bestFit="1" customWidth="1"/>
    <col min="4" max="4" width="13.28515625" bestFit="1" customWidth="1"/>
    <col min="5" max="11" width="11.42578125" customWidth="1"/>
    <col min="12" max="12" width="2.28515625" customWidth="1"/>
    <col min="13" max="13" width="11.42578125" customWidth="1"/>
    <col min="14" max="14" width="11.85546875" customWidth="1"/>
    <col min="15" max="17" width="10.28515625" bestFit="1" customWidth="1"/>
    <col min="18" max="19" width="9.42578125" bestFit="1" customWidth="1"/>
  </cols>
  <sheetData>
    <row r="1" spans="3:19" ht="15.75" thickBot="1"/>
    <row r="2" spans="3:19" ht="15.75" thickBot="1">
      <c r="C2" s="63" t="str">
        <f>"Financial Statement Model for "&amp;D5</f>
        <v>Financial Statement Model for Apple</v>
      </c>
      <c r="D2" s="48"/>
      <c r="E2" s="48"/>
      <c r="F2" s="48"/>
      <c r="G2" s="48"/>
      <c r="H2" s="48"/>
      <c r="I2" s="48"/>
      <c r="J2" s="48"/>
      <c r="K2" s="48"/>
    </row>
    <row r="3" spans="3:19">
      <c r="C3" s="2" t="s">
        <v>46</v>
      </c>
      <c r="D3" s="40"/>
      <c r="E3" s="40"/>
      <c r="F3" s="40"/>
      <c r="G3" s="40"/>
      <c r="H3" s="40"/>
    </row>
    <row r="5" spans="3:19">
      <c r="C5" s="1" t="s">
        <v>5</v>
      </c>
      <c r="D5" s="77" t="s">
        <v>50</v>
      </c>
    </row>
    <row r="6" spans="3:19">
      <c r="C6" s="1" t="s">
        <v>6</v>
      </c>
      <c r="D6" s="77" t="s">
        <v>51</v>
      </c>
    </row>
    <row r="7" spans="3:19">
      <c r="C7" t="s">
        <v>107</v>
      </c>
      <c r="D7" s="78">
        <v>1</v>
      </c>
    </row>
    <row r="8" spans="3:19">
      <c r="C8" t="s">
        <v>73</v>
      </c>
      <c r="D8" s="79">
        <v>171.25</v>
      </c>
    </row>
    <row r="9" spans="3:19">
      <c r="C9" t="s">
        <v>9</v>
      </c>
      <c r="D9" s="80">
        <v>43500</v>
      </c>
    </row>
    <row r="10" spans="3:19">
      <c r="C10" s="1" t="s">
        <v>8</v>
      </c>
      <c r="D10" s="81">
        <v>43372</v>
      </c>
    </row>
    <row r="11" spans="3:19" ht="15" customHeight="1">
      <c r="C11" t="s">
        <v>228</v>
      </c>
      <c r="D11" s="93">
        <v>4745.3980000000001</v>
      </c>
    </row>
    <row r="12" spans="3:19">
      <c r="C12" t="s">
        <v>82</v>
      </c>
      <c r="D12" s="78" t="s">
        <v>83</v>
      </c>
    </row>
    <row r="13" spans="3:19">
      <c r="C13" s="16"/>
      <c r="D13" s="16"/>
    </row>
    <row r="14" spans="3:19">
      <c r="C14" s="5" t="s">
        <v>19</v>
      </c>
      <c r="D14" s="7"/>
      <c r="E14" s="7"/>
      <c r="F14" s="7"/>
      <c r="G14" s="7"/>
      <c r="H14" s="7"/>
      <c r="I14" s="7"/>
      <c r="J14" s="7"/>
      <c r="K14" s="7"/>
    </row>
    <row r="15" spans="3:19">
      <c r="C15" t="s">
        <v>10</v>
      </c>
      <c r="D15" s="8">
        <f>E15-1</f>
        <v>2016</v>
      </c>
      <c r="E15" s="8">
        <f>F15-1</f>
        <v>2017</v>
      </c>
      <c r="F15" s="8">
        <f>YEAR(D10)</f>
        <v>2018</v>
      </c>
      <c r="G15" s="9">
        <f>F15+1</f>
        <v>2019</v>
      </c>
      <c r="H15" s="9">
        <f>G15+1</f>
        <v>2020</v>
      </c>
      <c r="I15" s="9">
        <f>H15+1</f>
        <v>2021</v>
      </c>
      <c r="J15" s="9">
        <f>I15+1</f>
        <v>2022</v>
      </c>
      <c r="K15" s="9">
        <f>J15+1</f>
        <v>2023</v>
      </c>
    </row>
    <row r="16" spans="3:19">
      <c r="C16" s="10" t="s">
        <v>7</v>
      </c>
      <c r="D16" s="56">
        <f>EOMONTH(E16,-12)</f>
        <v>42643</v>
      </c>
      <c r="E16" s="56">
        <f>EOMONTH(F16,-12)</f>
        <v>43008</v>
      </c>
      <c r="F16" s="56">
        <f>D10</f>
        <v>43372</v>
      </c>
      <c r="G16" s="56">
        <f>EOMONTH(F16,12)</f>
        <v>43738</v>
      </c>
      <c r="H16" s="56">
        <f>EOMONTH(G16,12)</f>
        <v>44104</v>
      </c>
      <c r="I16" s="56">
        <f>EOMONTH(H16,12)</f>
        <v>44469</v>
      </c>
      <c r="J16" s="56">
        <f>EOMONTH(I16,12)</f>
        <v>44834</v>
      </c>
      <c r="K16" s="56">
        <f>EOMONTH(J16,12)</f>
        <v>45199</v>
      </c>
      <c r="M16" s="51"/>
      <c r="N16" s="64"/>
      <c r="O16" s="64"/>
      <c r="P16" s="64"/>
      <c r="Q16" s="64"/>
      <c r="R16" s="64"/>
      <c r="S16" s="64"/>
    </row>
    <row r="17" spans="3:14">
      <c r="C17" s="12"/>
      <c r="D17" s="13"/>
      <c r="E17" s="14"/>
      <c r="F17" s="14"/>
      <c r="G17" s="52"/>
      <c r="H17" s="53"/>
      <c r="I17" s="53"/>
      <c r="J17" s="14"/>
      <c r="K17" s="14"/>
    </row>
    <row r="18" spans="3:14" ht="15" customHeight="1">
      <c r="C18" t="s">
        <v>11</v>
      </c>
      <c r="D18" s="3">
        <v>215639</v>
      </c>
      <c r="E18" s="3">
        <v>229234</v>
      </c>
      <c r="F18" s="3">
        <v>265595</v>
      </c>
      <c r="G18" s="15">
        <f ca="1">F18*(1+G37)</f>
        <v>254971.19999999998</v>
      </c>
      <c r="H18" s="15">
        <f ca="1">G18*(1+H37)</f>
        <v>270269.47200000001</v>
      </c>
      <c r="I18" s="15">
        <f ca="1">H18*(1+I37)</f>
        <v>288918.06556800002</v>
      </c>
      <c r="J18" s="15">
        <f ca="1">I18*(1+J37)</f>
        <v>308853.41209219198</v>
      </c>
      <c r="K18" s="15">
        <f ca="1">J18*(1+K37)</f>
        <v>330164.29752655321</v>
      </c>
      <c r="M18" t="s">
        <v>86</v>
      </c>
    </row>
    <row r="19" spans="3:14">
      <c r="C19" t="s">
        <v>14</v>
      </c>
      <c r="D19" s="3">
        <v>-131376</v>
      </c>
      <c r="E19" s="3">
        <v>-141048</v>
      </c>
      <c r="F19" s="3">
        <v>-163756</v>
      </c>
      <c r="G19" s="15">
        <f ca="1">G20-G18</f>
        <v>-158592.08639999997</v>
      </c>
      <c r="H19" s="15">
        <f ca="1">H20-H18</f>
        <v>-167296.80316800001</v>
      </c>
      <c r="I19" s="15">
        <f ca="1">I20-I18</f>
        <v>-178551.36452102399</v>
      </c>
      <c r="J19" s="15">
        <f ca="1">J20-J18</f>
        <v>-190871.40867297465</v>
      </c>
      <c r="K19" s="15">
        <f ca="1">K20-K18</f>
        <v>-204041.53587140987</v>
      </c>
      <c r="M19" t="s">
        <v>87</v>
      </c>
    </row>
    <row r="20" spans="3:14">
      <c r="C20" s="16" t="s">
        <v>13</v>
      </c>
      <c r="D20" s="17">
        <f>SUM(D18:D19)</f>
        <v>84263</v>
      </c>
      <c r="E20" s="17">
        <f>SUM(E18:E19)</f>
        <v>88186</v>
      </c>
      <c r="F20" s="17">
        <f>SUM(F18:F19)</f>
        <v>101839</v>
      </c>
      <c r="G20" s="17">
        <f ca="1">G18*G38</f>
        <v>96379.113599999997</v>
      </c>
      <c r="H20" s="17">
        <f ca="1">H18*H38</f>
        <v>102972.66883200001</v>
      </c>
      <c r="I20" s="17">
        <f ca="1">I18*I38</f>
        <v>110366.70104697601</v>
      </c>
      <c r="J20" s="17">
        <f ca="1">J18*J38</f>
        <v>117982.00341921733</v>
      </c>
      <c r="K20" s="17">
        <f ca="1">K18*K38</f>
        <v>126122.76165514333</v>
      </c>
      <c r="M20" s="54" t="s">
        <v>88</v>
      </c>
    </row>
    <row r="21" spans="3:14">
      <c r="C21" t="s">
        <v>52</v>
      </c>
      <c r="D21" s="3">
        <v>-10045</v>
      </c>
      <c r="E21" s="3">
        <v>-11581</v>
      </c>
      <c r="F21" s="3">
        <v>-14236</v>
      </c>
      <c r="G21" s="15">
        <f ca="1">-G39*G18</f>
        <v>-15808.214399999999</v>
      </c>
      <c r="H21" s="15">
        <f ca="1">-H39*H18</f>
        <v>-17026.976736000001</v>
      </c>
      <c r="I21" s="15">
        <f ca="1">-I39*I18</f>
        <v>-18201.838130784003</v>
      </c>
      <c r="J21" s="15">
        <f ca="1">-J39*J18</f>
        <v>-19457.764961808094</v>
      </c>
      <c r="K21" s="15">
        <f ca="1">-K39*K18</f>
        <v>-20800.350744172854</v>
      </c>
      <c r="M21" s="54" t="s">
        <v>222</v>
      </c>
    </row>
    <row r="22" spans="3:14">
      <c r="C22" t="s">
        <v>16</v>
      </c>
      <c r="D22" s="3">
        <v>-14194</v>
      </c>
      <c r="E22" s="3">
        <v>-15261</v>
      </c>
      <c r="F22" s="3">
        <v>-16705</v>
      </c>
      <c r="G22" s="15">
        <f ca="1">-G18*G40</f>
        <v>-18867.868799999997</v>
      </c>
      <c r="H22" s="15">
        <f ca="1">-H18*H40</f>
        <v>-18648.593568000004</v>
      </c>
      <c r="I22" s="15">
        <f ca="1">-I18*I40</f>
        <v>-19935.346524192002</v>
      </c>
      <c r="J22" s="15">
        <f ca="1">-J18*J40</f>
        <v>-21310.885434361247</v>
      </c>
      <c r="K22" s="15">
        <f ca="1">-K18*K40</f>
        <v>-22781.336529332173</v>
      </c>
      <c r="M22" s="54" t="s">
        <v>224</v>
      </c>
    </row>
    <row r="23" spans="3:14">
      <c r="C23" s="16" t="s">
        <v>3</v>
      </c>
      <c r="D23" s="17">
        <f t="shared" ref="D23:K23" si="0">D20+D21+D22</f>
        <v>60024</v>
      </c>
      <c r="E23" s="17">
        <f t="shared" si="0"/>
        <v>61344</v>
      </c>
      <c r="F23" s="17">
        <f t="shared" si="0"/>
        <v>70898</v>
      </c>
      <c r="G23" s="17">
        <f t="shared" ca="1" si="0"/>
        <v>61703.030400000003</v>
      </c>
      <c r="H23" s="17">
        <f t="shared" ca="1" si="0"/>
        <v>67297.098528000002</v>
      </c>
      <c r="I23" s="17">
        <f t="shared" ca="1" si="0"/>
        <v>72229.516392000005</v>
      </c>
      <c r="J23" s="17">
        <f t="shared" ca="1" si="0"/>
        <v>77213.353023047996</v>
      </c>
      <c r="K23" s="17">
        <f t="shared" ca="1" si="0"/>
        <v>82541.074381638304</v>
      </c>
      <c r="M23" s="16" t="s">
        <v>89</v>
      </c>
    </row>
    <row r="24" spans="3:14">
      <c r="C24" t="s">
        <v>4</v>
      </c>
      <c r="D24" s="3">
        <v>3999</v>
      </c>
      <c r="E24" s="3">
        <v>5201</v>
      </c>
      <c r="F24" s="3">
        <v>5686</v>
      </c>
      <c r="G24" s="18">
        <f ca="1">G157</f>
        <v>4744.4371106302133</v>
      </c>
      <c r="H24" s="18">
        <f ca="1">H157</f>
        <v>4090.2133392649607</v>
      </c>
      <c r="I24" s="18">
        <f ca="1">I157</f>
        <v>3592.0870665182251</v>
      </c>
      <c r="J24" s="18">
        <f ca="1">J157</f>
        <v>3200.5876330303231</v>
      </c>
      <c r="K24" s="18">
        <f ca="1">K157</f>
        <v>2913.2593167977338</v>
      </c>
      <c r="M24" t="s">
        <v>94</v>
      </c>
    </row>
    <row r="25" spans="3:14">
      <c r="C25" t="s">
        <v>17</v>
      </c>
      <c r="D25" s="3">
        <v>-1456</v>
      </c>
      <c r="E25" s="3">
        <v>-2323</v>
      </c>
      <c r="F25" s="3">
        <v>-3240</v>
      </c>
      <c r="G25" s="18">
        <f ca="1">-G143</f>
        <v>-3223.1468651501777</v>
      </c>
      <c r="H25" s="18">
        <f ca="1">-H143</f>
        <v>-3223.5392651501775</v>
      </c>
      <c r="I25" s="18">
        <f ca="1">-I143</f>
        <v>-3223.5392651501775</v>
      </c>
      <c r="J25" s="18">
        <f ca="1">-J143</f>
        <v>-3223.5392651501775</v>
      </c>
      <c r="K25" s="18">
        <f ca="1">-K143</f>
        <v>-3223.5392651501775</v>
      </c>
      <c r="M25" t="s">
        <v>93</v>
      </c>
    </row>
    <row r="26" spans="3:14">
      <c r="C26" t="s">
        <v>53</v>
      </c>
      <c r="D26" s="3">
        <v>-1195</v>
      </c>
      <c r="E26" s="3">
        <v>-133</v>
      </c>
      <c r="F26" s="3">
        <v>-441</v>
      </c>
      <c r="G26" s="18">
        <f>F26</f>
        <v>-441</v>
      </c>
      <c r="H26" s="18">
        <f>G26</f>
        <v>-441</v>
      </c>
      <c r="I26" s="18">
        <f>H26</f>
        <v>-441</v>
      </c>
      <c r="J26" s="18">
        <f>I26</f>
        <v>-441</v>
      </c>
      <c r="K26" s="18">
        <f>J26</f>
        <v>-441</v>
      </c>
      <c r="M26" t="s">
        <v>90</v>
      </c>
    </row>
    <row r="27" spans="3:14">
      <c r="C27" s="16" t="s">
        <v>12</v>
      </c>
      <c r="D27" s="17">
        <f t="shared" ref="D27:K27" si="1">SUM(D23:D26)</f>
        <v>61372</v>
      </c>
      <c r="E27" s="17">
        <f t="shared" si="1"/>
        <v>64089</v>
      </c>
      <c r="F27" s="17">
        <f t="shared" si="1"/>
        <v>72903</v>
      </c>
      <c r="G27" s="17">
        <f ca="1">SUM(G23:G26)</f>
        <v>62783.320645480038</v>
      </c>
      <c r="H27" s="17">
        <f t="shared" ca="1" si="1"/>
        <v>67722.772602114783</v>
      </c>
      <c r="I27" s="17">
        <f t="shared" ca="1" si="1"/>
        <v>72157.06419336806</v>
      </c>
      <c r="J27" s="17">
        <f t="shared" ca="1" si="1"/>
        <v>76749.401390928149</v>
      </c>
      <c r="K27" s="17">
        <f t="shared" ca="1" si="1"/>
        <v>81789.794433285861</v>
      </c>
      <c r="M27" s="16" t="s">
        <v>95</v>
      </c>
      <c r="N27" s="16"/>
    </row>
    <row r="28" spans="3:14">
      <c r="C28" t="s">
        <v>15</v>
      </c>
      <c r="D28" s="3">
        <v>-15685</v>
      </c>
      <c r="E28" s="3">
        <v>-15738</v>
      </c>
      <c r="F28" s="3">
        <v>-13372</v>
      </c>
      <c r="G28" s="15">
        <f ca="1">-G41*G27</f>
        <v>-10484.814547795168</v>
      </c>
      <c r="H28" s="15">
        <f ca="1">-H41*H27</f>
        <v>-11512.871342359515</v>
      </c>
      <c r="I28" s="15">
        <f ca="1">-I41*I27</f>
        <v>-12194.543848679203</v>
      </c>
      <c r="J28" s="15">
        <f ca="1">-J41*J27</f>
        <v>-12970.648835066859</v>
      </c>
      <c r="K28" s="15">
        <f ca="1">-K41*K27</f>
        <v>-13822.475259225312</v>
      </c>
      <c r="M28" t="s">
        <v>91</v>
      </c>
    </row>
    <row r="29" spans="3:14">
      <c r="C29" s="16" t="s">
        <v>2</v>
      </c>
      <c r="D29" s="17">
        <f t="shared" ref="D29:K29" si="2">SUM(D27:D28)</f>
        <v>45687</v>
      </c>
      <c r="E29" s="17">
        <f t="shared" si="2"/>
        <v>48351</v>
      </c>
      <c r="F29" s="17">
        <f t="shared" si="2"/>
        <v>59531</v>
      </c>
      <c r="G29" s="17">
        <f ca="1">SUM(G27:G28)</f>
        <v>52298.506097684869</v>
      </c>
      <c r="H29" s="17">
        <f t="shared" ca="1" si="2"/>
        <v>56209.901259755265</v>
      </c>
      <c r="I29" s="17">
        <f t="shared" ca="1" si="2"/>
        <v>59962.520344688855</v>
      </c>
      <c r="J29" s="17">
        <f t="shared" ca="1" si="2"/>
        <v>63778.752555861291</v>
      </c>
      <c r="K29" s="17">
        <f t="shared" ca="1" si="2"/>
        <v>67967.319174060554</v>
      </c>
      <c r="M29" s="16" t="s">
        <v>92</v>
      </c>
    </row>
    <row r="30" spans="3:14">
      <c r="C30" s="20"/>
      <c r="D30" s="18"/>
      <c r="E30" s="18"/>
      <c r="F30" s="18"/>
      <c r="G30" s="18"/>
      <c r="H30" s="18"/>
      <c r="I30" s="18"/>
      <c r="J30" s="18"/>
      <c r="K30" s="18"/>
    </row>
    <row r="31" spans="3:14">
      <c r="C31" s="28" t="s">
        <v>49</v>
      </c>
      <c r="D31" s="3">
        <v>10505</v>
      </c>
      <c r="E31" s="3">
        <v>10157</v>
      </c>
      <c r="F31" s="3">
        <v>10903</v>
      </c>
      <c r="G31" s="18">
        <f ca="1">G107</f>
        <v>11085.020171261172</v>
      </c>
      <c r="H31" s="18">
        <f ca="1">H107</f>
        <v>11711.890744865921</v>
      </c>
      <c r="I31" s="18">
        <f ca="1">I107</f>
        <v>12226.380531123083</v>
      </c>
      <c r="J31" s="18">
        <f ca="1">J107</f>
        <v>13365.451007770575</v>
      </c>
      <c r="K31" s="18">
        <f ca="1">K107</f>
        <v>14603.503412486743</v>
      </c>
      <c r="M31" t="s">
        <v>156</v>
      </c>
    </row>
    <row r="32" spans="3:14">
      <c r="C32" s="27" t="s">
        <v>47</v>
      </c>
      <c r="D32" s="17">
        <f t="shared" ref="D32:K32" si="3">D23+D31</f>
        <v>70529</v>
      </c>
      <c r="E32" s="17">
        <f t="shared" si="3"/>
        <v>71501</v>
      </c>
      <c r="F32" s="17">
        <f t="shared" si="3"/>
        <v>81801</v>
      </c>
      <c r="G32" s="17">
        <f t="shared" ca="1" si="3"/>
        <v>72788.050571261178</v>
      </c>
      <c r="H32" s="17">
        <f t="shared" ca="1" si="3"/>
        <v>79008.989272865918</v>
      </c>
      <c r="I32" s="17">
        <f t="shared" ca="1" si="3"/>
        <v>84455.896923123088</v>
      </c>
      <c r="J32" s="17">
        <f t="shared" ca="1" si="3"/>
        <v>90578.804030818574</v>
      </c>
      <c r="K32" s="17">
        <f t="shared" ca="1" si="3"/>
        <v>97144.577794125042</v>
      </c>
      <c r="M32" s="16" t="s">
        <v>96</v>
      </c>
    </row>
    <row r="33" spans="3:20">
      <c r="C33" s="28" t="s">
        <v>74</v>
      </c>
      <c r="D33" s="3">
        <v>4210</v>
      </c>
      <c r="E33" s="3">
        <v>4840</v>
      </c>
      <c r="F33" s="3">
        <v>5340</v>
      </c>
      <c r="G33" s="18">
        <f ca="1">F33*(1+G37)</f>
        <v>5126.3999999999996</v>
      </c>
      <c r="H33" s="18">
        <f ca="1">G33*(1+H37)</f>
        <v>5433.9839999999995</v>
      </c>
      <c r="I33" s="18">
        <f ca="1">H33*(1+I37)</f>
        <v>5808.9288959999994</v>
      </c>
      <c r="J33" s="18">
        <f ca="1">I33*(1+J37)</f>
        <v>6209.7449898239993</v>
      </c>
      <c r="K33" s="18">
        <f ca="1">J33*(1+K37)</f>
        <v>6638.2173941218552</v>
      </c>
      <c r="M33" t="s">
        <v>98</v>
      </c>
    </row>
    <row r="34" spans="3:20">
      <c r="C34" s="27" t="s">
        <v>72</v>
      </c>
      <c r="D34" s="17">
        <f t="shared" ref="D34:K34" si="4">SUM(D32:D33)</f>
        <v>74739</v>
      </c>
      <c r="E34" s="17">
        <f t="shared" si="4"/>
        <v>76341</v>
      </c>
      <c r="F34" s="17">
        <f>SUM(F32:F33)</f>
        <v>87141</v>
      </c>
      <c r="G34" s="17">
        <f t="shared" ca="1" si="4"/>
        <v>77914.450571261172</v>
      </c>
      <c r="H34" s="17">
        <f t="shared" ca="1" si="4"/>
        <v>84442.973272865915</v>
      </c>
      <c r="I34" s="17">
        <f t="shared" ca="1" si="4"/>
        <v>90264.825819123085</v>
      </c>
      <c r="J34" s="17">
        <f t="shared" ca="1" si="4"/>
        <v>96788.549020642575</v>
      </c>
      <c r="K34" s="17">
        <f t="shared" ca="1" si="4"/>
        <v>103782.79518824689</v>
      </c>
      <c r="M34" s="16" t="s">
        <v>97</v>
      </c>
    </row>
    <row r="35" spans="3:20">
      <c r="C35" s="20"/>
      <c r="G35" s="38"/>
    </row>
    <row r="36" spans="3:20">
      <c r="C36" s="19" t="s">
        <v>18</v>
      </c>
    </row>
    <row r="37" spans="3:20">
      <c r="C37" s="20" t="s">
        <v>1</v>
      </c>
      <c r="D37" s="21"/>
      <c r="E37" s="21">
        <f>E18/D18-1</f>
        <v>6.304518199398057E-2</v>
      </c>
      <c r="F37" s="21">
        <f>F18/E18-1</f>
        <v>0.15861957650261305</v>
      </c>
      <c r="G37" s="21">
        <f t="shared" ref="G37:K40" ca="1" si="5">G175</f>
        <v>-0.04</v>
      </c>
      <c r="H37" s="21">
        <f t="shared" ca="1" si="5"/>
        <v>0.06</v>
      </c>
      <c r="I37" s="21">
        <f t="shared" ca="1" si="5"/>
        <v>6.9000000000000006E-2</v>
      </c>
      <c r="J37" s="21">
        <f t="shared" ca="1" si="5"/>
        <v>6.9000000000000006E-2</v>
      </c>
      <c r="K37" s="21">
        <f t="shared" ca="1" si="5"/>
        <v>6.9000000000000006E-2</v>
      </c>
      <c r="M37" t="s">
        <v>183</v>
      </c>
      <c r="O37" s="22"/>
      <c r="P37" s="22"/>
      <c r="Q37" s="22"/>
      <c r="R37" s="22"/>
      <c r="S37" s="22"/>
      <c r="T37" s="22"/>
    </row>
    <row r="38" spans="3:20">
      <c r="C38" s="20" t="s">
        <v>220</v>
      </c>
      <c r="D38" s="21">
        <f>D20/D18</f>
        <v>0.39075955648097049</v>
      </c>
      <c r="E38" s="21">
        <f>E20/E18</f>
        <v>0.38469860491899105</v>
      </c>
      <c r="F38" s="21">
        <f>F20/F18</f>
        <v>0.38343718820007905</v>
      </c>
      <c r="G38" s="21">
        <f t="shared" ca="1" si="5"/>
        <v>0.378</v>
      </c>
      <c r="H38" s="21">
        <f t="shared" ca="1" si="5"/>
        <v>0.38100000000000001</v>
      </c>
      <c r="I38" s="21">
        <f t="shared" ca="1" si="5"/>
        <v>0.38200000000000001</v>
      </c>
      <c r="J38" s="21">
        <f t="shared" ca="1" si="5"/>
        <v>0.38200000000000001</v>
      </c>
      <c r="K38" s="21">
        <f t="shared" ca="1" si="5"/>
        <v>0.38200000000000001</v>
      </c>
      <c r="M38" t="s">
        <v>183</v>
      </c>
      <c r="O38" s="22"/>
      <c r="P38" s="22"/>
      <c r="Q38" s="22"/>
      <c r="R38" s="22"/>
      <c r="S38" s="22"/>
      <c r="T38" s="22"/>
    </row>
    <row r="39" spans="3:20">
      <c r="C39" s="20" t="s">
        <v>221</v>
      </c>
      <c r="D39" s="21">
        <f>-D21/D18</f>
        <v>4.6582482760539605E-2</v>
      </c>
      <c r="E39" s="21">
        <f>-E21/E18</f>
        <v>5.0520428906706681E-2</v>
      </c>
      <c r="F39" s="21">
        <f>-F21/F18</f>
        <v>5.3600406634161032E-2</v>
      </c>
      <c r="G39" s="21">
        <f t="shared" ca="1" si="5"/>
        <v>6.2E-2</v>
      </c>
      <c r="H39" s="21">
        <f t="shared" ca="1" si="5"/>
        <v>6.3E-2</v>
      </c>
      <c r="I39" s="21">
        <f t="shared" ca="1" si="5"/>
        <v>6.3E-2</v>
      </c>
      <c r="J39" s="21">
        <f t="shared" ca="1" si="5"/>
        <v>6.3E-2</v>
      </c>
      <c r="K39" s="21">
        <f t="shared" ca="1" si="5"/>
        <v>6.3E-2</v>
      </c>
      <c r="M39" t="s">
        <v>183</v>
      </c>
      <c r="O39" s="22"/>
      <c r="P39" s="22"/>
      <c r="Q39" s="22"/>
      <c r="R39" s="22"/>
      <c r="S39" s="22"/>
      <c r="T39" s="22"/>
    </row>
    <row r="40" spans="3:20">
      <c r="C40" s="20" t="s">
        <v>223</v>
      </c>
      <c r="D40" s="21">
        <f>-D22/D18</f>
        <v>6.5822972653369755E-2</v>
      </c>
      <c r="E40" s="21">
        <f>-E22/E18</f>
        <v>6.6573893924984945E-2</v>
      </c>
      <c r="F40" s="21">
        <f>-F22/F18</f>
        <v>6.2896515371147807E-2</v>
      </c>
      <c r="G40" s="21">
        <f t="shared" ca="1" si="5"/>
        <v>7.3999999999999996E-2</v>
      </c>
      <c r="H40" s="21">
        <f t="shared" ca="1" si="5"/>
        <v>6.9000000000000006E-2</v>
      </c>
      <c r="I40" s="21">
        <f t="shared" ca="1" si="5"/>
        <v>6.9000000000000006E-2</v>
      </c>
      <c r="J40" s="21">
        <f t="shared" ca="1" si="5"/>
        <v>6.9000000000000006E-2</v>
      </c>
      <c r="K40" s="21">
        <f t="shared" ca="1" si="5"/>
        <v>6.9000000000000006E-2</v>
      </c>
      <c r="M40" t="s">
        <v>183</v>
      </c>
      <c r="O40" s="22"/>
      <c r="P40" s="22"/>
      <c r="Q40" s="22"/>
      <c r="R40" s="22"/>
      <c r="S40" s="22"/>
      <c r="T40" s="22"/>
    </row>
    <row r="41" spans="3:20">
      <c r="C41" s="20" t="s">
        <v>0</v>
      </c>
      <c r="D41" s="21">
        <f>-(D28/D27)</f>
        <v>0.25557257381216192</v>
      </c>
      <c r="E41" s="21">
        <f>-(E28/E27)</f>
        <v>0.24556476150353415</v>
      </c>
      <c r="F41" s="21">
        <f>-(F28/F27)</f>
        <v>0.18342180705869443</v>
      </c>
      <c r="G41" s="22">
        <v>0.16700000000000001</v>
      </c>
      <c r="H41" s="22">
        <v>0.17</v>
      </c>
      <c r="I41" s="22">
        <v>0.16900000000000001</v>
      </c>
      <c r="J41" s="21">
        <f>I41</f>
        <v>0.16900000000000001</v>
      </c>
      <c r="K41" s="21">
        <f>J41</f>
        <v>0.16900000000000001</v>
      </c>
      <c r="M41" t="s">
        <v>150</v>
      </c>
      <c r="O41" s="22"/>
      <c r="P41" s="22"/>
      <c r="Q41" s="22"/>
      <c r="R41" s="22"/>
      <c r="S41" s="22"/>
      <c r="T41" s="22"/>
    </row>
    <row r="42" spans="3:20">
      <c r="C42" s="20"/>
      <c r="G42" s="38"/>
    </row>
    <row r="43" spans="3:20">
      <c r="C43" s="5" t="s">
        <v>20</v>
      </c>
      <c r="D43" s="11"/>
      <c r="E43" s="11"/>
      <c r="F43" s="11"/>
      <c r="G43" s="7"/>
      <c r="H43" s="7"/>
      <c r="I43" s="7"/>
      <c r="J43" s="7"/>
      <c r="K43" s="7"/>
    </row>
    <row r="44" spans="3:20">
      <c r="C44" s="26" t="str">
        <f>C15</f>
        <v xml:space="preserve">Fiscal year  </v>
      </c>
      <c r="D44" s="23"/>
      <c r="E44" s="23">
        <f t="shared" ref="E44:K45" si="6">E15</f>
        <v>2017</v>
      </c>
      <c r="F44" s="23">
        <f t="shared" si="6"/>
        <v>2018</v>
      </c>
      <c r="G44" s="24">
        <f t="shared" si="6"/>
        <v>2019</v>
      </c>
      <c r="H44" s="24">
        <f t="shared" si="6"/>
        <v>2020</v>
      </c>
      <c r="I44" s="24">
        <f t="shared" si="6"/>
        <v>2021</v>
      </c>
      <c r="J44" s="24">
        <f t="shared" si="6"/>
        <v>2022</v>
      </c>
      <c r="K44" s="24">
        <f t="shared" si="6"/>
        <v>2023</v>
      </c>
    </row>
    <row r="45" spans="3:20">
      <c r="C45" s="7" t="str">
        <f>C16</f>
        <v>Fiscal year end date</v>
      </c>
      <c r="D45" s="25"/>
      <c r="E45" s="25">
        <f t="shared" si="6"/>
        <v>43008</v>
      </c>
      <c r="F45" s="25">
        <f t="shared" si="6"/>
        <v>43372</v>
      </c>
      <c r="G45" s="25">
        <f t="shared" si="6"/>
        <v>43738</v>
      </c>
      <c r="H45" s="25">
        <f t="shared" si="6"/>
        <v>44104</v>
      </c>
      <c r="I45" s="25">
        <f t="shared" si="6"/>
        <v>44469</v>
      </c>
      <c r="J45" s="25">
        <f t="shared" si="6"/>
        <v>44834</v>
      </c>
      <c r="K45" s="25">
        <f t="shared" si="6"/>
        <v>45199</v>
      </c>
    </row>
    <row r="46" spans="3:20">
      <c r="C46" t="s">
        <v>135</v>
      </c>
      <c r="D46" s="3"/>
      <c r="E46" s="3">
        <f>20289+53892+194714</f>
        <v>268895</v>
      </c>
      <c r="F46" s="3">
        <f>25913+40388+170799</f>
        <v>237100</v>
      </c>
      <c r="G46" s="18">
        <f ca="1">G91+F46</f>
        <v>202199.73246575592</v>
      </c>
      <c r="H46" s="18">
        <f ca="1">H91+G46</f>
        <v>176523.72487352678</v>
      </c>
      <c r="I46" s="18">
        <f ca="1">I91+H46</f>
        <v>156076.92943323712</v>
      </c>
      <c r="J46" s="18">
        <f ca="1">J91+I46</f>
        <v>140273.77732645517</v>
      </c>
      <c r="K46" s="18">
        <f ca="1">K91+J46</f>
        <v>129472.45570133014</v>
      </c>
      <c r="M46" t="s">
        <v>116</v>
      </c>
    </row>
    <row r="47" spans="3:20">
      <c r="C47" t="s">
        <v>54</v>
      </c>
      <c r="D47" s="3"/>
      <c r="E47" s="3">
        <v>17874</v>
      </c>
      <c r="F47" s="3">
        <v>23186</v>
      </c>
      <c r="G47" s="18">
        <f ca="1">F47*(1+G37)</f>
        <v>22258.559999999998</v>
      </c>
      <c r="H47" s="18">
        <f ca="1">G47*(1+H37)</f>
        <v>23594.0736</v>
      </c>
      <c r="I47" s="18">
        <f ca="1">H47*(1+I37)</f>
        <v>25222.064678399998</v>
      </c>
      <c r="J47" s="18">
        <f ca="1">I47*(1+J37)</f>
        <v>26962.387141209598</v>
      </c>
      <c r="K47" s="18">
        <f ca="1">J47*(1+K37)</f>
        <v>28822.791853953058</v>
      </c>
      <c r="M47" t="s">
        <v>102</v>
      </c>
    </row>
    <row r="48" spans="3:20">
      <c r="C48" t="s">
        <v>55</v>
      </c>
      <c r="D48" s="3"/>
      <c r="E48" s="3">
        <v>4855</v>
      </c>
      <c r="F48" s="3">
        <v>3956</v>
      </c>
      <c r="G48" s="18">
        <f ca="1">F48*G19/F19</f>
        <v>3831.2507254598299</v>
      </c>
      <c r="H48" s="18">
        <f ca="1">G48*H19/G19</f>
        <v>4041.5383456643303</v>
      </c>
      <c r="I48" s="18">
        <f ca="1">H48*I19/H19</f>
        <v>4313.4248396710409</v>
      </c>
      <c r="J48" s="18">
        <f ca="1">I48*J19/I19</f>
        <v>4611.0511536083422</v>
      </c>
      <c r="K48" s="18">
        <f ca="1">J48*K19/J19</f>
        <v>4929.2136832073174</v>
      </c>
      <c r="M48" t="s">
        <v>103</v>
      </c>
    </row>
    <row r="49" spans="3:13">
      <c r="C49" t="s">
        <v>106</v>
      </c>
      <c r="D49" s="3"/>
      <c r="E49" s="3">
        <f>17799+13936</f>
        <v>31735</v>
      </c>
      <c r="F49" s="3">
        <f>25809+12087</f>
        <v>37896</v>
      </c>
      <c r="G49" s="18">
        <f ca="1">F49*(1+G37)</f>
        <v>36380.159999999996</v>
      </c>
      <c r="H49" s="18">
        <f ca="1">G49*(1+H37)</f>
        <v>38562.969599999997</v>
      </c>
      <c r="I49" s="18">
        <f ca="1">H49*(1+I37)</f>
        <v>41223.814502399997</v>
      </c>
      <c r="J49" s="18">
        <f ca="1">I49*(1+J37)</f>
        <v>44068.257703065596</v>
      </c>
      <c r="K49" s="18">
        <f ca="1">J49*(1+K37)</f>
        <v>47108.967484577122</v>
      </c>
      <c r="M49" t="s">
        <v>102</v>
      </c>
    </row>
    <row r="50" spans="3:13">
      <c r="C50" t="s">
        <v>21</v>
      </c>
      <c r="D50" s="3"/>
      <c r="E50" s="3">
        <v>33783</v>
      </c>
      <c r="F50" s="3">
        <v>41304</v>
      </c>
      <c r="G50" s="18">
        <f>G100</f>
        <v>45042.85982873883</v>
      </c>
      <c r="H50" s="18">
        <f>H100</f>
        <v>48611.181883872909</v>
      </c>
      <c r="I50" s="18">
        <f>I100</f>
        <v>51947.567835949827</v>
      </c>
      <c r="J50" s="18">
        <f ca="1">J100</f>
        <v>55218.714198720052</v>
      </c>
      <c r="K50" s="18">
        <f ca="1">K100</f>
        <v>58399.73337534142</v>
      </c>
      <c r="M50" t="s">
        <v>104</v>
      </c>
    </row>
    <row r="51" spans="3:13">
      <c r="C51" t="s">
        <v>56</v>
      </c>
      <c r="D51" s="3"/>
      <c r="E51" s="3">
        <v>18177</v>
      </c>
      <c r="F51" s="3">
        <v>22283</v>
      </c>
      <c r="G51" s="18">
        <f ca="1">F51*(1+G37)</f>
        <v>21391.68</v>
      </c>
      <c r="H51" s="18">
        <f ca="1">G51*(1+H37)</f>
        <v>22675.180800000002</v>
      </c>
      <c r="I51" s="18">
        <f ca="1">H51*(1+I37)</f>
        <v>24239.7682752</v>
      </c>
      <c r="J51" s="18">
        <f ca="1">I51*(1+J37)</f>
        <v>25912.3122861888</v>
      </c>
      <c r="K51" s="18">
        <f ca="1">J51*(1+K37)</f>
        <v>27700.261833935827</v>
      </c>
      <c r="M51" t="s">
        <v>102</v>
      </c>
    </row>
    <row r="52" spans="3:13">
      <c r="C52" s="27" t="s">
        <v>22</v>
      </c>
      <c r="D52" s="17"/>
      <c r="E52" s="17">
        <f t="shared" ref="E52:K52" si="7">SUM(E46:E51)</f>
        <v>375319</v>
      </c>
      <c r="F52" s="17">
        <f t="shared" si="7"/>
        <v>365725</v>
      </c>
      <c r="G52" s="29">
        <f t="shared" ca="1" si="7"/>
        <v>331104.24301995459</v>
      </c>
      <c r="H52" s="29">
        <f t="shared" ca="1" si="7"/>
        <v>314008.66910306399</v>
      </c>
      <c r="I52" s="29">
        <f t="shared" ca="1" si="7"/>
        <v>303023.56956485793</v>
      </c>
      <c r="J52" s="29">
        <f t="shared" ca="1" si="7"/>
        <v>297046.49980924756</v>
      </c>
      <c r="K52" s="29">
        <f t="shared" ca="1" si="7"/>
        <v>296433.42393234483</v>
      </c>
    </row>
    <row r="53" spans="3:13">
      <c r="C53" s="28"/>
      <c r="D53" s="18"/>
      <c r="E53" s="18"/>
      <c r="F53" s="18"/>
      <c r="G53" s="18"/>
      <c r="H53" s="18"/>
      <c r="I53" s="18"/>
      <c r="J53" s="18"/>
      <c r="K53" s="18"/>
    </row>
    <row r="54" spans="3:13">
      <c r="C54" s="28" t="s">
        <v>57</v>
      </c>
      <c r="D54" s="3"/>
      <c r="E54" s="3">
        <v>44242</v>
      </c>
      <c r="F54" s="3">
        <v>55888</v>
      </c>
      <c r="G54" s="18">
        <f ca="1">F54*G19/F19</f>
        <v>54125.616922269706</v>
      </c>
      <c r="H54" s="18">
        <f ca="1">G54*H19/G19</f>
        <v>57096.434545623881</v>
      </c>
      <c r="I54" s="18">
        <f ca="1">H54*I19/H19</f>
        <v>60937.484185928995</v>
      </c>
      <c r="J54" s="18">
        <f ca="1">I54*J19/I19</f>
        <v>65142.170594758099</v>
      </c>
      <c r="K54" s="18">
        <f ca="1">J54*K19/J19</f>
        <v>69636.980365796408</v>
      </c>
      <c r="M54" t="s">
        <v>103</v>
      </c>
    </row>
    <row r="55" spans="3:13">
      <c r="C55" s="28" t="s">
        <v>115</v>
      </c>
      <c r="D55" s="3"/>
      <c r="E55" s="3">
        <v>30551</v>
      </c>
      <c r="F55" s="3">
        <v>32687</v>
      </c>
      <c r="G55" s="18">
        <f ca="1">F55*(1+G37)</f>
        <v>31379.52</v>
      </c>
      <c r="H55" s="18">
        <f ca="1">G55*(1+H37)</f>
        <v>33262.2912</v>
      </c>
      <c r="I55" s="18">
        <f ca="1">H55*(1+I37)</f>
        <v>35557.389292799999</v>
      </c>
      <c r="J55" s="18">
        <f ca="1">I55*(1+J37)</f>
        <v>38010.849154003197</v>
      </c>
      <c r="K55" s="18">
        <f ca="1">J55*(1+K37)</f>
        <v>40633.597745629413</v>
      </c>
      <c r="M55" t="s">
        <v>102</v>
      </c>
    </row>
    <row r="56" spans="3:13">
      <c r="C56" s="28" t="s">
        <v>58</v>
      </c>
      <c r="D56" s="3"/>
      <c r="E56" s="3">
        <f>7548+2836</f>
        <v>10384</v>
      </c>
      <c r="F56" s="3">
        <f>7543+2797</f>
        <v>10340</v>
      </c>
      <c r="G56" s="18">
        <f ca="1">F56*(1+G37)</f>
        <v>9926.4</v>
      </c>
      <c r="H56" s="18">
        <f ca="1">G56*(1+H37)</f>
        <v>10521.984</v>
      </c>
      <c r="I56" s="18">
        <f ca="1">H56*(1+I37)</f>
        <v>11248.000896</v>
      </c>
      <c r="J56" s="18">
        <f ca="1">I56*(1+J37)</f>
        <v>12024.112957824</v>
      </c>
      <c r="K56" s="18">
        <f ca="1">J56*(1+K37)</f>
        <v>12853.776751913854</v>
      </c>
      <c r="M56" t="s">
        <v>102</v>
      </c>
    </row>
    <row r="57" spans="3:13">
      <c r="C57" s="28" t="s">
        <v>60</v>
      </c>
      <c r="D57" s="3"/>
      <c r="E57" s="3">
        <v>11977</v>
      </c>
      <c r="F57" s="3">
        <v>11964</v>
      </c>
      <c r="G57" s="18">
        <f ca="1">G136</f>
        <v>12000</v>
      </c>
      <c r="H57" s="18">
        <f ca="1">H136</f>
        <v>12000</v>
      </c>
      <c r="I57" s="18">
        <f ca="1">I136</f>
        <v>12000</v>
      </c>
      <c r="J57" s="18">
        <f ca="1">J136</f>
        <v>12000</v>
      </c>
      <c r="K57" s="18">
        <f ca="1">K136</f>
        <v>12000</v>
      </c>
      <c r="M57" t="s">
        <v>178</v>
      </c>
    </row>
    <row r="58" spans="3:13">
      <c r="C58" s="28" t="s">
        <v>120</v>
      </c>
      <c r="D58" s="3"/>
      <c r="E58" s="3">
        <f>6496+97207</f>
        <v>103703</v>
      </c>
      <c r="F58" s="3">
        <f>8784+93735</f>
        <v>102519</v>
      </c>
      <c r="G58" s="18">
        <f>F58</f>
        <v>102519</v>
      </c>
      <c r="H58" s="18">
        <f t="shared" ref="H58:K58" si="8">G58</f>
        <v>102519</v>
      </c>
      <c r="I58" s="18">
        <f t="shared" si="8"/>
        <v>102519</v>
      </c>
      <c r="J58" s="18">
        <f t="shared" si="8"/>
        <v>102519</v>
      </c>
      <c r="K58" s="18">
        <f t="shared" si="8"/>
        <v>102519</v>
      </c>
      <c r="M58" t="s">
        <v>99</v>
      </c>
    </row>
    <row r="59" spans="3:13" ht="15.75" customHeight="1">
      <c r="C59" s="28" t="s">
        <v>59</v>
      </c>
      <c r="D59" s="3"/>
      <c r="E59" s="3">
        <v>40415</v>
      </c>
      <c r="F59" s="3">
        <v>45180</v>
      </c>
      <c r="G59" s="18">
        <f ca="1">F59*(1+G37)</f>
        <v>43372.799999999996</v>
      </c>
      <c r="H59" s="18">
        <f t="shared" ref="H59:K59" ca="1" si="9">G59*(1+H37)</f>
        <v>45975.167999999998</v>
      </c>
      <c r="I59" s="18">
        <f t="shared" ca="1" si="9"/>
        <v>49147.454591999995</v>
      </c>
      <c r="J59" s="18">
        <f t="shared" ca="1" si="9"/>
        <v>52538.628958847992</v>
      </c>
      <c r="K59" s="18">
        <f t="shared" ca="1" si="9"/>
        <v>56163.794357008504</v>
      </c>
      <c r="M59" t="s">
        <v>102</v>
      </c>
    </row>
    <row r="60" spans="3:13">
      <c r="C60" s="27" t="s">
        <v>24</v>
      </c>
      <c r="D60" s="17"/>
      <c r="E60" s="17">
        <f t="shared" ref="E60:K60" si="10">SUM(E54:E59)</f>
        <v>241272</v>
      </c>
      <c r="F60" s="17">
        <f t="shared" si="10"/>
        <v>258578</v>
      </c>
      <c r="G60" s="29">
        <f t="shared" ca="1" si="10"/>
        <v>253323.33692226969</v>
      </c>
      <c r="H60" s="29">
        <f t="shared" ca="1" si="10"/>
        <v>261374.87774562387</v>
      </c>
      <c r="I60" s="29">
        <f t="shared" ca="1" si="10"/>
        <v>271409.32896672899</v>
      </c>
      <c r="J60" s="29">
        <f t="shared" ca="1" si="10"/>
        <v>282234.7616654333</v>
      </c>
      <c r="K60" s="29">
        <f t="shared" ca="1" si="10"/>
        <v>293807.14922034822</v>
      </c>
    </row>
    <row r="61" spans="3:13">
      <c r="C61" s="27"/>
      <c r="D61" s="17"/>
      <c r="E61" s="17"/>
      <c r="F61" s="17"/>
      <c r="G61" s="18"/>
      <c r="H61" s="18"/>
      <c r="I61" s="18"/>
      <c r="J61" s="18"/>
      <c r="K61" s="18"/>
    </row>
    <row r="62" spans="3:13">
      <c r="C62" s="28" t="s">
        <v>61</v>
      </c>
      <c r="D62" s="3"/>
      <c r="E62" s="3">
        <v>35867</v>
      </c>
      <c r="F62" s="3">
        <v>40201</v>
      </c>
      <c r="G62" s="18">
        <f ca="1">F62+G33</f>
        <v>45327.4</v>
      </c>
      <c r="H62" s="18">
        <f ca="1">G62+H33</f>
        <v>50761.383999999998</v>
      </c>
      <c r="I62" s="18">
        <f ca="1">H62+I33</f>
        <v>56570.312895999996</v>
      </c>
      <c r="J62" s="18">
        <f ca="1">I62+J33</f>
        <v>62780.057885823997</v>
      </c>
      <c r="K62" s="18">
        <f ca="1">J62+K33</f>
        <v>69418.275279945854</v>
      </c>
      <c r="M62" t="s">
        <v>152</v>
      </c>
    </row>
    <row r="63" spans="3:13" ht="15.75" customHeight="1">
      <c r="C63" s="28" t="s">
        <v>44</v>
      </c>
      <c r="D63" s="15"/>
      <c r="E63" s="15">
        <f>98330</f>
        <v>98330</v>
      </c>
      <c r="F63" s="3">
        <v>70400</v>
      </c>
      <c r="G63" s="18">
        <f ca="1">G120</f>
        <v>35907.506097684876</v>
      </c>
      <c r="H63" s="18">
        <f ca="1">H120</f>
        <v>5326.4073574446811</v>
      </c>
      <c r="I63" s="18">
        <f ca="1">I120</f>
        <v>-21502.072297810017</v>
      </c>
      <c r="J63" s="18">
        <f ca="1">J120</f>
        <v>-44514.319741085921</v>
      </c>
      <c r="K63" s="18">
        <f ca="1">K120</f>
        <v>-63338.00056020273</v>
      </c>
      <c r="M63" t="s">
        <v>105</v>
      </c>
    </row>
    <row r="64" spans="3:13" ht="15.75" customHeight="1">
      <c r="C64" s="28" t="s">
        <v>119</v>
      </c>
      <c r="D64" s="3"/>
      <c r="E64" s="3">
        <v>-150</v>
      </c>
      <c r="F64" s="3">
        <v>-3454</v>
      </c>
      <c r="G64" s="18">
        <f>F64</f>
        <v>-3454</v>
      </c>
      <c r="H64" s="18">
        <f>G64</f>
        <v>-3454</v>
      </c>
      <c r="I64" s="18">
        <f>H64</f>
        <v>-3454</v>
      </c>
      <c r="J64" s="18">
        <f>I64</f>
        <v>-3454</v>
      </c>
      <c r="K64" s="18">
        <f>J64</f>
        <v>-3454</v>
      </c>
      <c r="M64" t="s">
        <v>99</v>
      </c>
    </row>
    <row r="65" spans="3:13">
      <c r="C65" s="27" t="s">
        <v>25</v>
      </c>
      <c r="D65" s="29"/>
      <c r="E65" s="29">
        <f t="shared" ref="E65:K65" si="11">SUM(E62:E64)</f>
        <v>134047</v>
      </c>
      <c r="F65" s="29">
        <f t="shared" si="11"/>
        <v>107147</v>
      </c>
      <c r="G65" s="29">
        <f t="shared" ca="1" si="11"/>
        <v>77780.90609768487</v>
      </c>
      <c r="H65" s="29">
        <f t="shared" ca="1" si="11"/>
        <v>52633.791357444679</v>
      </c>
      <c r="I65" s="29">
        <f t="shared" ca="1" si="11"/>
        <v>31614.240598189979</v>
      </c>
      <c r="J65" s="29">
        <f t="shared" ca="1" si="11"/>
        <v>14811.738144738076</v>
      </c>
      <c r="K65" s="29">
        <f t="shared" ca="1" si="11"/>
        <v>2626.2747197431236</v>
      </c>
    </row>
    <row r="66" spans="3:13">
      <c r="D66" s="18"/>
      <c r="E66" s="18"/>
      <c r="F66" s="18"/>
    </row>
    <row r="67" spans="3:13">
      <c r="C67" s="12" t="s">
        <v>26</v>
      </c>
      <c r="D67" s="30"/>
      <c r="E67" s="30">
        <f t="shared" ref="E67:K67" si="12">ROUND(E52-E60-E65,3)</f>
        <v>0</v>
      </c>
      <c r="F67" s="30">
        <f t="shared" si="12"/>
        <v>0</v>
      </c>
      <c r="G67" s="30">
        <f t="shared" ca="1" si="12"/>
        <v>0</v>
      </c>
      <c r="H67" s="30">
        <f t="shared" ca="1" si="12"/>
        <v>0</v>
      </c>
      <c r="I67" s="30">
        <f t="shared" ca="1" si="12"/>
        <v>0</v>
      </c>
      <c r="J67" s="30">
        <f t="shared" ca="1" si="12"/>
        <v>0</v>
      </c>
      <c r="K67" s="30">
        <f t="shared" ca="1" si="12"/>
        <v>0</v>
      </c>
    </row>
    <row r="68" spans="3:13">
      <c r="E68" s="18"/>
      <c r="F68" s="18"/>
      <c r="H68" s="18"/>
      <c r="I68" s="18"/>
      <c r="J68" s="18"/>
      <c r="K68" s="18"/>
    </row>
    <row r="69" spans="3:13">
      <c r="C69" s="5" t="s">
        <v>32</v>
      </c>
      <c r="D69" s="11"/>
      <c r="E69" s="11"/>
      <c r="F69" s="11"/>
      <c r="G69" s="11"/>
      <c r="H69" s="11"/>
      <c r="I69" s="11"/>
      <c r="J69" s="11"/>
      <c r="K69" s="11"/>
    </row>
    <row r="70" spans="3:13">
      <c r="C70" s="26" t="str">
        <f>C15</f>
        <v xml:space="preserve">Fiscal year  </v>
      </c>
      <c r="D70" s="23"/>
      <c r="E70" s="23"/>
      <c r="F70" s="23"/>
      <c r="G70" s="24">
        <f t="shared" ref="G70:K71" si="13">G15</f>
        <v>2019</v>
      </c>
      <c r="H70" s="24">
        <f t="shared" si="13"/>
        <v>2020</v>
      </c>
      <c r="I70" s="24">
        <f t="shared" si="13"/>
        <v>2021</v>
      </c>
      <c r="J70" s="24">
        <f t="shared" si="13"/>
        <v>2022</v>
      </c>
      <c r="K70" s="24">
        <f t="shared" si="13"/>
        <v>2023</v>
      </c>
    </row>
    <row r="71" spans="3:13">
      <c r="C71" s="7" t="str">
        <f>C16</f>
        <v>Fiscal year end date</v>
      </c>
      <c r="D71" s="25"/>
      <c r="E71" s="25"/>
      <c r="F71" s="25"/>
      <c r="G71" s="25">
        <f t="shared" si="13"/>
        <v>43738</v>
      </c>
      <c r="H71" s="25">
        <f t="shared" si="13"/>
        <v>44104</v>
      </c>
      <c r="I71" s="25">
        <f t="shared" si="13"/>
        <v>44469</v>
      </c>
      <c r="J71" s="25">
        <f t="shared" si="13"/>
        <v>44834</v>
      </c>
      <c r="K71" s="25">
        <f t="shared" si="13"/>
        <v>45199</v>
      </c>
    </row>
    <row r="73" spans="3:13">
      <c r="C73" t="s">
        <v>2</v>
      </c>
      <c r="D73" s="34"/>
      <c r="E73" s="34"/>
      <c r="F73" s="34"/>
      <c r="G73" s="18">
        <f ca="1">G29</f>
        <v>52298.506097684869</v>
      </c>
      <c r="H73" s="18">
        <f ca="1">H29</f>
        <v>56209.901259755265</v>
      </c>
      <c r="I73" s="18">
        <f ca="1">I29</f>
        <v>59962.520344688855</v>
      </c>
      <c r="J73" s="18">
        <f ca="1">J29</f>
        <v>63778.752555861291</v>
      </c>
      <c r="K73" s="18">
        <f ca="1">K29</f>
        <v>67967.319174060554</v>
      </c>
      <c r="M73" s="16"/>
    </row>
    <row r="74" spans="3:13">
      <c r="C74" t="s">
        <v>33</v>
      </c>
      <c r="D74" s="34"/>
      <c r="E74" s="34"/>
      <c r="F74" s="34"/>
      <c r="G74" s="18">
        <f ca="1">G31</f>
        <v>11085.020171261172</v>
      </c>
      <c r="H74" s="18">
        <f ca="1">H31</f>
        <v>11711.890744865921</v>
      </c>
      <c r="I74" s="18">
        <f ca="1">I31</f>
        <v>12226.380531123083</v>
      </c>
      <c r="J74" s="18">
        <f ca="1">J31</f>
        <v>13365.451007770575</v>
      </c>
      <c r="K74" s="18">
        <f ca="1">K31</f>
        <v>14603.503412486743</v>
      </c>
      <c r="M74" t="s">
        <v>166</v>
      </c>
    </row>
    <row r="75" spans="3:13">
      <c r="C75" t="s">
        <v>74</v>
      </c>
      <c r="D75" s="34"/>
      <c r="E75" s="34"/>
      <c r="F75" s="34"/>
      <c r="G75" s="18">
        <f ca="1">G33</f>
        <v>5126.3999999999996</v>
      </c>
      <c r="H75" s="18">
        <f ca="1">H33</f>
        <v>5433.9839999999995</v>
      </c>
      <c r="I75" s="18">
        <f ca="1">I33</f>
        <v>5808.9288959999994</v>
      </c>
      <c r="J75" s="18">
        <f ca="1">J33</f>
        <v>6209.7449898239993</v>
      </c>
      <c r="K75" s="18">
        <f ca="1">K33</f>
        <v>6638.2173941218552</v>
      </c>
    </row>
    <row r="76" spans="3:13">
      <c r="C76" t="s">
        <v>65</v>
      </c>
      <c r="D76" s="18"/>
      <c r="E76" s="18"/>
      <c r="F76" s="18"/>
      <c r="G76" s="18">
        <f ca="1">-1*(SUM(G47:G49)-SUM(F47:F49))</f>
        <v>2568.0292745401748</v>
      </c>
      <c r="H76" s="18">
        <f ca="1">-1*(SUM(H47:H49)-SUM(G47:G49))</f>
        <v>-3728.6108202044925</v>
      </c>
      <c r="I76" s="18">
        <f ca="1">-1*(SUM(I47:I49)-SUM(H47:H49))</f>
        <v>-4560.7224748067092</v>
      </c>
      <c r="J76" s="18">
        <f ca="1">-1*(SUM(J47:J49)-SUM(I47:I49))</f>
        <v>-4882.3919774125097</v>
      </c>
      <c r="K76" s="18">
        <f ca="1">-1*(SUM(K47:K49)-SUM(J47:J49))</f>
        <v>-5219.277023853967</v>
      </c>
    </row>
    <row r="77" spans="3:13">
      <c r="C77" t="s">
        <v>66</v>
      </c>
      <c r="D77" s="18"/>
      <c r="E77" s="18"/>
      <c r="F77" s="18"/>
      <c r="G77" s="18">
        <f ca="1">SUM(G54:G56)-SUM(F54:F56)</f>
        <v>-3483.4630777302955</v>
      </c>
      <c r="H77" s="18">
        <f ca="1">SUM(H54:H56)-SUM(G54:G56)</f>
        <v>5449.1728233541653</v>
      </c>
      <c r="I77" s="18">
        <f ca="1">SUM(I54:I56)-SUM(H54:H56)</f>
        <v>6862.1646291051147</v>
      </c>
      <c r="J77" s="18">
        <f ca="1">SUM(J54:J56)-SUM(I54:I56)</f>
        <v>7434.2583318562974</v>
      </c>
      <c r="K77" s="18">
        <f ca="1">SUM(K54:K56)-SUM(J54:J56)</f>
        <v>7947.2221567544038</v>
      </c>
    </row>
    <row r="78" spans="3:13">
      <c r="C78" t="s">
        <v>56</v>
      </c>
      <c r="G78" s="18">
        <f ca="1">-(G112)</f>
        <v>-647.56000000000131</v>
      </c>
      <c r="H78" s="18">
        <f ca="1">-(H112)</f>
        <v>-2914.7136000000028</v>
      </c>
      <c r="I78" s="18">
        <f ca="1">-(I112)</f>
        <v>-3308.3539583999991</v>
      </c>
      <c r="J78" s="18">
        <f ca="1">-(J112)</f>
        <v>-3536.6303815296014</v>
      </c>
      <c r="K78" s="18">
        <f ca="1">-(K112)</f>
        <v>-3780.6578778551411</v>
      </c>
      <c r="M78" t="s">
        <v>167</v>
      </c>
    </row>
    <row r="79" spans="3:13">
      <c r="C79" t="s">
        <v>59</v>
      </c>
      <c r="G79" s="18">
        <f ca="1">G59-F59</f>
        <v>-1807.2000000000044</v>
      </c>
      <c r="H79" s="18">
        <f ca="1">H59-G59</f>
        <v>2602.3680000000022</v>
      </c>
      <c r="I79" s="18">
        <f ca="1">I59-H59</f>
        <v>3172.2865919999967</v>
      </c>
      <c r="J79" s="18">
        <f ca="1">J59-I59</f>
        <v>3391.1743668479976</v>
      </c>
      <c r="K79" s="18">
        <f ca="1">K59-J59</f>
        <v>3625.1653981605123</v>
      </c>
      <c r="M79" s="16"/>
    </row>
    <row r="80" spans="3:13">
      <c r="C80" s="16" t="s">
        <v>34</v>
      </c>
      <c r="G80" s="29">
        <f ca="1">SUM(G73:G79)</f>
        <v>65139.732465755929</v>
      </c>
      <c r="H80" s="29">
        <f ca="1">SUM(H73:H79)</f>
        <v>74763.992407770857</v>
      </c>
      <c r="I80" s="29">
        <f ca="1">SUM(I73:I79)</f>
        <v>80163.204559710342</v>
      </c>
      <c r="J80" s="29">
        <f ca="1">SUM(J73:J79)</f>
        <v>85760.358893218043</v>
      </c>
      <c r="K80" s="29">
        <f ca="1">SUM(K73:K79)</f>
        <v>91781.492633874965</v>
      </c>
    </row>
    <row r="81" spans="3:13">
      <c r="G81" s="18"/>
      <c r="H81" s="18"/>
      <c r="I81" s="18"/>
      <c r="J81" s="18"/>
      <c r="K81" s="18"/>
    </row>
    <row r="82" spans="3:13">
      <c r="C82" t="s">
        <v>35</v>
      </c>
      <c r="G82" s="18">
        <f>-(G98)</f>
        <v>-13285</v>
      </c>
      <c r="H82" s="18">
        <f>-(H98)</f>
        <v>-13649</v>
      </c>
      <c r="I82" s="18">
        <f>-(I98)</f>
        <v>-13819</v>
      </c>
      <c r="J82" s="18">
        <f ca="1">-(J98)</f>
        <v>-14772.510999999999</v>
      </c>
      <c r="K82" s="18">
        <f ca="1">-(K98)</f>
        <v>-15791.814258999997</v>
      </c>
      <c r="M82" t="s">
        <v>104</v>
      </c>
    </row>
    <row r="83" spans="3:13">
      <c r="C83" s="16" t="s">
        <v>36</v>
      </c>
      <c r="G83" s="29">
        <f>IFERROR(G82,"NA")</f>
        <v>-13285</v>
      </c>
      <c r="H83" s="29">
        <f>IFERROR(H82,"NA")</f>
        <v>-13649</v>
      </c>
      <c r="I83" s="29">
        <f>IFERROR(I82,"NA")</f>
        <v>-13819</v>
      </c>
      <c r="J83" s="29">
        <f ca="1">IFERROR(J82,"NA")</f>
        <v>-14772.510999999999</v>
      </c>
      <c r="K83" s="29">
        <f ca="1">IFERROR(K82,"NA")</f>
        <v>-15791.814258999997</v>
      </c>
    </row>
    <row r="84" spans="3:13">
      <c r="G84" s="18"/>
      <c r="H84" s="18"/>
      <c r="I84" s="18"/>
      <c r="J84" s="18"/>
      <c r="K84" s="18"/>
    </row>
    <row r="85" spans="3:13">
      <c r="C85" t="s">
        <v>67</v>
      </c>
      <c r="G85" s="18">
        <f>G58-F58</f>
        <v>0</v>
      </c>
      <c r="H85" s="18">
        <f>H58-G58</f>
        <v>0</v>
      </c>
      <c r="I85" s="18">
        <f>I58-H58</f>
        <v>0</v>
      </c>
      <c r="J85" s="18">
        <f>J58-I58</f>
        <v>0</v>
      </c>
      <c r="K85" s="18">
        <f>K58-J58</f>
        <v>0</v>
      </c>
    </row>
    <row r="86" spans="3:13">
      <c r="C86" t="s">
        <v>23</v>
      </c>
      <c r="G86" s="18">
        <f ca="1">G57-F57</f>
        <v>36</v>
      </c>
      <c r="H86" s="18">
        <f ca="1">H57-G57</f>
        <v>0</v>
      </c>
      <c r="I86" s="18">
        <f ca="1">I57-H57</f>
        <v>0</v>
      </c>
      <c r="J86" s="18">
        <f ca="1">J57-I57</f>
        <v>0</v>
      </c>
      <c r="K86" s="18">
        <f ca="1">K57-J57</f>
        <v>0</v>
      </c>
      <c r="M86" t="s">
        <v>175</v>
      </c>
    </row>
    <row r="87" spans="3:13">
      <c r="C87" t="s">
        <v>70</v>
      </c>
      <c r="G87" s="18">
        <f>G119</f>
        <v>-73056</v>
      </c>
      <c r="H87" s="18">
        <f>H119</f>
        <v>-73056</v>
      </c>
      <c r="I87" s="18">
        <f>I119</f>
        <v>-73056</v>
      </c>
      <c r="J87" s="18">
        <f>J119</f>
        <v>-73056</v>
      </c>
      <c r="K87" s="18">
        <f>K119</f>
        <v>-73056</v>
      </c>
      <c r="M87" t="s">
        <v>105</v>
      </c>
    </row>
    <row r="88" spans="3:13">
      <c r="C88" t="s">
        <v>71</v>
      </c>
      <c r="G88" s="18">
        <f>G118</f>
        <v>-13735</v>
      </c>
      <c r="H88" s="18">
        <f>H118</f>
        <v>-13735</v>
      </c>
      <c r="I88" s="18">
        <f>I118</f>
        <v>-13735</v>
      </c>
      <c r="J88" s="18">
        <f>J118</f>
        <v>-13735</v>
      </c>
      <c r="K88" s="18">
        <f>K118</f>
        <v>-13735</v>
      </c>
      <c r="M88" t="s">
        <v>105</v>
      </c>
    </row>
    <row r="89" spans="3:13">
      <c r="C89" s="16" t="s">
        <v>37</v>
      </c>
      <c r="G89" s="29">
        <f ca="1">SUM(G85:G88)</f>
        <v>-86755</v>
      </c>
      <c r="H89" s="29">
        <f ca="1">SUM(H85:H88)</f>
        <v>-86791</v>
      </c>
      <c r="I89" s="29">
        <f ca="1">SUM(I85:I88)</f>
        <v>-86791</v>
      </c>
      <c r="J89" s="29">
        <f ca="1">SUM(J85:J88)</f>
        <v>-86791</v>
      </c>
      <c r="K89" s="29">
        <f ca="1">SUM(K85:K88)</f>
        <v>-86791</v>
      </c>
    </row>
    <row r="90" spans="3:13">
      <c r="G90" s="18"/>
      <c r="H90" s="18"/>
      <c r="I90" s="18"/>
      <c r="J90" s="18"/>
      <c r="K90" s="18"/>
    </row>
    <row r="91" spans="3:13">
      <c r="C91" s="16" t="s">
        <v>38</v>
      </c>
      <c r="G91" s="29">
        <f ca="1">G80+G83+G89</f>
        <v>-34900.267534244071</v>
      </c>
      <c r="H91" s="29">
        <f ca="1">H80+H83+H89</f>
        <v>-25676.007592229143</v>
      </c>
      <c r="I91" s="29">
        <f ca="1">I80+I83+I89</f>
        <v>-20446.795440289658</v>
      </c>
      <c r="J91" s="29">
        <f ca="1">J80+J83+J89</f>
        <v>-15803.152106781956</v>
      </c>
      <c r="K91" s="29">
        <f ca="1">K80+K83+K89</f>
        <v>-10801.321625125027</v>
      </c>
    </row>
    <row r="93" spans="3:13">
      <c r="C93" s="5" t="s">
        <v>29</v>
      </c>
      <c r="D93" s="7"/>
      <c r="E93" s="7"/>
      <c r="F93" s="7"/>
      <c r="G93" s="7"/>
      <c r="H93" s="7"/>
      <c r="I93" s="7"/>
      <c r="J93" s="7"/>
      <c r="K93" s="7"/>
    </row>
    <row r="94" spans="3:13">
      <c r="C94" s="26" t="str">
        <f t="shared" ref="C94:K94" si="14">C15</f>
        <v xml:space="preserve">Fiscal year  </v>
      </c>
      <c r="D94" s="23">
        <f t="shared" si="14"/>
        <v>2016</v>
      </c>
      <c r="E94" s="23">
        <f t="shared" si="14"/>
        <v>2017</v>
      </c>
      <c r="F94" s="23">
        <f t="shared" si="14"/>
        <v>2018</v>
      </c>
      <c r="G94" s="24">
        <f t="shared" si="14"/>
        <v>2019</v>
      </c>
      <c r="H94" s="24">
        <f t="shared" si="14"/>
        <v>2020</v>
      </c>
      <c r="I94" s="24">
        <f t="shared" si="14"/>
        <v>2021</v>
      </c>
      <c r="J94" s="24">
        <f t="shared" si="14"/>
        <v>2022</v>
      </c>
      <c r="K94" s="24">
        <f t="shared" si="14"/>
        <v>2023</v>
      </c>
    </row>
    <row r="95" spans="3:13">
      <c r="C95" s="7" t="str">
        <f t="shared" ref="C95:K95" si="15">C16</f>
        <v>Fiscal year end date</v>
      </c>
      <c r="D95" s="25">
        <f t="shared" si="15"/>
        <v>42643</v>
      </c>
      <c r="E95" s="25">
        <f t="shared" si="15"/>
        <v>43008</v>
      </c>
      <c r="F95" s="25">
        <f t="shared" si="15"/>
        <v>43372</v>
      </c>
      <c r="G95" s="25">
        <f t="shared" si="15"/>
        <v>43738</v>
      </c>
      <c r="H95" s="25">
        <f t="shared" si="15"/>
        <v>44104</v>
      </c>
      <c r="I95" s="25">
        <f t="shared" si="15"/>
        <v>44469</v>
      </c>
      <c r="J95" s="25">
        <f t="shared" si="15"/>
        <v>44834</v>
      </c>
      <c r="K95" s="25">
        <f t="shared" si="15"/>
        <v>45199</v>
      </c>
    </row>
    <row r="96" spans="3:13">
      <c r="C96" s="16"/>
      <c r="G96" s="76" t="s">
        <v>114</v>
      </c>
      <c r="H96" s="76"/>
      <c r="I96" s="76"/>
      <c r="J96" s="76"/>
      <c r="K96" s="76"/>
    </row>
    <row r="97" spans="3:17">
      <c r="C97" s="28" t="s">
        <v>27</v>
      </c>
      <c r="G97" s="18">
        <f>F100</f>
        <v>41304</v>
      </c>
      <c r="H97" s="18">
        <f>G100</f>
        <v>45042.85982873883</v>
      </c>
      <c r="I97" s="18">
        <f>H100</f>
        <v>48611.181883872909</v>
      </c>
      <c r="J97" s="18">
        <f>I100</f>
        <v>51947.567835949827</v>
      </c>
      <c r="K97" s="18">
        <f ca="1">J100</f>
        <v>55218.714198720052</v>
      </c>
      <c r="M97" t="s">
        <v>163</v>
      </c>
    </row>
    <row r="98" spans="3:17">
      <c r="C98" s="31" t="s">
        <v>30</v>
      </c>
      <c r="D98" s="3">
        <v>12734</v>
      </c>
      <c r="E98" s="3">
        <v>12451</v>
      </c>
      <c r="F98" s="3">
        <v>13313</v>
      </c>
      <c r="G98" s="3">
        <v>13285</v>
      </c>
      <c r="H98" s="3">
        <v>13649</v>
      </c>
      <c r="I98" s="3">
        <v>13819</v>
      </c>
      <c r="J98" s="3">
        <f ca="1">I98*(1+J37)</f>
        <v>14772.510999999999</v>
      </c>
      <c r="K98" s="3">
        <f t="shared" ref="K98" ca="1" si="16">J98*(1+K37)</f>
        <v>15791.814258999997</v>
      </c>
      <c r="M98" t="s">
        <v>151</v>
      </c>
    </row>
    <row r="99" spans="3:17">
      <c r="C99" s="69" t="s">
        <v>31</v>
      </c>
      <c r="D99" s="62">
        <v>-8300</v>
      </c>
      <c r="E99" s="62">
        <v>-8200</v>
      </c>
      <c r="F99" s="62">
        <v>-9300</v>
      </c>
      <c r="G99" s="68">
        <f>-(G102*G98)</f>
        <v>-9546.1401712611732</v>
      </c>
      <c r="H99" s="68">
        <f>-(H102*H98)</f>
        <v>-10080.677944865922</v>
      </c>
      <c r="I99" s="68">
        <f>-(I102*I98)</f>
        <v>-10482.614047923083</v>
      </c>
      <c r="J99" s="68">
        <f ca="1">-(J102*J98)</f>
        <v>-11501.364637229775</v>
      </c>
      <c r="K99" s="68">
        <f ca="1">-(K102*K98)</f>
        <v>-12610.795082378629</v>
      </c>
      <c r="M99" t="s">
        <v>162</v>
      </c>
    </row>
    <row r="100" spans="3:17">
      <c r="C100" s="35" t="s">
        <v>28</v>
      </c>
      <c r="D100" s="29"/>
      <c r="E100" s="29">
        <f>E50</f>
        <v>33783</v>
      </c>
      <c r="F100" s="29">
        <f>F50</f>
        <v>41304</v>
      </c>
      <c r="G100" s="29">
        <f>SUM(G97:G99)</f>
        <v>45042.85982873883</v>
      </c>
      <c r="H100" s="29">
        <f>SUM(H97:H99)</f>
        <v>48611.181883872909</v>
      </c>
      <c r="I100" s="29">
        <f>SUM(I97:I99)</f>
        <v>51947.567835949827</v>
      </c>
      <c r="J100" s="29">
        <f ca="1">SUM(J97:J99)</f>
        <v>55218.714198720052</v>
      </c>
      <c r="K100" s="29">
        <f ca="1">SUM(K97:K99)</f>
        <v>58399.73337534142</v>
      </c>
      <c r="M100" t="s">
        <v>161</v>
      </c>
    </row>
    <row r="101" spans="3:17">
      <c r="C101" s="28"/>
      <c r="M101" s="19" t="s">
        <v>48</v>
      </c>
    </row>
    <row r="102" spans="3:17">
      <c r="C102" s="28" t="s">
        <v>121</v>
      </c>
      <c r="D102" s="4">
        <f>-(D99/D98)</f>
        <v>0.65179833516569818</v>
      </c>
      <c r="E102" s="4">
        <f>-(E99/E98)</f>
        <v>0.6585816400289134</v>
      </c>
      <c r="F102" s="4">
        <f>-(F99/F98)</f>
        <v>0.69856531210095396</v>
      </c>
      <c r="G102" s="21">
        <f>F102+$M$102</f>
        <v>0.71856531210095398</v>
      </c>
      <c r="H102" s="21">
        <f>G102+$M$102</f>
        <v>0.738565312100954</v>
      </c>
      <c r="I102" s="21">
        <f>H102+$M$102</f>
        <v>0.75856531210095401</v>
      </c>
      <c r="J102" s="21">
        <f>I102+$M$102</f>
        <v>0.77856531210095403</v>
      </c>
      <c r="K102" s="21">
        <f>J102+$M$102</f>
        <v>0.79856531210095405</v>
      </c>
      <c r="M102" s="55">
        <v>0.02</v>
      </c>
      <c r="O102" s="65"/>
      <c r="P102" s="65"/>
      <c r="Q102" s="65"/>
    </row>
    <row r="103" spans="3:17">
      <c r="C103" s="28"/>
      <c r="D103" s="4"/>
      <c r="E103" s="4"/>
      <c r="F103" s="4"/>
      <c r="G103" s="21"/>
      <c r="H103" s="21"/>
      <c r="I103" s="21"/>
      <c r="J103" s="21"/>
      <c r="K103" s="21"/>
      <c r="O103" s="65"/>
      <c r="P103" s="65"/>
      <c r="Q103" s="65"/>
    </row>
    <row r="104" spans="3:17">
      <c r="C104" s="90" t="s">
        <v>127</v>
      </c>
      <c r="D104" s="32"/>
      <c r="E104" s="32"/>
      <c r="F104" s="32"/>
      <c r="G104" s="91"/>
      <c r="H104" s="91"/>
      <c r="I104" s="91"/>
      <c r="J104" s="91"/>
      <c r="K104" s="91"/>
      <c r="O104" s="65"/>
      <c r="P104" s="65"/>
      <c r="Q104" s="65"/>
    </row>
    <row r="105" spans="3:17">
      <c r="C105" s="28" t="s">
        <v>153</v>
      </c>
      <c r="D105" s="18">
        <f>D107+D99</f>
        <v>2205</v>
      </c>
      <c r="E105" s="18">
        <f>E107+E99</f>
        <v>1957</v>
      </c>
      <c r="F105" s="18">
        <f>F107+F99</f>
        <v>1603</v>
      </c>
      <c r="G105" s="15">
        <f ca="1">G106*G18</f>
        <v>1538.8799999999999</v>
      </c>
      <c r="H105" s="15">
        <f ca="1">H106*H18</f>
        <v>1631.2128</v>
      </c>
      <c r="I105" s="15">
        <f ca="1">I106*I18</f>
        <v>1743.7664832</v>
      </c>
      <c r="J105" s="15">
        <f ca="1">J106*J18</f>
        <v>1864.0863705407999</v>
      </c>
      <c r="K105" s="15">
        <f ca="1">K106*K18</f>
        <v>1992.708330108115</v>
      </c>
      <c r="M105" t="s">
        <v>227</v>
      </c>
      <c r="O105" s="65"/>
      <c r="P105" s="65"/>
      <c r="Q105" s="65"/>
    </row>
    <row r="106" spans="3:17">
      <c r="C106" s="20" t="s">
        <v>154</v>
      </c>
      <c r="D106" s="60">
        <f>D105/D18</f>
        <v>1.0225423044996499E-2</v>
      </c>
      <c r="E106" s="60">
        <f>E105/E18</f>
        <v>8.537128000209393E-3</v>
      </c>
      <c r="F106" s="60">
        <f>F105/F18</f>
        <v>6.0355051864681188E-3</v>
      </c>
      <c r="G106" s="21">
        <f>F106</f>
        <v>6.0355051864681188E-3</v>
      </c>
      <c r="H106" s="21">
        <f>G106</f>
        <v>6.0355051864681188E-3</v>
      </c>
      <c r="I106" s="21">
        <f>H106</f>
        <v>6.0355051864681188E-3</v>
      </c>
      <c r="J106" s="21">
        <f>I106</f>
        <v>6.0355051864681188E-3</v>
      </c>
      <c r="K106" s="21">
        <f>J106</f>
        <v>6.0355051864681188E-3</v>
      </c>
      <c r="M106" t="s">
        <v>155</v>
      </c>
    </row>
    <row r="107" spans="3:17">
      <c r="C107" s="27" t="s">
        <v>108</v>
      </c>
      <c r="D107" s="29">
        <f>D31</f>
        <v>10505</v>
      </c>
      <c r="E107" s="29">
        <f>E31</f>
        <v>10157</v>
      </c>
      <c r="F107" s="29">
        <f>F31</f>
        <v>10903</v>
      </c>
      <c r="G107" s="17">
        <f ca="1">-G99+G105</f>
        <v>11085.020171261172</v>
      </c>
      <c r="H107" s="17">
        <f ca="1">-H99+H105</f>
        <v>11711.890744865921</v>
      </c>
      <c r="I107" s="17">
        <f ca="1">-I99+I105</f>
        <v>12226.380531123083</v>
      </c>
      <c r="J107" s="17">
        <f ca="1">-J99+J105</f>
        <v>13365.451007770575</v>
      </c>
      <c r="K107" s="17">
        <f ca="1">-K99+K105</f>
        <v>14603.503412486743</v>
      </c>
      <c r="M107" t="s">
        <v>157</v>
      </c>
    </row>
    <row r="108" spans="3:17">
      <c r="C108" s="28"/>
      <c r="D108" s="18"/>
      <c r="E108" s="18"/>
      <c r="F108" s="18"/>
      <c r="H108" s="18"/>
      <c r="I108" s="18"/>
      <c r="J108" s="18"/>
      <c r="K108" s="18"/>
    </row>
    <row r="109" spans="3:17">
      <c r="C109" s="42" t="s">
        <v>126</v>
      </c>
      <c r="D109" s="7"/>
      <c r="E109" s="7"/>
      <c r="F109" s="7"/>
      <c r="H109" s="18"/>
      <c r="I109" s="18"/>
      <c r="J109" s="18"/>
      <c r="K109" s="18"/>
    </row>
    <row r="110" spans="3:17">
      <c r="C110" s="28" t="s">
        <v>27</v>
      </c>
      <c r="D110" s="18"/>
      <c r="G110" s="102">
        <f>F113</f>
        <v>22283</v>
      </c>
      <c r="H110" s="102">
        <f ca="1">G113</f>
        <v>21391.68</v>
      </c>
      <c r="I110" s="102">
        <f ca="1">H113</f>
        <v>22675.180800000002</v>
      </c>
      <c r="J110" s="102">
        <f ca="1">I113</f>
        <v>24239.7682752</v>
      </c>
      <c r="K110" s="102">
        <f ca="1">J113</f>
        <v>25912.3122861888</v>
      </c>
      <c r="M110" t="s">
        <v>163</v>
      </c>
    </row>
    <row r="111" spans="3:17">
      <c r="C111" s="20" t="s">
        <v>122</v>
      </c>
      <c r="G111" s="18">
        <f ca="1">-(G105)</f>
        <v>-1538.8799999999999</v>
      </c>
      <c r="H111" s="18">
        <f ca="1">-(H105)</f>
        <v>-1631.2128</v>
      </c>
      <c r="I111" s="18">
        <f ca="1">-(I105)</f>
        <v>-1743.7664832</v>
      </c>
      <c r="J111" s="18">
        <f ca="1">-(J105)</f>
        <v>-1864.0863705407999</v>
      </c>
      <c r="K111" s="18">
        <f ca="1">-(K105)</f>
        <v>-1992.708330108115</v>
      </c>
      <c r="M111" t="s">
        <v>158</v>
      </c>
    </row>
    <row r="112" spans="3:17" ht="15" customHeight="1">
      <c r="C112" s="70" t="s">
        <v>123</v>
      </c>
      <c r="D112" s="67"/>
      <c r="E112" s="67"/>
      <c r="F112" s="67"/>
      <c r="G112" s="94">
        <f ca="1">G113-G111-G110</f>
        <v>647.56000000000131</v>
      </c>
      <c r="H112" s="94">
        <f ca="1">H113-H111-H110</f>
        <v>2914.7136000000028</v>
      </c>
      <c r="I112" s="94">
        <f ca="1">I113-I111-I110</f>
        <v>3308.3539583999991</v>
      </c>
      <c r="J112" s="94">
        <f ca="1">J113-J111-J110</f>
        <v>3536.6303815296014</v>
      </c>
      <c r="K112" s="94">
        <f ca="1">K113-K111-K110</f>
        <v>3780.6578778551411</v>
      </c>
      <c r="M112" t="s">
        <v>164</v>
      </c>
    </row>
    <row r="113" spans="3:17">
      <c r="C113" s="35" t="s">
        <v>28</v>
      </c>
      <c r="E113" s="29">
        <f t="shared" ref="E113:K113" si="17">E51</f>
        <v>18177</v>
      </c>
      <c r="F113" s="29">
        <f t="shared" si="17"/>
        <v>22283</v>
      </c>
      <c r="G113" s="29">
        <f t="shared" ca="1" si="17"/>
        <v>21391.68</v>
      </c>
      <c r="H113" s="29">
        <f t="shared" ca="1" si="17"/>
        <v>22675.180800000002</v>
      </c>
      <c r="I113" s="29">
        <f t="shared" ca="1" si="17"/>
        <v>24239.7682752</v>
      </c>
      <c r="J113" s="29">
        <f t="shared" ca="1" si="17"/>
        <v>25912.3122861888</v>
      </c>
      <c r="K113" s="29">
        <f t="shared" ca="1" si="17"/>
        <v>27700.261833935827</v>
      </c>
      <c r="M113" t="s">
        <v>165</v>
      </c>
    </row>
    <row r="114" spans="3:17">
      <c r="C114" s="20"/>
      <c r="E114" s="18"/>
      <c r="F114" s="18"/>
      <c r="H114" s="18"/>
      <c r="I114" s="18"/>
      <c r="J114" s="18"/>
      <c r="K114" s="18"/>
    </row>
    <row r="115" spans="3:17">
      <c r="C115" s="43" t="s">
        <v>75</v>
      </c>
      <c r="D115" s="42"/>
      <c r="E115" s="42"/>
      <c r="F115" s="42"/>
      <c r="G115" s="7"/>
      <c r="H115" s="7"/>
      <c r="I115" s="7"/>
      <c r="J115" s="7"/>
      <c r="K115" s="7"/>
    </row>
    <row r="116" spans="3:17">
      <c r="C116" s="28" t="s">
        <v>27</v>
      </c>
      <c r="G116" s="18">
        <f>F120</f>
        <v>70400</v>
      </c>
      <c r="H116" s="18">
        <f ca="1">G120</f>
        <v>35907.506097684876</v>
      </c>
      <c r="I116" s="18">
        <f ca="1">H120</f>
        <v>5326.4073574446811</v>
      </c>
      <c r="J116" s="18">
        <f ca="1">I120</f>
        <v>-21502.072297810017</v>
      </c>
      <c r="K116" s="18">
        <f ca="1">J120</f>
        <v>-44514.319741085921</v>
      </c>
      <c r="M116" t="s">
        <v>163</v>
      </c>
    </row>
    <row r="117" spans="3:17">
      <c r="C117" s="20" t="s">
        <v>62</v>
      </c>
      <c r="D117" s="15">
        <f t="shared" ref="D117:K117" si="18">D29</f>
        <v>45687</v>
      </c>
      <c r="E117" s="15">
        <f t="shared" si="18"/>
        <v>48351</v>
      </c>
      <c r="F117" s="15">
        <f t="shared" si="18"/>
        <v>59531</v>
      </c>
      <c r="G117" s="18">
        <f t="shared" ca="1" si="18"/>
        <v>52298.506097684869</v>
      </c>
      <c r="H117" s="18">
        <f t="shared" ca="1" si="18"/>
        <v>56209.901259755265</v>
      </c>
      <c r="I117" s="18">
        <f t="shared" ca="1" si="18"/>
        <v>59962.520344688855</v>
      </c>
      <c r="J117" s="18">
        <f t="shared" ca="1" si="18"/>
        <v>63778.752555861291</v>
      </c>
      <c r="K117" s="18">
        <f t="shared" ca="1" si="18"/>
        <v>67967.319174060554</v>
      </c>
      <c r="M117" t="s">
        <v>100</v>
      </c>
    </row>
    <row r="118" spans="3:17">
      <c r="C118" s="20" t="s">
        <v>63</v>
      </c>
      <c r="D118" s="3">
        <v>-12188</v>
      </c>
      <c r="E118" s="3">
        <v>-12803</v>
      </c>
      <c r="F118" s="3">
        <v>-13735</v>
      </c>
      <c r="G118" s="18">
        <f>F118</f>
        <v>-13735</v>
      </c>
      <c r="H118" s="18">
        <f>G118</f>
        <v>-13735</v>
      </c>
      <c r="I118" s="18">
        <f t="shared" ref="I118:K119" si="19">H118</f>
        <v>-13735</v>
      </c>
      <c r="J118" s="18">
        <f t="shared" si="19"/>
        <v>-13735</v>
      </c>
      <c r="K118" s="18">
        <f t="shared" si="19"/>
        <v>-13735</v>
      </c>
      <c r="M118" t="s">
        <v>159</v>
      </c>
    </row>
    <row r="119" spans="3:17">
      <c r="C119" s="70" t="s">
        <v>64</v>
      </c>
      <c r="D119" s="62">
        <v>-29000</v>
      </c>
      <c r="E119" s="62">
        <v>-33001</v>
      </c>
      <c r="F119" s="62">
        <v>-73056</v>
      </c>
      <c r="G119" s="68">
        <f>F119</f>
        <v>-73056</v>
      </c>
      <c r="H119" s="68">
        <f>G119</f>
        <v>-73056</v>
      </c>
      <c r="I119" s="68">
        <f t="shared" si="19"/>
        <v>-73056</v>
      </c>
      <c r="J119" s="68">
        <f t="shared" si="19"/>
        <v>-73056</v>
      </c>
      <c r="K119" s="68">
        <f t="shared" si="19"/>
        <v>-73056</v>
      </c>
      <c r="M119" t="s">
        <v>225</v>
      </c>
    </row>
    <row r="120" spans="3:17">
      <c r="C120" s="35" t="s">
        <v>28</v>
      </c>
      <c r="D120" s="17">
        <f>D63</f>
        <v>0</v>
      </c>
      <c r="E120" s="17">
        <f>E63</f>
        <v>98330</v>
      </c>
      <c r="F120" s="17">
        <f>F63</f>
        <v>70400</v>
      </c>
      <c r="G120" s="29">
        <f ca="1">SUM(G116:G119)</f>
        <v>35907.506097684876</v>
      </c>
      <c r="H120" s="29">
        <f ca="1">SUM(H116:H119)</f>
        <v>5326.4073574401409</v>
      </c>
      <c r="I120" s="29">
        <f ca="1">SUM(I116:I119)</f>
        <v>-21502.072297866463</v>
      </c>
      <c r="J120" s="29">
        <f ca="1">SUM(J116:J119)</f>
        <v>-44514.319741948726</v>
      </c>
      <c r="K120" s="29">
        <f ca="1">SUM(K116:K119)</f>
        <v>-63338.000567025367</v>
      </c>
      <c r="M120" t="s">
        <v>160</v>
      </c>
    </row>
    <row r="121" spans="3:17">
      <c r="E121" s="34"/>
      <c r="F121" s="34"/>
    </row>
    <row r="122" spans="3:17">
      <c r="C122" s="5" t="s">
        <v>128</v>
      </c>
      <c r="D122" s="7"/>
      <c r="E122" s="7"/>
      <c r="F122" s="7"/>
      <c r="G122" s="7"/>
      <c r="H122" s="7"/>
      <c r="I122" s="7"/>
      <c r="J122" s="7"/>
      <c r="K122" s="7"/>
      <c r="O122" s="65"/>
      <c r="P122" s="65"/>
    </row>
    <row r="123" spans="3:17">
      <c r="C123" s="26" t="str">
        <f t="shared" ref="C123:K123" si="20">C15</f>
        <v xml:space="preserve">Fiscal year  </v>
      </c>
      <c r="D123" s="23">
        <f t="shared" si="20"/>
        <v>2016</v>
      </c>
      <c r="E123" s="23">
        <f t="shared" si="20"/>
        <v>2017</v>
      </c>
      <c r="F123" s="23">
        <f t="shared" si="20"/>
        <v>2018</v>
      </c>
      <c r="G123" s="24">
        <f t="shared" si="20"/>
        <v>2019</v>
      </c>
      <c r="H123" s="24">
        <f t="shared" si="20"/>
        <v>2020</v>
      </c>
      <c r="I123" s="24">
        <f t="shared" si="20"/>
        <v>2021</v>
      </c>
      <c r="J123" s="24">
        <f t="shared" si="20"/>
        <v>2022</v>
      </c>
      <c r="K123" s="24">
        <f t="shared" si="20"/>
        <v>2023</v>
      </c>
      <c r="O123" s="65"/>
      <c r="P123" s="65"/>
    </row>
    <row r="124" spans="3:17">
      <c r="C124" s="7" t="str">
        <f t="shared" ref="C124:K124" si="21">C16</f>
        <v>Fiscal year end date</v>
      </c>
      <c r="D124" s="25">
        <f t="shared" si="21"/>
        <v>42643</v>
      </c>
      <c r="E124" s="25">
        <f t="shared" si="21"/>
        <v>43008</v>
      </c>
      <c r="F124" s="25">
        <f t="shared" si="21"/>
        <v>43372</v>
      </c>
      <c r="G124" s="25">
        <f t="shared" si="21"/>
        <v>43738</v>
      </c>
      <c r="H124" s="25">
        <f t="shared" si="21"/>
        <v>44104</v>
      </c>
      <c r="I124" s="25">
        <f t="shared" si="21"/>
        <v>44469</v>
      </c>
      <c r="J124" s="25">
        <f t="shared" si="21"/>
        <v>44834</v>
      </c>
      <c r="K124" s="25">
        <f t="shared" si="21"/>
        <v>45199</v>
      </c>
      <c r="O124" s="65"/>
      <c r="P124" s="65"/>
    </row>
    <row r="125" spans="3:17">
      <c r="C125" s="16"/>
      <c r="O125" s="65"/>
      <c r="P125" s="65"/>
    </row>
    <row r="126" spans="3:17">
      <c r="C126" s="19" t="s">
        <v>39</v>
      </c>
      <c r="O126" s="65"/>
      <c r="P126" s="65"/>
      <c r="Q126" s="65"/>
    </row>
    <row r="127" spans="3:17">
      <c r="C127" s="20" t="s">
        <v>45</v>
      </c>
      <c r="G127" s="18">
        <f>F46</f>
        <v>237100</v>
      </c>
      <c r="H127" s="18">
        <f ca="1">G46</f>
        <v>202199.73246575592</v>
      </c>
      <c r="I127" s="18">
        <f ca="1">H46</f>
        <v>176523.72487352678</v>
      </c>
      <c r="J127" s="18">
        <f ca="1">I46</f>
        <v>156076.92943323712</v>
      </c>
      <c r="K127" s="18">
        <f ca="1">J46</f>
        <v>140273.77732645517</v>
      </c>
      <c r="M127" t="s">
        <v>168</v>
      </c>
      <c r="O127" s="65"/>
      <c r="P127" s="65"/>
    </row>
    <row r="128" spans="3:17">
      <c r="C128" s="20" t="s">
        <v>69</v>
      </c>
      <c r="G128" s="3">
        <v>-50000</v>
      </c>
      <c r="H128" s="3">
        <v>-50000</v>
      </c>
      <c r="I128" s="3">
        <v>-50000</v>
      </c>
      <c r="J128" s="3">
        <v>-50000</v>
      </c>
      <c r="K128" s="3">
        <v>-50000</v>
      </c>
      <c r="M128" t="s">
        <v>124</v>
      </c>
      <c r="O128" s="65"/>
      <c r="P128" s="65"/>
    </row>
    <row r="129" spans="3:19">
      <c r="C129" s="70" t="s">
        <v>40</v>
      </c>
      <c r="D129" s="67"/>
      <c r="E129" s="67"/>
      <c r="F129" s="67"/>
      <c r="G129" s="68">
        <f ca="1">SUM(G80,G83,G85,G87,G88)</f>
        <v>-34936.267534244071</v>
      </c>
      <c r="H129" s="68">
        <f ca="1">SUM(H80,H83,H85,H87,H88)</f>
        <v>-25676.007592229143</v>
      </c>
      <c r="I129" s="68">
        <f ca="1">SUM(I80,I83,I85,I87,I88)</f>
        <v>-20446.795440289658</v>
      </c>
      <c r="J129" s="68">
        <f ca="1">SUM(J80,J83,J85,J87,J88)</f>
        <v>-15803.152106781956</v>
      </c>
      <c r="K129" s="68">
        <f ca="1">SUM(K80,K83,K85,K87,K88)</f>
        <v>-10801.321625125027</v>
      </c>
      <c r="M129" t="s">
        <v>169</v>
      </c>
    </row>
    <row r="130" spans="3:19">
      <c r="C130" s="35" t="s">
        <v>101</v>
      </c>
      <c r="G130" s="29">
        <f ca="1">SUM(G127:G129)</f>
        <v>152163.73246575592</v>
      </c>
      <c r="H130" s="29">
        <f ca="1">SUM(H127:H129)</f>
        <v>126523.72487352678</v>
      </c>
      <c r="I130" s="29">
        <f ca="1">SUM(I127:I129)</f>
        <v>106076.92943323712</v>
      </c>
      <c r="J130" s="29">
        <f ca="1">SUM(J127:J129)</f>
        <v>90273.777326455165</v>
      </c>
      <c r="K130" s="29">
        <f ca="1">SUM(K127:K129)</f>
        <v>79472.455701330138</v>
      </c>
    </row>
    <row r="132" spans="3:19">
      <c r="C132" s="16" t="s">
        <v>111</v>
      </c>
    </row>
    <row r="133" spans="3:19">
      <c r="C133" s="20" t="s">
        <v>27</v>
      </c>
      <c r="G133" s="18">
        <f>F136</f>
        <v>11964</v>
      </c>
      <c r="H133" s="18">
        <f ca="1">G136</f>
        <v>12000</v>
      </c>
      <c r="I133" s="18">
        <f ca="1">H136</f>
        <v>12000</v>
      </c>
      <c r="J133" s="18">
        <f ca="1">I136</f>
        <v>12000</v>
      </c>
      <c r="K133" s="18">
        <f ca="1">J136</f>
        <v>12000</v>
      </c>
      <c r="M133" t="s">
        <v>163</v>
      </c>
    </row>
    <row r="134" spans="3:19">
      <c r="C134" s="31" t="s">
        <v>171</v>
      </c>
      <c r="G134" s="18">
        <f ca="1">-MIN(G130,G133)</f>
        <v>-11964</v>
      </c>
      <c r="H134" s="18">
        <f ca="1">-MIN(H130,H133)</f>
        <v>-12000</v>
      </c>
      <c r="I134" s="18">
        <f ca="1">-MIN(I130,I133)</f>
        <v>-12000</v>
      </c>
      <c r="J134" s="18">
        <f ca="1">-MIN(J130,J133)</f>
        <v>-12000</v>
      </c>
      <c r="K134" s="18">
        <f ca="1">-MIN(K130,K133)</f>
        <v>-12000</v>
      </c>
      <c r="M134" t="s">
        <v>170</v>
      </c>
    </row>
    <row r="135" spans="3:19">
      <c r="C135" s="69" t="s">
        <v>125</v>
      </c>
      <c r="D135" s="67"/>
      <c r="E135" s="67"/>
      <c r="F135" s="67"/>
      <c r="G135" s="62">
        <v>12000</v>
      </c>
      <c r="H135" s="62">
        <v>12000</v>
      </c>
      <c r="I135" s="62">
        <v>12000</v>
      </c>
      <c r="J135" s="62">
        <v>12000</v>
      </c>
      <c r="K135" s="62">
        <v>12000</v>
      </c>
      <c r="M135" t="s">
        <v>124</v>
      </c>
    </row>
    <row r="136" spans="3:19">
      <c r="C136" s="20" t="s">
        <v>28</v>
      </c>
      <c r="D136" s="68">
        <f>D57</f>
        <v>0</v>
      </c>
      <c r="E136" s="68">
        <f>E57</f>
        <v>11977</v>
      </c>
      <c r="F136" s="68">
        <f>F57</f>
        <v>11964</v>
      </c>
      <c r="G136" s="106">
        <f ca="1">SUM(G133:G135)</f>
        <v>12000</v>
      </c>
      <c r="H136" s="106">
        <f ca="1">SUM(H133:H135)</f>
        <v>12000</v>
      </c>
      <c r="I136" s="106">
        <f ca="1">SUM(I133:I135)</f>
        <v>12000</v>
      </c>
      <c r="J136" s="106">
        <f ca="1">SUM(J133:J135)</f>
        <v>12000</v>
      </c>
      <c r="K136" s="106">
        <f ca="1">SUM(K133:K135)</f>
        <v>12000</v>
      </c>
    </row>
    <row r="137" spans="3:19">
      <c r="C137" s="82" t="s">
        <v>117</v>
      </c>
      <c r="D137" s="87"/>
      <c r="E137" s="87"/>
      <c r="F137" s="88"/>
      <c r="G137" s="83" t="str">
        <f ca="1">IF(G136&lt;0,"Negative Debt","OK")</f>
        <v>OK</v>
      </c>
      <c r="H137" s="83" t="str">
        <f ca="1">IF(H136&lt;0,"Negative Debt","OK")</f>
        <v>OK</v>
      </c>
      <c r="I137" s="83" t="str">
        <f ca="1">IF(I136&lt;0,"Negative Debt","OK")</f>
        <v>OK</v>
      </c>
      <c r="J137" s="83" t="str">
        <f ca="1">IF(J136&lt;0,"Negative Debt","OK")</f>
        <v>OK</v>
      </c>
      <c r="K137" s="84" t="str">
        <f ca="1">IF(K136&lt;0,"Negative Debt","OK")</f>
        <v>OK</v>
      </c>
      <c r="S137" s="34"/>
    </row>
    <row r="138" spans="3:19">
      <c r="D138" s="18"/>
      <c r="E138" s="18"/>
      <c r="F138" s="85"/>
      <c r="G138" s="86"/>
      <c r="H138" s="86"/>
      <c r="I138" s="86"/>
      <c r="J138" s="86"/>
      <c r="K138" s="86"/>
      <c r="S138" s="34"/>
    </row>
    <row r="139" spans="3:19">
      <c r="C139" s="5" t="s">
        <v>43</v>
      </c>
      <c r="D139" s="32"/>
      <c r="E139" s="32"/>
      <c r="F139" s="32"/>
      <c r="G139" s="33"/>
      <c r="H139" s="33"/>
      <c r="I139" s="33"/>
      <c r="J139" s="33"/>
      <c r="K139" s="33"/>
      <c r="R139" s="66"/>
    </row>
    <row r="140" spans="3:19">
      <c r="C140" s="26" t="str">
        <f t="shared" ref="C140:K140" si="22">C15</f>
        <v xml:space="preserve">Fiscal year  </v>
      </c>
      <c r="D140" s="23">
        <f t="shared" si="22"/>
        <v>2016</v>
      </c>
      <c r="E140" s="23">
        <f t="shared" si="22"/>
        <v>2017</v>
      </c>
      <c r="F140" s="23">
        <f t="shared" si="22"/>
        <v>2018</v>
      </c>
      <c r="G140" s="24">
        <f t="shared" si="22"/>
        <v>2019</v>
      </c>
      <c r="H140" s="24">
        <f t="shared" si="22"/>
        <v>2020</v>
      </c>
      <c r="I140" s="24">
        <f t="shared" si="22"/>
        <v>2021</v>
      </c>
      <c r="J140" s="24">
        <f t="shared" si="22"/>
        <v>2022</v>
      </c>
      <c r="K140" s="24">
        <f t="shared" si="22"/>
        <v>2023</v>
      </c>
      <c r="R140" s="66"/>
      <c r="S140" s="34"/>
    </row>
    <row r="141" spans="3:19">
      <c r="C141" s="7" t="str">
        <f t="shared" ref="C141:K141" si="23">C16</f>
        <v>Fiscal year end date</v>
      </c>
      <c r="D141" s="25">
        <f t="shared" si="23"/>
        <v>42643</v>
      </c>
      <c r="E141" s="25">
        <f t="shared" si="23"/>
        <v>43008</v>
      </c>
      <c r="F141" s="25">
        <f t="shared" si="23"/>
        <v>43372</v>
      </c>
      <c r="G141" s="25">
        <f t="shared" si="23"/>
        <v>43738</v>
      </c>
      <c r="H141" s="25">
        <f t="shared" si="23"/>
        <v>44104</v>
      </c>
      <c r="I141" s="25">
        <f t="shared" si="23"/>
        <v>44469</v>
      </c>
      <c r="J141" s="25">
        <f t="shared" si="23"/>
        <v>44834</v>
      </c>
      <c r="K141" s="25">
        <f t="shared" si="23"/>
        <v>45199</v>
      </c>
      <c r="R141" s="66"/>
    </row>
    <row r="142" spans="3:19">
      <c r="C142" s="20"/>
      <c r="D142" s="18"/>
      <c r="E142" s="18"/>
      <c r="F142" s="18"/>
      <c r="G142" s="89"/>
      <c r="H142" s="89"/>
      <c r="I142" s="89"/>
      <c r="J142" s="89"/>
      <c r="K142" s="89"/>
      <c r="R142" s="66"/>
    </row>
    <row r="143" spans="3:19">
      <c r="C143" s="28" t="s">
        <v>118</v>
      </c>
      <c r="D143" s="18">
        <f>-(D25)</f>
        <v>1456</v>
      </c>
      <c r="E143" s="18">
        <f>-(E25)</f>
        <v>2323</v>
      </c>
      <c r="F143" s="18">
        <f>-(F25)</f>
        <v>3240</v>
      </c>
      <c r="G143" s="18">
        <f ca="1">G148+G153</f>
        <v>3223.1468651501777</v>
      </c>
      <c r="H143" s="18">
        <f ca="1">H148+H153</f>
        <v>3223.5392651501775</v>
      </c>
      <c r="I143" s="18">
        <f ca="1">I148+I153</f>
        <v>3223.5392651501775</v>
      </c>
      <c r="J143" s="18">
        <f ca="1">J148+J153</f>
        <v>3223.5392651501775</v>
      </c>
      <c r="K143" s="18">
        <f ca="1">K148+K153</f>
        <v>3223.5392651501775</v>
      </c>
      <c r="M143" t="s">
        <v>172</v>
      </c>
      <c r="R143" s="34"/>
    </row>
    <row r="144" spans="3:19">
      <c r="C144" s="39"/>
      <c r="R144" s="34"/>
    </row>
    <row r="145" spans="3:18">
      <c r="C145" s="61" t="s">
        <v>68</v>
      </c>
      <c r="R145" s="34"/>
    </row>
    <row r="146" spans="3:18">
      <c r="C146" s="20" t="s">
        <v>109</v>
      </c>
      <c r="E146" s="37">
        <v>1.2E-2</v>
      </c>
      <c r="F146" s="37">
        <v>2.18E-2</v>
      </c>
      <c r="G146" s="125">
        <f>F146</f>
        <v>2.18E-2</v>
      </c>
      <c r="H146" s="125">
        <f>G146</f>
        <v>2.18E-2</v>
      </c>
      <c r="I146" s="125">
        <f>H146</f>
        <v>2.18E-2</v>
      </c>
      <c r="J146" s="125">
        <f>I146</f>
        <v>2.18E-2</v>
      </c>
      <c r="K146" s="125">
        <f>J146</f>
        <v>2.18E-2</v>
      </c>
      <c r="M146" t="s">
        <v>129</v>
      </c>
    </row>
    <row r="147" spans="3:18">
      <c r="C147" s="20" t="s">
        <v>110</v>
      </c>
      <c r="D147" s="68"/>
      <c r="E147" s="68">
        <f t="shared" ref="E147:K147" si="24">E57</f>
        <v>11977</v>
      </c>
      <c r="F147" s="68">
        <f t="shared" si="24"/>
        <v>11964</v>
      </c>
      <c r="G147" s="18">
        <f t="shared" ca="1" si="24"/>
        <v>12000</v>
      </c>
      <c r="H147" s="18">
        <f t="shared" ca="1" si="24"/>
        <v>12000</v>
      </c>
      <c r="I147" s="18">
        <f t="shared" ca="1" si="24"/>
        <v>12000</v>
      </c>
      <c r="J147" s="18">
        <f t="shared" ca="1" si="24"/>
        <v>12000</v>
      </c>
      <c r="K147" s="18">
        <f t="shared" ca="1" si="24"/>
        <v>12000</v>
      </c>
      <c r="M147" t="s">
        <v>174</v>
      </c>
    </row>
    <row r="148" spans="3:18">
      <c r="C148" s="108" t="s">
        <v>41</v>
      </c>
      <c r="D148" s="18"/>
      <c r="E148" s="29">
        <f>AVERAGE(D147:E147)*E146</f>
        <v>143.72399999999999</v>
      </c>
      <c r="F148" s="29">
        <f>AVERAGE(E147:F147)*F146</f>
        <v>260.95690000000002</v>
      </c>
      <c r="G148" s="109">
        <f ca="1">IF($D$7=1,AVERAGE(F147:G147)*G146,0)</f>
        <v>261.20760000000001</v>
      </c>
      <c r="H148" s="109">
        <f ca="1">IF($D$7=1,AVERAGE(G147:H147)*H146,0)</f>
        <v>261.60000000000002</v>
      </c>
      <c r="I148" s="109">
        <f ca="1">IF($D$7=1,AVERAGE(H147:I147)*I146,0)</f>
        <v>261.60000000000002</v>
      </c>
      <c r="J148" s="109">
        <f ca="1">IF($D$7=1,AVERAGE(I147:J147)*J146,0)</f>
        <v>261.60000000000002</v>
      </c>
      <c r="K148" s="109">
        <f ca="1">IF($D$7=1,AVERAGE(J147:K147)*K146,0)</f>
        <v>261.60000000000002</v>
      </c>
      <c r="M148" t="s">
        <v>173</v>
      </c>
    </row>
    <row r="149" spans="3:18">
      <c r="C149" s="49"/>
      <c r="D149" s="18"/>
      <c r="E149" s="18"/>
      <c r="F149" s="18"/>
    </row>
    <row r="150" spans="3:18">
      <c r="C150" s="61" t="s">
        <v>67</v>
      </c>
      <c r="D150" s="18"/>
      <c r="E150" s="18"/>
      <c r="F150" s="18"/>
    </row>
    <row r="151" spans="3:18">
      <c r="C151" s="20" t="s">
        <v>110</v>
      </c>
      <c r="D151" s="18"/>
      <c r="E151" s="18">
        <f t="shared" ref="E151:K151" si="25">E58</f>
        <v>103703</v>
      </c>
      <c r="F151" s="18">
        <f t="shared" si="25"/>
        <v>102519</v>
      </c>
      <c r="G151" s="18">
        <f t="shared" si="25"/>
        <v>102519</v>
      </c>
      <c r="H151" s="18">
        <f t="shared" si="25"/>
        <v>102519</v>
      </c>
      <c r="I151" s="18">
        <f t="shared" si="25"/>
        <v>102519</v>
      </c>
      <c r="J151" s="18">
        <f t="shared" si="25"/>
        <v>102519</v>
      </c>
      <c r="K151" s="18">
        <f t="shared" si="25"/>
        <v>102519</v>
      </c>
      <c r="M151" t="s">
        <v>175</v>
      </c>
    </row>
    <row r="152" spans="3:18">
      <c r="C152" s="20" t="s">
        <v>109</v>
      </c>
      <c r="E152" s="60">
        <f t="shared" ref="E152" si="26">E153/AVERAGE(D151:E151)</f>
        <v>2.101458974185896E-2</v>
      </c>
      <c r="F152" s="60">
        <f>F153/AVERAGE(E151:F151)</f>
        <v>2.8891612921996681E-2</v>
      </c>
      <c r="G152" s="125">
        <f>F152</f>
        <v>2.8891612921996681E-2</v>
      </c>
      <c r="H152" s="125">
        <f>G152</f>
        <v>2.8891612921996681E-2</v>
      </c>
      <c r="I152" s="125">
        <f>H152</f>
        <v>2.8891612921996681E-2</v>
      </c>
      <c r="J152" s="125">
        <f>I152</f>
        <v>2.8891612921996681E-2</v>
      </c>
      <c r="K152" s="125">
        <f>J152</f>
        <v>2.8891612921996681E-2</v>
      </c>
      <c r="M152" t="s">
        <v>129</v>
      </c>
      <c r="R152" s="66"/>
    </row>
    <row r="153" spans="3:18">
      <c r="C153" s="35" t="s">
        <v>177</v>
      </c>
      <c r="D153" s="29"/>
      <c r="E153" s="29">
        <f>E143-E148</f>
        <v>2179.2759999999998</v>
      </c>
      <c r="F153" s="29">
        <f>F143-F148</f>
        <v>2979.0430999999999</v>
      </c>
      <c r="G153" s="17">
        <f>G152*AVERAGE(F151:G151)</f>
        <v>2961.9392651501776</v>
      </c>
      <c r="H153" s="17">
        <f>H152*AVERAGE(G151:H151)</f>
        <v>2961.9392651501776</v>
      </c>
      <c r="I153" s="17">
        <f>I152*AVERAGE(H151:I151)</f>
        <v>2961.9392651501776</v>
      </c>
      <c r="J153" s="17">
        <f>J152*AVERAGE(I151:J151)</f>
        <v>2961.9392651501776</v>
      </c>
      <c r="K153" s="17">
        <f>K152*AVERAGE(J151:K151)</f>
        <v>2961.9392651501776</v>
      </c>
      <c r="M153" t="s">
        <v>112</v>
      </c>
    </row>
    <row r="154" spans="3:18">
      <c r="E154" s="18"/>
    </row>
    <row r="155" spans="3:18">
      <c r="C155" s="39" t="s">
        <v>42</v>
      </c>
      <c r="E155" s="18"/>
      <c r="F155" s="18"/>
    </row>
    <row r="156" spans="3:18" ht="15" customHeight="1">
      <c r="C156" s="20" t="s">
        <v>113</v>
      </c>
      <c r="D156" s="36">
        <v>1.7299999999999999E-2</v>
      </c>
      <c r="E156" s="37">
        <v>1.9900000000000001E-2</v>
      </c>
      <c r="F156" s="37">
        <v>2.1600000000000001E-2</v>
      </c>
      <c r="G156" s="126">
        <f>F156</f>
        <v>2.1600000000000001E-2</v>
      </c>
      <c r="H156" s="126">
        <f>G156</f>
        <v>2.1600000000000001E-2</v>
      </c>
      <c r="I156" s="126">
        <f>H156</f>
        <v>2.1600000000000001E-2</v>
      </c>
      <c r="J156" s="126">
        <f>I156</f>
        <v>2.1600000000000001E-2</v>
      </c>
      <c r="K156" s="126">
        <f>J156</f>
        <v>2.1600000000000001E-2</v>
      </c>
      <c r="M156" t="s">
        <v>129</v>
      </c>
    </row>
    <row r="157" spans="3:18" ht="15" customHeight="1">
      <c r="C157" s="20" t="s">
        <v>4</v>
      </c>
      <c r="D157" s="18">
        <f>D24</f>
        <v>3999</v>
      </c>
      <c r="E157" s="18">
        <f>E24</f>
        <v>5201</v>
      </c>
      <c r="F157" s="18">
        <f>F24</f>
        <v>5686</v>
      </c>
      <c r="G157" s="15">
        <f ca="1">IF($D$7=1,AVERAGE(F46,G46)*G156,0)</f>
        <v>4744.4371106301642</v>
      </c>
      <c r="H157" s="15">
        <f ca="1">IF($D$7=1,AVERAGE(G46,H46)*H156,0)</f>
        <v>4090.2133392642536</v>
      </c>
      <c r="I157" s="15">
        <f ca="1">IF($D$7=1,AVERAGE(H46,I46)*I156,0)</f>
        <v>3592.0870665130501</v>
      </c>
      <c r="J157" s="15">
        <f ca="1">IF($D$7=1,AVERAGE(I46,J46)*J156,0)</f>
        <v>3200.5876330046767</v>
      </c>
      <c r="K157" s="15">
        <f ca="1">IF($D$7=1,AVERAGE(J46,K46)*K156,0)</f>
        <v>2913.2593167000814</v>
      </c>
      <c r="M157" t="s">
        <v>176</v>
      </c>
    </row>
    <row r="158" spans="3:18">
      <c r="C158" s="41"/>
      <c r="D158" s="60"/>
      <c r="E158" s="60"/>
      <c r="F158" s="60"/>
      <c r="G158" s="60"/>
      <c r="H158" s="60"/>
    </row>
    <row r="159" spans="3:18">
      <c r="C159" s="5" t="s">
        <v>76</v>
      </c>
      <c r="D159" s="5"/>
      <c r="E159" s="5"/>
      <c r="F159" s="5"/>
      <c r="G159" s="5"/>
      <c r="H159" s="5"/>
      <c r="I159" s="5"/>
      <c r="J159" s="5"/>
      <c r="K159" s="5"/>
    </row>
    <row r="160" spans="3:18">
      <c r="C160" s="16"/>
    </row>
    <row r="161" spans="3:16" ht="15.75" thickBot="1">
      <c r="C161" s="44" t="s">
        <v>179</v>
      </c>
      <c r="D161" s="45"/>
      <c r="E161" s="45"/>
      <c r="F161" s="45"/>
      <c r="G161" s="45"/>
      <c r="H161" s="45"/>
      <c r="I161" s="45"/>
    </row>
    <row r="162" spans="3:16">
      <c r="D162" s="16"/>
      <c r="E162" s="161" t="s">
        <v>77</v>
      </c>
      <c r="F162" s="46"/>
      <c r="G162" s="46"/>
      <c r="H162" s="46"/>
      <c r="I162" s="46"/>
    </row>
    <row r="163" spans="3:16" ht="15.75" customHeight="1" thickBot="1">
      <c r="D163" s="114">
        <f ca="1">G29</f>
        <v>52298.506097684869</v>
      </c>
      <c r="E163" s="154">
        <v>-0.05</v>
      </c>
      <c r="F163" s="154">
        <v>-2.5000000000000001E-2</v>
      </c>
      <c r="G163" s="154">
        <v>0</v>
      </c>
      <c r="H163" s="154">
        <v>2.5000000000000001E-2</v>
      </c>
      <c r="I163" s="154">
        <v>0.05</v>
      </c>
    </row>
    <row r="164" spans="3:16">
      <c r="C164" s="47"/>
      <c r="D164" s="155">
        <v>0.39</v>
      </c>
      <c r="E164" s="156">
        <f t="dataTable" ref="E164:I169" dt2D="1" dtr="1" r1="G37" r2="G38" ca="1"/>
        <v>54288.885665875699</v>
      </c>
      <c r="F164" s="156">
        <v>55720.488707046679</v>
      </c>
      <c r="G164" s="156">
        <v>57152.091748217441</v>
      </c>
      <c r="H164" s="156">
        <v>58583.694789388217</v>
      </c>
      <c r="I164" s="156">
        <v>60015.297830558986</v>
      </c>
    </row>
    <row r="165" spans="3:16">
      <c r="C165" s="160" t="s">
        <v>78</v>
      </c>
      <c r="D165" s="155">
        <v>0.38500000000000001</v>
      </c>
      <c r="E165" s="156">
        <v>53232.084561090189</v>
      </c>
      <c r="F165" s="156">
        <v>54635.877046871799</v>
      </c>
      <c r="G165" s="156">
        <v>56039.669532653461</v>
      </c>
      <c r="H165" s="156">
        <v>57443.462018435137</v>
      </c>
      <c r="I165" s="156">
        <v>58847.254504216806</v>
      </c>
    </row>
    <row r="166" spans="3:16">
      <c r="C166" s="160" t="s">
        <v>79</v>
      </c>
      <c r="D166" s="155">
        <v>0.38</v>
      </c>
      <c r="E166" s="156">
        <v>52175.283456304423</v>
      </c>
      <c r="F166" s="156">
        <v>53551.265386696919</v>
      </c>
      <c r="G166" s="156">
        <v>54927.247317089503</v>
      </c>
      <c r="H166" s="156">
        <v>56303.229247482057</v>
      </c>
      <c r="I166" s="156">
        <v>57679.21117787464</v>
      </c>
    </row>
    <row r="167" spans="3:16">
      <c r="C167" s="160" t="s">
        <v>80</v>
      </c>
      <c r="D167" s="155">
        <v>0.375</v>
      </c>
      <c r="E167" s="156">
        <v>51118.482351518644</v>
      </c>
      <c r="F167" s="156">
        <v>52466.653726522054</v>
      </c>
      <c r="G167" s="156">
        <v>53814.825101525523</v>
      </c>
      <c r="H167" s="156">
        <v>55162.996476528984</v>
      </c>
      <c r="I167" s="156">
        <v>56511.16785153246</v>
      </c>
    </row>
    <row r="168" spans="3:16">
      <c r="D168" s="155">
        <v>0.37</v>
      </c>
      <c r="E168" s="156">
        <v>50061.681246732878</v>
      </c>
      <c r="F168" s="156">
        <v>51382.042066347174</v>
      </c>
      <c r="G168" s="156">
        <v>52702.402885961536</v>
      </c>
      <c r="H168" s="156">
        <v>54022.763705575911</v>
      </c>
      <c r="I168" s="156">
        <v>55343.124525190302</v>
      </c>
    </row>
    <row r="169" spans="3:16">
      <c r="D169" s="155">
        <v>0.36499999999999999</v>
      </c>
      <c r="E169" s="156">
        <v>49004.880141947084</v>
      </c>
      <c r="F169" s="156">
        <v>50297.430406172294</v>
      </c>
      <c r="G169" s="156">
        <v>51589.980670397563</v>
      </c>
      <c r="H169" s="156">
        <v>52882.530934622839</v>
      </c>
      <c r="I169" s="156">
        <v>54175.081198848122</v>
      </c>
    </row>
    <row r="171" spans="3:16">
      <c r="C171" s="5" t="s">
        <v>81</v>
      </c>
      <c r="D171" s="5"/>
      <c r="E171" s="5"/>
      <c r="F171" s="5"/>
      <c r="G171" s="5"/>
      <c r="H171" s="5"/>
      <c r="I171" s="5"/>
      <c r="J171" s="5"/>
      <c r="K171" s="5"/>
    </row>
    <row r="172" spans="3:16" ht="15.75" thickBot="1"/>
    <row r="173" spans="3:16" ht="15.75" thickBot="1">
      <c r="C173" t="s">
        <v>184</v>
      </c>
      <c r="D173" s="124" t="str">
        <f>D12</f>
        <v>Base case</v>
      </c>
      <c r="F173" s="122" t="s">
        <v>182</v>
      </c>
      <c r="G173" s="24">
        <f t="shared" ref="G173:K174" si="27">G15</f>
        <v>2019</v>
      </c>
      <c r="H173" s="24">
        <f t="shared" si="27"/>
        <v>2020</v>
      </c>
      <c r="I173" s="24">
        <f t="shared" si="27"/>
        <v>2021</v>
      </c>
      <c r="J173" s="24">
        <f t="shared" si="27"/>
        <v>2022</v>
      </c>
      <c r="K173" s="24">
        <f t="shared" si="27"/>
        <v>2023</v>
      </c>
    </row>
    <row r="174" spans="3:16">
      <c r="E174" s="123"/>
      <c r="F174" s="117" t="s">
        <v>181</v>
      </c>
      <c r="G174" s="25">
        <f t="shared" si="27"/>
        <v>43738</v>
      </c>
      <c r="H174" s="25">
        <f t="shared" si="27"/>
        <v>44104</v>
      </c>
      <c r="I174" s="25">
        <f t="shared" si="27"/>
        <v>44469</v>
      </c>
      <c r="J174" s="25">
        <f t="shared" si="27"/>
        <v>44834</v>
      </c>
      <c r="K174" s="25">
        <f t="shared" si="27"/>
        <v>45199</v>
      </c>
    </row>
    <row r="175" spans="3:16">
      <c r="C175" s="20" t="s">
        <v>1</v>
      </c>
      <c r="F175" s="152" t="str">
        <f ca="1">OFFSET(F$180,MATCH($D$12,$C$181:$C$183,0)+MATCH($C175,$C$180:$C$195,0)-1,0)</f>
        <v>NM</v>
      </c>
      <c r="G175" s="153">
        <f ca="1">OFFSET(G$180,MATCH($D$12,$C$181:$C$183,0)+MATCH($C175,$C$180:$C$195,0)-1,0)</f>
        <v>-0.04</v>
      </c>
      <c r="H175" s="153">
        <f t="shared" ref="H175:K178" ca="1" si="28">OFFSET(H$180,MATCH($D$12,$C$181:$C$183,0)+MATCH($C175,$C$180:$C$195,0)-1,0)</f>
        <v>0.06</v>
      </c>
      <c r="I175" s="153">
        <f t="shared" ca="1" si="28"/>
        <v>6.9000000000000006E-2</v>
      </c>
      <c r="J175" s="153">
        <f t="shared" ca="1" si="28"/>
        <v>6.9000000000000006E-2</v>
      </c>
      <c r="K175" s="153">
        <f t="shared" ca="1" si="28"/>
        <v>6.9000000000000006E-2</v>
      </c>
      <c r="M175" s="146"/>
      <c r="N175" s="146"/>
      <c r="O175" s="146"/>
      <c r="P175" s="146"/>
    </row>
    <row r="176" spans="3:16">
      <c r="C176" s="20" t="s">
        <v>220</v>
      </c>
      <c r="F176" s="152" t="str">
        <f t="shared" ref="F176:G178" ca="1" si="29">OFFSET(F$180,MATCH($D$12,$C$181:$C$183,0)+MATCH($C176,$C$180:$C$195,0)-1,0)</f>
        <v>NM</v>
      </c>
      <c r="G176" s="153">
        <f t="shared" ca="1" si="29"/>
        <v>0.378</v>
      </c>
      <c r="H176" s="153">
        <f t="shared" ca="1" si="28"/>
        <v>0.38100000000000001</v>
      </c>
      <c r="I176" s="153">
        <f t="shared" ca="1" si="28"/>
        <v>0.38200000000000001</v>
      </c>
      <c r="J176" s="153">
        <f t="shared" ca="1" si="28"/>
        <v>0.38200000000000001</v>
      </c>
      <c r="K176" s="153">
        <f t="shared" ca="1" si="28"/>
        <v>0.38200000000000001</v>
      </c>
      <c r="M176" s="146"/>
      <c r="N176" s="146"/>
      <c r="O176" s="146"/>
      <c r="P176" s="146"/>
    </row>
    <row r="177" spans="3:19">
      <c r="C177" s="20" t="s">
        <v>221</v>
      </c>
      <c r="F177" s="152" t="str">
        <f t="shared" ca="1" si="29"/>
        <v>NM</v>
      </c>
      <c r="G177" s="153">
        <f t="shared" ca="1" si="29"/>
        <v>6.2E-2</v>
      </c>
      <c r="H177" s="153">
        <f t="shared" ca="1" si="28"/>
        <v>6.3E-2</v>
      </c>
      <c r="I177" s="153">
        <f t="shared" ca="1" si="28"/>
        <v>6.3E-2</v>
      </c>
      <c r="J177" s="153">
        <f t="shared" ca="1" si="28"/>
        <v>6.3E-2</v>
      </c>
      <c r="K177" s="153">
        <f t="shared" ca="1" si="28"/>
        <v>6.3E-2</v>
      </c>
      <c r="M177" s="146"/>
      <c r="N177" s="146"/>
      <c r="O177" s="146"/>
      <c r="P177" s="146"/>
    </row>
    <row r="178" spans="3:19">
      <c r="C178" s="20" t="s">
        <v>223</v>
      </c>
      <c r="F178" s="152" t="str">
        <f t="shared" ca="1" si="29"/>
        <v>NM</v>
      </c>
      <c r="G178" s="153">
        <f t="shared" ca="1" si="29"/>
        <v>7.3999999999999996E-2</v>
      </c>
      <c r="H178" s="153">
        <f t="shared" ca="1" si="28"/>
        <v>6.9000000000000006E-2</v>
      </c>
      <c r="I178" s="153">
        <f t="shared" ca="1" si="28"/>
        <v>6.9000000000000006E-2</v>
      </c>
      <c r="J178" s="153">
        <f t="shared" ca="1" si="28"/>
        <v>6.9000000000000006E-2</v>
      </c>
      <c r="K178" s="153">
        <f t="shared" ca="1" si="28"/>
        <v>6.9000000000000006E-2</v>
      </c>
      <c r="M178" s="146"/>
      <c r="N178" s="146"/>
      <c r="O178" s="146"/>
      <c r="P178" s="146"/>
    </row>
    <row r="179" spans="3:19">
      <c r="F179" s="118"/>
    </row>
    <row r="180" spans="3:19">
      <c r="C180" s="35" t="s">
        <v>1</v>
      </c>
      <c r="F180" s="118"/>
    </row>
    <row r="181" spans="3:19">
      <c r="C181" s="49" t="s">
        <v>84</v>
      </c>
      <c r="F181" s="119">
        <v>2.5000000000000001E-2</v>
      </c>
      <c r="G181" s="21">
        <f>G182+$F$181</f>
        <v>-1.4999999999999999E-2</v>
      </c>
      <c r="H181" s="21">
        <f>H182+$F$181</f>
        <v>8.4999999999999992E-2</v>
      </c>
      <c r="I181" s="21">
        <f>I182+$F$181</f>
        <v>9.4E-2</v>
      </c>
      <c r="J181" s="21">
        <f>J182+$F$181</f>
        <v>9.4E-2</v>
      </c>
      <c r="K181" s="21">
        <f>K182+$F$181</f>
        <v>9.4E-2</v>
      </c>
    </row>
    <row r="182" spans="3:19">
      <c r="C182" s="49" t="s">
        <v>83</v>
      </c>
      <c r="F182" s="120" t="s">
        <v>180</v>
      </c>
      <c r="G182" s="22">
        <v>-0.04</v>
      </c>
      <c r="H182" s="22">
        <v>0.06</v>
      </c>
      <c r="I182" s="22">
        <v>6.9000000000000006E-2</v>
      </c>
      <c r="J182" s="21">
        <f>I182</f>
        <v>6.9000000000000006E-2</v>
      </c>
      <c r="K182" s="21">
        <f>J182</f>
        <v>6.9000000000000006E-2</v>
      </c>
      <c r="M182" t="s">
        <v>148</v>
      </c>
      <c r="O182" s="22"/>
      <c r="P182" s="22"/>
      <c r="Q182" s="22"/>
      <c r="R182" s="22"/>
      <c r="S182" s="22"/>
    </row>
    <row r="183" spans="3:19">
      <c r="C183" s="49" t="s">
        <v>85</v>
      </c>
      <c r="F183" s="119">
        <v>-2.5000000000000001E-2</v>
      </c>
      <c r="G183" s="21">
        <f>G182+$F$183</f>
        <v>-6.5000000000000002E-2</v>
      </c>
      <c r="H183" s="21">
        <f>H182+$F$183</f>
        <v>3.4999999999999996E-2</v>
      </c>
      <c r="I183" s="21">
        <f>I182+$F$183</f>
        <v>4.4000000000000004E-2</v>
      </c>
      <c r="J183" s="21">
        <f>J182+$F$183</f>
        <v>4.4000000000000004E-2</v>
      </c>
      <c r="K183" s="21">
        <f>K182+$F$183</f>
        <v>4.4000000000000004E-2</v>
      </c>
      <c r="O183" s="22"/>
      <c r="P183" s="22"/>
      <c r="Q183" s="22"/>
      <c r="R183" s="22"/>
      <c r="S183" s="22"/>
    </row>
    <row r="184" spans="3:19">
      <c r="C184" s="35" t="s">
        <v>220</v>
      </c>
      <c r="F184" s="120"/>
      <c r="G184" s="22"/>
      <c r="H184" s="22"/>
      <c r="I184" s="22"/>
      <c r="J184" s="22"/>
      <c r="K184" s="22"/>
      <c r="O184" s="22"/>
      <c r="P184" s="22"/>
      <c r="Q184" s="22"/>
      <c r="R184" s="22"/>
      <c r="S184" s="22"/>
    </row>
    <row r="185" spans="3:19">
      <c r="C185" s="49" t="s">
        <v>84</v>
      </c>
      <c r="F185" s="119">
        <v>0.01</v>
      </c>
      <c r="G185" s="21">
        <f>G186+$F$185</f>
        <v>0.38800000000000001</v>
      </c>
      <c r="H185" s="21">
        <f>H186+$F$185</f>
        <v>0.39100000000000001</v>
      </c>
      <c r="I185" s="21">
        <f>I186+$F$185</f>
        <v>0.39200000000000002</v>
      </c>
      <c r="J185" s="21">
        <f>J186+$F$185</f>
        <v>0.39200000000000002</v>
      </c>
      <c r="K185" s="21">
        <f>K186+$F$185</f>
        <v>0.39200000000000002</v>
      </c>
    </row>
    <row r="186" spans="3:19">
      <c r="C186" s="49" t="s">
        <v>83</v>
      </c>
      <c r="F186" s="120" t="s">
        <v>180</v>
      </c>
      <c r="G186" s="22">
        <v>0.378</v>
      </c>
      <c r="H186" s="22">
        <v>0.38100000000000001</v>
      </c>
      <c r="I186" s="22">
        <v>0.38200000000000001</v>
      </c>
      <c r="J186" s="21">
        <f>I186</f>
        <v>0.38200000000000001</v>
      </c>
      <c r="K186" s="21">
        <f>J186</f>
        <v>0.38200000000000001</v>
      </c>
      <c r="M186" t="s">
        <v>149</v>
      </c>
    </row>
    <row r="187" spans="3:19">
      <c r="C187" s="49" t="s">
        <v>85</v>
      </c>
      <c r="F187" s="119">
        <v>-0.01</v>
      </c>
      <c r="G187" s="21">
        <f>G186+$F$187</f>
        <v>0.36799999999999999</v>
      </c>
      <c r="H187" s="21">
        <f>H186+$F$187</f>
        <v>0.371</v>
      </c>
      <c r="I187" s="21">
        <f>I186+$F$187</f>
        <v>0.372</v>
      </c>
      <c r="J187" s="21">
        <f>J186+$F$187</f>
        <v>0.372</v>
      </c>
      <c r="K187" s="21">
        <f>K186+$F$187</f>
        <v>0.372</v>
      </c>
    </row>
    <row r="188" spans="3:19">
      <c r="C188" s="35" t="s">
        <v>221</v>
      </c>
      <c r="F188" s="120"/>
      <c r="G188" s="50"/>
      <c r="H188" s="50"/>
      <c r="I188" s="50"/>
      <c r="J188" s="50"/>
      <c r="K188" s="50"/>
    </row>
    <row r="189" spans="3:19">
      <c r="C189" s="49" t="s">
        <v>84</v>
      </c>
      <c r="F189" s="119">
        <v>-0.01</v>
      </c>
      <c r="G189" s="21">
        <f>G190+$F$189</f>
        <v>5.1999999999999998E-2</v>
      </c>
      <c r="H189" s="21">
        <f>H190+$F$189</f>
        <v>5.2999999999999999E-2</v>
      </c>
      <c r="I189" s="21">
        <f>I190+$F$189</f>
        <v>5.2999999999999999E-2</v>
      </c>
      <c r="J189" s="21">
        <f>J190+$F$189</f>
        <v>5.2999999999999999E-2</v>
      </c>
      <c r="K189" s="21">
        <f>K190+$F$189</f>
        <v>5.2999999999999999E-2</v>
      </c>
    </row>
    <row r="190" spans="3:19">
      <c r="C190" s="49" t="s">
        <v>83</v>
      </c>
      <c r="F190" s="120" t="s">
        <v>180</v>
      </c>
      <c r="G190" s="22">
        <v>6.2E-2</v>
      </c>
      <c r="H190" s="22">
        <v>6.3E-2</v>
      </c>
      <c r="I190" s="22">
        <v>6.3E-2</v>
      </c>
      <c r="J190" s="21">
        <f>I190</f>
        <v>6.3E-2</v>
      </c>
      <c r="K190" s="21">
        <f>J190</f>
        <v>6.3E-2</v>
      </c>
      <c r="M190" t="s">
        <v>150</v>
      </c>
    </row>
    <row r="191" spans="3:19">
      <c r="C191" s="49" t="s">
        <v>85</v>
      </c>
      <c r="F191" s="119">
        <v>0.01</v>
      </c>
      <c r="G191" s="21">
        <f>G190+$F$191</f>
        <v>7.1999999999999995E-2</v>
      </c>
      <c r="H191" s="21">
        <f>H190+$F$191</f>
        <v>7.2999999999999995E-2</v>
      </c>
      <c r="I191" s="21">
        <f>I190+$F$191</f>
        <v>7.2999999999999995E-2</v>
      </c>
      <c r="J191" s="21">
        <f>J190+$F$191</f>
        <v>7.2999999999999995E-2</v>
      </c>
      <c r="K191" s="21">
        <f>K190+$F$191</f>
        <v>7.2999999999999995E-2</v>
      </c>
    </row>
    <row r="192" spans="3:19">
      <c r="C192" s="35" t="s">
        <v>223</v>
      </c>
      <c r="F192" s="120"/>
      <c r="G192" s="50"/>
      <c r="H192" s="50"/>
      <c r="I192" s="50"/>
      <c r="J192" s="50"/>
      <c r="K192" s="50"/>
    </row>
    <row r="193" spans="3:13">
      <c r="C193" s="49" t="s">
        <v>84</v>
      </c>
      <c r="F193" s="119">
        <v>-0.01</v>
      </c>
      <c r="G193" s="21">
        <f>G194+$F$193</f>
        <v>6.4000000000000001E-2</v>
      </c>
      <c r="H193" s="21">
        <f>H194+$F$193</f>
        <v>5.9000000000000004E-2</v>
      </c>
      <c r="I193" s="21">
        <f>I194+$F$193</f>
        <v>5.9000000000000004E-2</v>
      </c>
      <c r="J193" s="21">
        <f>J194+$F$193</f>
        <v>5.9000000000000004E-2</v>
      </c>
      <c r="K193" s="21">
        <f>K194+$F$193</f>
        <v>5.9000000000000004E-2</v>
      </c>
    </row>
    <row r="194" spans="3:13">
      <c r="C194" s="49" t="s">
        <v>83</v>
      </c>
      <c r="F194" s="120" t="s">
        <v>180</v>
      </c>
      <c r="G194" s="22">
        <v>7.3999999999999996E-2</v>
      </c>
      <c r="H194" s="22">
        <v>6.9000000000000006E-2</v>
      </c>
      <c r="I194" s="22">
        <v>6.9000000000000006E-2</v>
      </c>
      <c r="J194" s="21">
        <f>I194</f>
        <v>6.9000000000000006E-2</v>
      </c>
      <c r="K194" s="21">
        <f>J194</f>
        <v>6.9000000000000006E-2</v>
      </c>
      <c r="M194" t="s">
        <v>150</v>
      </c>
    </row>
    <row r="195" spans="3:13" ht="15.75" thickBot="1">
      <c r="C195" s="49" t="s">
        <v>85</v>
      </c>
      <c r="F195" s="121">
        <v>0.01</v>
      </c>
      <c r="G195" s="21">
        <f>G194+$F$195</f>
        <v>8.3999999999999991E-2</v>
      </c>
      <c r="H195" s="21">
        <f>H194+$F$195</f>
        <v>7.9000000000000001E-2</v>
      </c>
      <c r="I195" s="21">
        <f>I194+$F$195</f>
        <v>7.9000000000000001E-2</v>
      </c>
      <c r="J195" s="21">
        <f>J194+$F$195</f>
        <v>7.9000000000000001E-2</v>
      </c>
      <c r="K195" s="21">
        <f>K194+$F$195</f>
        <v>7.9000000000000001E-2</v>
      </c>
    </row>
    <row r="197" spans="3:13">
      <c r="C197" s="5" t="s">
        <v>204</v>
      </c>
      <c r="D197" s="5"/>
      <c r="E197" s="5"/>
      <c r="F197" s="5"/>
      <c r="G197" s="5"/>
      <c r="H197" s="5"/>
      <c r="I197" s="5"/>
      <c r="J197" s="5"/>
      <c r="K197" s="5"/>
    </row>
    <row r="198" spans="3:13">
      <c r="C198" s="26" t="str">
        <f>C15</f>
        <v xml:space="preserve">Fiscal year  </v>
      </c>
      <c r="D198" s="23">
        <f>D15</f>
        <v>2016</v>
      </c>
      <c r="E198" s="23">
        <f t="shared" ref="E198:K198" si="30">E15</f>
        <v>2017</v>
      </c>
      <c r="F198" s="23">
        <f t="shared" si="30"/>
        <v>2018</v>
      </c>
      <c r="G198" s="24">
        <f t="shared" si="30"/>
        <v>2019</v>
      </c>
      <c r="H198" s="24">
        <f t="shared" si="30"/>
        <v>2020</v>
      </c>
      <c r="I198" s="24">
        <f t="shared" si="30"/>
        <v>2021</v>
      </c>
      <c r="J198" s="24">
        <f t="shared" si="30"/>
        <v>2022</v>
      </c>
      <c r="K198" s="24">
        <f t="shared" si="30"/>
        <v>2023</v>
      </c>
    </row>
    <row r="199" spans="3:13">
      <c r="C199" s="7" t="str">
        <f>C16</f>
        <v>Fiscal year end date</v>
      </c>
      <c r="D199" s="25">
        <f>D16</f>
        <v>42643</v>
      </c>
      <c r="E199" s="25">
        <f t="shared" ref="E199:K199" si="31">E16</f>
        <v>43008</v>
      </c>
      <c r="F199" s="25">
        <f t="shared" si="31"/>
        <v>43372</v>
      </c>
      <c r="G199" s="25">
        <f t="shared" si="31"/>
        <v>43738</v>
      </c>
      <c r="H199" s="25">
        <f t="shared" si="31"/>
        <v>44104</v>
      </c>
      <c r="I199" s="25">
        <f t="shared" si="31"/>
        <v>44469</v>
      </c>
      <c r="J199" s="25">
        <f t="shared" si="31"/>
        <v>44834</v>
      </c>
      <c r="K199" s="25">
        <f t="shared" si="31"/>
        <v>45199</v>
      </c>
    </row>
    <row r="200" spans="3:13">
      <c r="G200" s="22"/>
      <c r="H200" s="22"/>
      <c r="I200" s="22"/>
      <c r="J200" s="21"/>
      <c r="K200" s="21"/>
    </row>
    <row r="201" spans="3:13">
      <c r="C201" t="s">
        <v>2</v>
      </c>
      <c r="D201" s="59">
        <f>D29</f>
        <v>45687</v>
      </c>
      <c r="E201" s="59">
        <f t="shared" ref="E201:K201" si="32">E29</f>
        <v>48351</v>
      </c>
      <c r="F201" s="59">
        <f t="shared" si="32"/>
        <v>59531</v>
      </c>
      <c r="G201" s="59">
        <f t="shared" ca="1" si="32"/>
        <v>52298.506097684869</v>
      </c>
      <c r="H201" s="59">
        <f t="shared" ca="1" si="32"/>
        <v>56209.901259755265</v>
      </c>
      <c r="I201" s="59">
        <f t="shared" ca="1" si="32"/>
        <v>59962.520344688855</v>
      </c>
      <c r="J201" s="59">
        <f t="shared" ca="1" si="32"/>
        <v>63778.752555861291</v>
      </c>
      <c r="K201" s="59">
        <f t="shared" ca="1" si="32"/>
        <v>67967.319174060554</v>
      </c>
      <c r="M201" t="s">
        <v>213</v>
      </c>
    </row>
    <row r="202" spans="3:13">
      <c r="C202" t="s">
        <v>205</v>
      </c>
      <c r="D202" s="58">
        <v>5470.82</v>
      </c>
      <c r="E202" s="58">
        <v>5217.2420000000002</v>
      </c>
      <c r="F202" s="58">
        <v>4955.3770000000004</v>
      </c>
      <c r="G202" s="59">
        <f ca="1">F202+(-G208+G209)/G210</f>
        <v>4577.9903333333341</v>
      </c>
      <c r="H202" s="59">
        <f t="shared" ref="H202:K202" ca="1" si="33">G202+(-H208+H209)/H210</f>
        <v>4251.3139275362328</v>
      </c>
      <c r="I202" s="59">
        <f t="shared" ca="1" si="33"/>
        <v>3968.822555538753</v>
      </c>
      <c r="J202" s="59">
        <f t="shared" ca="1" si="33"/>
        <v>3724.6420125027594</v>
      </c>
      <c r="K202" s="59">
        <f t="shared" ca="1" si="33"/>
        <v>3513.6721082249628</v>
      </c>
      <c r="M202" t="s">
        <v>251</v>
      </c>
    </row>
    <row r="203" spans="3:13">
      <c r="C203" s="16" t="s">
        <v>206</v>
      </c>
      <c r="D203" s="149">
        <f t="shared" ref="D203:K203" si="34">D201/D202</f>
        <v>8.3510333003096431</v>
      </c>
      <c r="E203" s="149">
        <f t="shared" si="34"/>
        <v>9.2675402061088974</v>
      </c>
      <c r="F203" s="149">
        <f t="shared" si="34"/>
        <v>12.0134149228202</v>
      </c>
      <c r="G203" s="149">
        <f t="shared" ca="1" si="34"/>
        <v>11.423900508676958</v>
      </c>
      <c r="H203" s="149">
        <f t="shared" ca="1" si="34"/>
        <v>13.221771484734987</v>
      </c>
      <c r="I203" s="149">
        <f t="shared" ca="1" si="34"/>
        <v>15.108390336324614</v>
      </c>
      <c r="J203" s="149">
        <f t="shared" ca="1" si="34"/>
        <v>17.123458399967248</v>
      </c>
      <c r="K203" s="149">
        <f t="shared" ca="1" si="34"/>
        <v>19.343671543784513</v>
      </c>
      <c r="M203" t="s">
        <v>216</v>
      </c>
    </row>
    <row r="204" spans="3:13">
      <c r="D204" s="3"/>
      <c r="E204" s="3"/>
      <c r="F204" s="3"/>
      <c r="G204" s="18"/>
    </row>
    <row r="205" spans="3:13">
      <c r="C205" t="s">
        <v>207</v>
      </c>
      <c r="D205" s="58">
        <v>5500.2809999999999</v>
      </c>
      <c r="E205" s="58">
        <v>5251.692</v>
      </c>
      <c r="F205" s="58">
        <v>5000.1090000000004</v>
      </c>
      <c r="G205" s="59">
        <f ca="1">G202+F205-F202</f>
        <v>4622.722333333335</v>
      </c>
      <c r="H205" s="59">
        <f t="shared" ref="H205:K205" ca="1" si="35">H202+G205-G202</f>
        <v>4296.0459275362346</v>
      </c>
      <c r="I205" s="59">
        <f t="shared" ca="1" si="35"/>
        <v>4013.5545555387553</v>
      </c>
      <c r="J205" s="59">
        <f t="shared" ca="1" si="35"/>
        <v>3769.3740125027612</v>
      </c>
      <c r="K205" s="59">
        <f t="shared" ca="1" si="35"/>
        <v>3558.4041082249646</v>
      </c>
      <c r="M205" t="s">
        <v>217</v>
      </c>
    </row>
    <row r="206" spans="3:13">
      <c r="C206" s="16" t="s">
        <v>208</v>
      </c>
      <c r="D206" s="149">
        <f>D201/D205</f>
        <v>8.3063028961611227</v>
      </c>
      <c r="E206" s="149">
        <f t="shared" ref="E206:F206" si="36">E201/E205</f>
        <v>9.2067470826545037</v>
      </c>
      <c r="F206" s="149">
        <f t="shared" si="36"/>
        <v>11.905940450498179</v>
      </c>
      <c r="G206" s="149">
        <f t="shared" ref="G206" ca="1" si="37">G201/G205</f>
        <v>11.313356573587162</v>
      </c>
      <c r="H206" s="149">
        <f t="shared" ref="H206" ca="1" si="38">H201/H205</f>
        <v>13.084101568716568</v>
      </c>
      <c r="I206" s="149">
        <f t="shared" ref="I206" ca="1" si="39">I201/I205</f>
        <v>14.940003808329909</v>
      </c>
      <c r="J206" s="149">
        <f t="shared" ref="J206" ca="1" si="40">J201/J205</f>
        <v>16.920250509583671</v>
      </c>
      <c r="K206" s="149">
        <f t="shared" ref="K206" ca="1" si="41">K201/K205</f>
        <v>19.100506043414114</v>
      </c>
      <c r="M206" t="s">
        <v>218</v>
      </c>
    </row>
    <row r="207" spans="3:13">
      <c r="G207" s="147"/>
    </row>
    <row r="208" spans="3:13">
      <c r="C208" t="s">
        <v>214</v>
      </c>
      <c r="G208" s="59">
        <f>-(G119)</f>
        <v>73056</v>
      </c>
      <c r="H208" s="59">
        <f>-(H119)</f>
        <v>73056</v>
      </c>
      <c r="I208" s="59">
        <f>-(I119)</f>
        <v>73056</v>
      </c>
      <c r="J208" s="59">
        <f>-(J119)</f>
        <v>73056</v>
      </c>
      <c r="K208" s="59">
        <f>-(K119)</f>
        <v>73056</v>
      </c>
      <c r="M208" t="s">
        <v>211</v>
      </c>
    </row>
    <row r="209" spans="3:13" ht="15" customHeight="1">
      <c r="C209" t="s">
        <v>215</v>
      </c>
      <c r="G209" s="177">
        <f ca="1">G33</f>
        <v>5126.3999999999996</v>
      </c>
      <c r="H209" s="177">
        <f ca="1">H33</f>
        <v>5433.9839999999995</v>
      </c>
      <c r="I209" s="177">
        <f ca="1">I33</f>
        <v>5808.9288959999994</v>
      </c>
      <c r="J209" s="177">
        <f ca="1">J33</f>
        <v>6209.7449898239993</v>
      </c>
      <c r="K209" s="177">
        <f ca="1">K33</f>
        <v>6638.2173941218552</v>
      </c>
      <c r="M209" t="s">
        <v>212</v>
      </c>
    </row>
    <row r="210" spans="3:13">
      <c r="C210" t="s">
        <v>210</v>
      </c>
      <c r="G210" s="150">
        <v>180</v>
      </c>
      <c r="H210" s="151">
        <f>G210*(1+H211)</f>
        <v>206.99999999999997</v>
      </c>
      <c r="I210" s="151">
        <f>H210*(1+I211)</f>
        <v>238.04999999999995</v>
      </c>
      <c r="J210" s="151">
        <f>I210*(1+J211)</f>
        <v>273.75749999999994</v>
      </c>
      <c r="K210" s="151">
        <f>J210*(1+K211)</f>
        <v>314.82112499999988</v>
      </c>
      <c r="M210" t="s">
        <v>219</v>
      </c>
    </row>
    <row r="211" spans="3:13">
      <c r="C211" t="s">
        <v>209</v>
      </c>
      <c r="H211" s="148">
        <v>0.15</v>
      </c>
      <c r="I211" s="148">
        <v>0.15</v>
      </c>
      <c r="J211" s="148">
        <v>0.15</v>
      </c>
      <c r="K211" s="148">
        <v>0.15</v>
      </c>
      <c r="M211" t="s">
        <v>252</v>
      </c>
    </row>
    <row r="212" spans="3:13" ht="15.75" thickBot="1">
      <c r="C212" s="189" t="s">
        <v>253</v>
      </c>
      <c r="D212" s="45"/>
      <c r="E212" s="45"/>
      <c r="F212" s="45"/>
      <c r="G212" s="45"/>
      <c r="H212" s="45"/>
      <c r="I212" s="45"/>
      <c r="J212" s="45"/>
      <c r="K212" s="45"/>
    </row>
    <row r="213" spans="3:13">
      <c r="C213" s="16" t="s">
        <v>229</v>
      </c>
      <c r="D213" s="16"/>
      <c r="E213" s="16"/>
      <c r="F213" s="47" t="s">
        <v>237</v>
      </c>
      <c r="G213" s="188">
        <f>D11</f>
        <v>4745.3980000000001</v>
      </c>
      <c r="H213" s="100">
        <f ca="1">G215</f>
        <v>4368.0113333333338</v>
      </c>
      <c r="I213" s="100">
        <f t="shared" ref="I213:K213" ca="1" si="42">H215</f>
        <v>4041.3349275362325</v>
      </c>
      <c r="J213" s="100">
        <f t="shared" ca="1" si="42"/>
        <v>3758.8435555387528</v>
      </c>
      <c r="K213" s="100">
        <f t="shared" ca="1" si="42"/>
        <v>3514.6630125027591</v>
      </c>
      <c r="M213" t="s">
        <v>238</v>
      </c>
    </row>
    <row r="214" spans="3:13">
      <c r="C214" t="s">
        <v>230</v>
      </c>
      <c r="G214" s="59">
        <f ca="1">(-G208+G209)/G210</f>
        <v>-377.38666666666671</v>
      </c>
      <c r="H214" s="59">
        <f t="shared" ref="H214:K214" ca="1" si="43">(-H208+H209)/H210</f>
        <v>-326.67640579710149</v>
      </c>
      <c r="I214" s="59">
        <f t="shared" ca="1" si="43"/>
        <v>-282.49137199747958</v>
      </c>
      <c r="J214" s="59">
        <f t="shared" ca="1" si="43"/>
        <v>-244.18054303599359</v>
      </c>
      <c r="K214" s="59">
        <f t="shared" ca="1" si="43"/>
        <v>-210.96990427779639</v>
      </c>
      <c r="M214" t="s">
        <v>239</v>
      </c>
    </row>
    <row r="215" spans="3:13">
      <c r="C215" t="s">
        <v>231</v>
      </c>
      <c r="G215" s="59">
        <f ca="1">SUM(G213:G214)</f>
        <v>4368.0113333333338</v>
      </c>
      <c r="H215" s="59">
        <f t="shared" ref="H215:K215" ca="1" si="44">SUM(H213:H214)</f>
        <v>4041.3349275362325</v>
      </c>
      <c r="I215" s="59">
        <f t="shared" ca="1" si="44"/>
        <v>3758.8435555387528</v>
      </c>
      <c r="J215" s="59">
        <f t="shared" ca="1" si="44"/>
        <v>3514.6630125027591</v>
      </c>
      <c r="K215" s="59">
        <f t="shared" ca="1" si="44"/>
        <v>3303.6931082249625</v>
      </c>
      <c r="M215" t="s">
        <v>240</v>
      </c>
    </row>
    <row r="216" spans="3:13">
      <c r="C216" s="16" t="s">
        <v>232</v>
      </c>
      <c r="D216" s="16"/>
      <c r="E216" s="16"/>
      <c r="F216" s="16"/>
      <c r="G216" s="100">
        <f ca="1">AVERAGE(G215,G213)</f>
        <v>4556.7046666666665</v>
      </c>
      <c r="H216" s="100">
        <f t="shared" ref="H216:K216" ca="1" si="45">AVERAGE(H215,H213)</f>
        <v>4204.6731304347832</v>
      </c>
      <c r="I216" s="100">
        <f t="shared" ca="1" si="45"/>
        <v>3900.0892415374929</v>
      </c>
      <c r="J216" s="100">
        <f t="shared" ca="1" si="45"/>
        <v>3636.7532840207559</v>
      </c>
      <c r="K216" s="100">
        <f t="shared" ca="1" si="45"/>
        <v>3409.1780603638608</v>
      </c>
      <c r="M216" t="s">
        <v>241</v>
      </c>
    </row>
    <row r="217" spans="3:13" ht="15.75" thickBot="1">
      <c r="C217" s="189" t="s">
        <v>254</v>
      </c>
      <c r="D217" s="45"/>
      <c r="E217" s="45"/>
      <c r="F217" s="45"/>
      <c r="G217" s="45"/>
      <c r="H217" s="45"/>
      <c r="I217" s="45"/>
      <c r="J217" s="45"/>
      <c r="K217" s="45"/>
      <c r="M217" s="19"/>
    </row>
    <row r="218" spans="3:13">
      <c r="C218" s="16" t="s">
        <v>2</v>
      </c>
      <c r="D218" s="100">
        <f>D29</f>
        <v>45687</v>
      </c>
      <c r="E218" s="100">
        <f t="shared" ref="E218:K218" si="46">E29</f>
        <v>48351</v>
      </c>
      <c r="F218" s="100">
        <f t="shared" si="46"/>
        <v>59531</v>
      </c>
      <c r="G218" s="100">
        <f t="shared" ca="1" si="46"/>
        <v>52298.506097684869</v>
      </c>
      <c r="H218" s="100">
        <f t="shared" ca="1" si="46"/>
        <v>56209.901259755265</v>
      </c>
      <c r="I218" s="100">
        <f t="shared" ca="1" si="46"/>
        <v>59962.520344688855</v>
      </c>
      <c r="J218" s="100">
        <f t="shared" ca="1" si="46"/>
        <v>63778.752555861291</v>
      </c>
      <c r="K218" s="100">
        <f t="shared" ca="1" si="46"/>
        <v>67967.319174060554</v>
      </c>
      <c r="M218" t="s">
        <v>242</v>
      </c>
    </row>
    <row r="219" spans="3:13">
      <c r="C219" s="20" t="s">
        <v>233</v>
      </c>
      <c r="E219" s="172">
        <f>E218/D218-1</f>
        <v>5.830980366406191E-2</v>
      </c>
      <c r="F219" s="165">
        <f t="shared" ref="F219:K219" si="47">F218/E218-1</f>
        <v>0.23122582780087275</v>
      </c>
      <c r="G219" s="165">
        <f t="shared" ca="1" si="47"/>
        <v>-0.12149122141934676</v>
      </c>
      <c r="H219" s="165">
        <f t="shared" ca="1" si="47"/>
        <v>7.4789806706229145E-2</v>
      </c>
      <c r="I219" s="165">
        <f t="shared" ca="1" si="47"/>
        <v>6.6760819728042486E-2</v>
      </c>
      <c r="J219" s="165">
        <f t="shared" ca="1" si="47"/>
        <v>6.3643625872214615E-2</v>
      </c>
      <c r="K219" s="165">
        <f t="shared" ca="1" si="47"/>
        <v>6.567338573344883E-2</v>
      </c>
      <c r="M219" t="s">
        <v>243</v>
      </c>
    </row>
    <row r="222" spans="3:13">
      <c r="G222" s="147"/>
    </row>
  </sheetData>
  <conditionalFormatting sqref="C40">
    <cfRule type="expression" dxfId="5" priority="3">
      <formula>#REF!=$C40</formula>
    </cfRule>
  </conditionalFormatting>
  <conditionalFormatting sqref="C178">
    <cfRule type="expression" dxfId="4" priority="1">
      <formula>#REF!=$C178</formula>
    </cfRule>
  </conditionalFormatting>
  <conditionalFormatting sqref="C192">
    <cfRule type="expression" dxfId="3" priority="2">
      <formula>#REF!=$C192</formula>
    </cfRule>
  </conditionalFormatting>
  <dataValidations disablePrompts="1" count="3">
    <dataValidation type="list" allowBlank="1" showInputMessage="1" showErrorMessage="1" sqref="D7" xr:uid="{B45F508E-62FE-4C13-BDC4-DAF07368D71A}">
      <formula1>"0,1"</formula1>
    </dataValidation>
    <dataValidation type="list" allowBlank="1" showInputMessage="1" showErrorMessage="1" sqref="D12" xr:uid="{85F5158F-6614-4C45-896B-851B10B36308}">
      <formula1>$C$181:$C$183</formula1>
    </dataValidation>
    <dataValidation type="list" allowBlank="1" showInputMessage="1" showErrorMessage="1" sqref="C3" xr:uid="{1054AA75-E00E-4B70-B00A-97007A761817}">
      <formula1>"$ bns except per share, $ mm except per share,$ in thousands except per share"</formula1>
    </dataValidation>
  </dataValidations>
  <pageMargins left="0.7" right="0.7" top="0.75" bottom="0.75" header="0.3" footer="0.3"/>
  <pageSetup scale="2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B553-EEAE-44F7-8810-4E228EFAC781}">
  <sheetPr>
    <pageSetUpPr fitToPage="1"/>
  </sheetPr>
  <dimension ref="C2:R54"/>
  <sheetViews>
    <sheetView zoomScaleNormal="100" workbookViewId="0">
      <selection activeCell="T50" sqref="C7:T50"/>
    </sheetView>
  </sheetViews>
  <sheetFormatPr defaultRowHeight="15"/>
  <cols>
    <col min="1" max="2" width="1.7109375" customWidth="1"/>
    <col min="3" max="3" width="27.42578125" customWidth="1"/>
    <col min="6" max="6" width="11.42578125" customWidth="1"/>
    <col min="7" max="11" width="10.85546875" customWidth="1"/>
    <col min="12" max="12" width="2.5703125" customWidth="1"/>
    <col min="14" max="14" width="29.5703125" bestFit="1" customWidth="1"/>
    <col min="15" max="15" width="12.42578125" bestFit="1" customWidth="1"/>
    <col min="16" max="16" width="10" bestFit="1" customWidth="1"/>
  </cols>
  <sheetData>
    <row r="2" spans="3:17">
      <c r="C2" s="5" t="s">
        <v>190</v>
      </c>
      <c r="D2" s="6"/>
      <c r="E2" s="7"/>
      <c r="F2" s="7"/>
      <c r="G2" s="7"/>
      <c r="H2" s="7"/>
      <c r="I2" s="7"/>
      <c r="J2" s="7"/>
      <c r="K2" s="7"/>
    </row>
    <row r="3" spans="3:17">
      <c r="C3" t="str">
        <f>Extras!C15</f>
        <v xml:space="preserve">Fiscal year  </v>
      </c>
      <c r="D3" s="23">
        <f>Extras!D15</f>
        <v>2016</v>
      </c>
      <c r="E3" s="23">
        <f>Extras!E15</f>
        <v>2017</v>
      </c>
      <c r="F3" s="23">
        <f>Extras!F15</f>
        <v>2018</v>
      </c>
      <c r="G3" s="24">
        <f>Extras!G15</f>
        <v>2019</v>
      </c>
      <c r="H3" s="24">
        <f>Extras!H15</f>
        <v>2020</v>
      </c>
      <c r="I3" s="24">
        <f>Extras!I15</f>
        <v>2021</v>
      </c>
      <c r="J3" s="24">
        <f>Extras!J15</f>
        <v>2022</v>
      </c>
      <c r="K3" s="24">
        <f>Extras!K15</f>
        <v>2023</v>
      </c>
    </row>
    <row r="4" spans="3:17">
      <c r="C4" s="12" t="str">
        <f>Extras!C16</f>
        <v>Fiscal year end date</v>
      </c>
      <c r="D4" s="142">
        <f>Extras!D16</f>
        <v>42643</v>
      </c>
      <c r="E4" s="142">
        <f>Extras!E16</f>
        <v>43008</v>
      </c>
      <c r="F4" s="142">
        <f>Extras!F16</f>
        <v>43372</v>
      </c>
      <c r="G4" s="142">
        <f>Extras!G16</f>
        <v>43738</v>
      </c>
      <c r="H4" s="142">
        <f>Extras!H16</f>
        <v>44104</v>
      </c>
      <c r="I4" s="142">
        <f>Extras!I16</f>
        <v>44469</v>
      </c>
      <c r="J4" s="142">
        <f>Extras!J16</f>
        <v>44834</v>
      </c>
      <c r="K4" s="142">
        <f>Extras!K16</f>
        <v>45199</v>
      </c>
    </row>
    <row r="5" spans="3:17" ht="15" customHeight="1">
      <c r="C5" s="143" t="s">
        <v>199</v>
      </c>
      <c r="D5" s="144"/>
      <c r="E5" s="144"/>
      <c r="F5" s="144"/>
      <c r="G5" s="144"/>
      <c r="H5" s="144"/>
      <c r="I5" s="144"/>
      <c r="J5" s="144"/>
      <c r="K5" s="144"/>
    </row>
    <row r="6" spans="3:17" ht="15" customHeight="1">
      <c r="C6" s="145" t="s">
        <v>201</v>
      </c>
      <c r="D6" s="1"/>
      <c r="E6" s="1"/>
      <c r="F6" s="1"/>
      <c r="G6" s="162"/>
      <c r="H6" s="163"/>
      <c r="I6" s="163"/>
      <c r="J6" s="163"/>
      <c r="K6" s="157"/>
    </row>
    <row r="7" spans="3:17">
      <c r="C7" s="20" t="s">
        <v>185</v>
      </c>
      <c r="D7" s="3">
        <v>136700</v>
      </c>
      <c r="E7" s="3">
        <v>141319</v>
      </c>
      <c r="F7" s="3">
        <v>166699</v>
      </c>
      <c r="G7" s="59">
        <f t="shared" ref="G7:K9" si="0">G17*G22/1000</f>
        <v>137570.4</v>
      </c>
      <c r="H7" s="59">
        <f t="shared" si="0"/>
        <v>138388</v>
      </c>
      <c r="I7" s="59">
        <f t="shared" si="0"/>
        <v>138388</v>
      </c>
      <c r="J7" s="59">
        <f t="shared" si="0"/>
        <v>138388</v>
      </c>
      <c r="K7" s="59">
        <f t="shared" si="0"/>
        <v>138388</v>
      </c>
      <c r="P7" s="129"/>
    </row>
    <row r="8" spans="3:17">
      <c r="C8" s="20" t="s">
        <v>186</v>
      </c>
      <c r="D8" s="3">
        <v>20628</v>
      </c>
      <c r="E8" s="3">
        <v>19222</v>
      </c>
      <c r="F8" s="3">
        <v>18805</v>
      </c>
      <c r="G8" s="59">
        <f t="shared" si="0"/>
        <v>20222.921699999999</v>
      </c>
      <c r="H8" s="59">
        <f t="shared" si="0"/>
        <v>20475.904200000001</v>
      </c>
      <c r="I8" s="59">
        <f t="shared" si="0"/>
        <v>20475.904200000001</v>
      </c>
      <c r="J8" s="59">
        <f t="shared" si="0"/>
        <v>20475.904200000001</v>
      </c>
      <c r="K8" s="59">
        <f t="shared" si="0"/>
        <v>20475.904200000001</v>
      </c>
      <c r="O8" s="34"/>
      <c r="P8" s="34"/>
    </row>
    <row r="9" spans="3:17">
      <c r="C9" s="20" t="s">
        <v>187</v>
      </c>
      <c r="D9" s="3">
        <v>22831</v>
      </c>
      <c r="E9" s="3">
        <v>25850</v>
      </c>
      <c r="F9" s="3">
        <v>25484</v>
      </c>
      <c r="G9" s="59">
        <f t="shared" si="0"/>
        <v>26515.16</v>
      </c>
      <c r="H9" s="59">
        <f t="shared" si="0"/>
        <v>26642.880000000001</v>
      </c>
      <c r="I9" s="59">
        <f t="shared" si="0"/>
        <v>26642.880000000001</v>
      </c>
      <c r="J9" s="59">
        <f t="shared" si="0"/>
        <v>26642.880000000001</v>
      </c>
      <c r="K9" s="59">
        <f t="shared" si="0"/>
        <v>26642.880000000001</v>
      </c>
      <c r="O9" s="34"/>
      <c r="P9" s="34"/>
    </row>
    <row r="10" spans="3:17">
      <c r="C10" s="20"/>
      <c r="D10" s="57"/>
      <c r="E10" s="57"/>
      <c r="F10" s="158"/>
      <c r="G10" s="15"/>
      <c r="H10" s="15"/>
      <c r="I10" s="15"/>
      <c r="J10" s="15"/>
      <c r="K10" s="159"/>
      <c r="O10" s="34"/>
      <c r="P10" s="34"/>
    </row>
    <row r="11" spans="3:17">
      <c r="C11" s="20" t="s">
        <v>191</v>
      </c>
      <c r="D11" s="3">
        <v>24348</v>
      </c>
      <c r="E11" s="3">
        <v>29980</v>
      </c>
      <c r="F11" s="178">
        <v>37190</v>
      </c>
      <c r="G11" s="3">
        <v>45603</v>
      </c>
      <c r="H11" s="3">
        <v>53592</v>
      </c>
      <c r="I11" s="59">
        <f>H11*(1+I40)</f>
        <v>62980.559700019738</v>
      </c>
      <c r="J11" s="59">
        <f t="shared" ref="J11:K11" si="1">I11*(1+J40)</f>
        <v>74013.862145987281</v>
      </c>
      <c r="K11" s="59">
        <f t="shared" si="1"/>
        <v>86980.042982429892</v>
      </c>
      <c r="M11" t="s">
        <v>244</v>
      </c>
      <c r="O11" s="34"/>
      <c r="P11" s="34"/>
    </row>
    <row r="12" spans="3:17">
      <c r="C12" s="20" t="s">
        <v>192</v>
      </c>
      <c r="D12" s="3">
        <v>11132</v>
      </c>
      <c r="E12" s="3">
        <v>12863</v>
      </c>
      <c r="F12" s="178">
        <v>17417</v>
      </c>
      <c r="G12" s="3">
        <v>23079</v>
      </c>
      <c r="H12" s="3">
        <v>26278</v>
      </c>
      <c r="I12" s="59">
        <f t="shared" ref="I12:K12" si="2">H12*(1+I41)</f>
        <v>29920.416135881103</v>
      </c>
      <c r="J12" s="59">
        <f t="shared" si="2"/>
        <v>34067.710698846728</v>
      </c>
      <c r="K12" s="59">
        <f t="shared" si="2"/>
        <v>38789.865321040525</v>
      </c>
      <c r="M12" t="s">
        <v>244</v>
      </c>
      <c r="O12" s="34"/>
      <c r="P12" s="34"/>
      <c r="Q12" s="34"/>
    </row>
    <row r="13" spans="3:17">
      <c r="C13" s="16" t="s">
        <v>200</v>
      </c>
      <c r="D13" s="179">
        <f>SUM(D7:D9)+SUM(D11:D12)</f>
        <v>215639</v>
      </c>
      <c r="E13" s="179">
        <f t="shared" ref="E13:K13" si="3">SUM(E7:E9)+SUM(E11:E12)</f>
        <v>229234</v>
      </c>
      <c r="F13" s="180">
        <f t="shared" si="3"/>
        <v>265595</v>
      </c>
      <c r="G13" s="179">
        <f t="shared" si="3"/>
        <v>252990.4817</v>
      </c>
      <c r="H13" s="179">
        <f t="shared" si="3"/>
        <v>265376.78419999999</v>
      </c>
      <c r="I13" s="179">
        <f t="shared" si="3"/>
        <v>278407.76003590086</v>
      </c>
      <c r="J13" s="179">
        <f t="shared" si="3"/>
        <v>293588.357044834</v>
      </c>
      <c r="K13" s="180">
        <f t="shared" si="3"/>
        <v>311276.6925034704</v>
      </c>
      <c r="Q13" s="34"/>
    </row>
    <row r="14" spans="3:17">
      <c r="C14" s="49" t="s">
        <v>188</v>
      </c>
      <c r="E14" s="4">
        <f t="shared" ref="E14:K14" si="4">E13/D13-1</f>
        <v>6.304518199398057E-2</v>
      </c>
      <c r="F14" s="74">
        <f t="shared" si="4"/>
        <v>0.15861957650261305</v>
      </c>
      <c r="G14" s="4">
        <f t="shared" si="4"/>
        <v>-4.7457664112652731E-2</v>
      </c>
      <c r="H14" s="4">
        <f t="shared" si="4"/>
        <v>4.8959559335073566E-2</v>
      </c>
      <c r="I14" s="4">
        <f t="shared" si="4"/>
        <v>4.9103676778599281E-2</v>
      </c>
      <c r="J14" s="4">
        <f t="shared" si="4"/>
        <v>5.452648664310078E-2</v>
      </c>
      <c r="K14" s="74">
        <f t="shared" si="4"/>
        <v>6.0248763393349503E-2</v>
      </c>
      <c r="Q14" s="34"/>
    </row>
    <row r="15" spans="3:17">
      <c r="C15" s="49"/>
      <c r="E15" s="4"/>
      <c r="F15" s="74"/>
      <c r="G15" s="4"/>
      <c r="H15" s="4"/>
      <c r="I15" s="4"/>
      <c r="J15" s="4"/>
      <c r="K15" s="74"/>
    </row>
    <row r="16" spans="3:17">
      <c r="C16" s="139" t="s">
        <v>189</v>
      </c>
      <c r="D16" s="67"/>
      <c r="E16" s="67"/>
      <c r="F16" s="141"/>
      <c r="G16" s="67"/>
      <c r="H16" s="67"/>
      <c r="I16" s="67"/>
      <c r="J16" s="67"/>
      <c r="K16" s="141"/>
      <c r="Q16" s="34"/>
    </row>
    <row r="17" spans="3:18">
      <c r="C17" s="20" t="s">
        <v>185</v>
      </c>
      <c r="D17" s="3">
        <v>211884</v>
      </c>
      <c r="E17" s="3">
        <v>216756</v>
      </c>
      <c r="F17" s="178">
        <v>217722</v>
      </c>
      <c r="G17" s="3">
        <v>173700</v>
      </c>
      <c r="H17" s="3">
        <v>190880</v>
      </c>
      <c r="I17" s="3">
        <v>190880</v>
      </c>
      <c r="J17" s="3">
        <v>190880</v>
      </c>
      <c r="K17" s="178">
        <v>190880</v>
      </c>
      <c r="M17" t="s">
        <v>196</v>
      </c>
      <c r="Q17" s="34"/>
      <c r="R17" s="34"/>
    </row>
    <row r="18" spans="3:18">
      <c r="C18" s="20" t="s">
        <v>186</v>
      </c>
      <c r="D18" s="3">
        <v>45590</v>
      </c>
      <c r="E18" s="3">
        <v>43753</v>
      </c>
      <c r="F18" s="178">
        <v>43535</v>
      </c>
      <c r="G18" s="3">
        <v>46170</v>
      </c>
      <c r="H18" s="3">
        <v>49260</v>
      </c>
      <c r="I18" s="3">
        <v>49260</v>
      </c>
      <c r="J18" s="3">
        <v>49260</v>
      </c>
      <c r="K18" s="178">
        <v>49260</v>
      </c>
      <c r="M18" t="s">
        <v>196</v>
      </c>
      <c r="Q18" s="34"/>
    </row>
    <row r="19" spans="3:18">
      <c r="C19" s="20" t="s">
        <v>187</v>
      </c>
      <c r="D19" s="3">
        <v>18484</v>
      </c>
      <c r="E19" s="3">
        <v>19251</v>
      </c>
      <c r="F19" s="178">
        <v>18209</v>
      </c>
      <c r="G19" s="3">
        <v>19670</v>
      </c>
      <c r="H19" s="3">
        <v>19140</v>
      </c>
      <c r="I19" s="3">
        <v>19140</v>
      </c>
      <c r="J19" s="3">
        <v>19140</v>
      </c>
      <c r="K19" s="178">
        <v>19140</v>
      </c>
      <c r="M19" t="s">
        <v>196</v>
      </c>
      <c r="Q19" s="34"/>
    </row>
    <row r="20" spans="3:18">
      <c r="F20" s="73"/>
      <c r="K20" s="73"/>
      <c r="Q20" s="34"/>
    </row>
    <row r="21" spans="3:18">
      <c r="C21" s="139" t="s">
        <v>194</v>
      </c>
      <c r="D21" s="67"/>
      <c r="E21" s="67"/>
      <c r="F21" s="141"/>
      <c r="G21" s="67"/>
      <c r="H21" s="67"/>
      <c r="I21" s="67"/>
      <c r="J21" s="67"/>
      <c r="K21" s="141"/>
      <c r="P21" s="34"/>
      <c r="Q21" s="34"/>
      <c r="R21" s="34"/>
    </row>
    <row r="22" spans="3:18">
      <c r="C22" s="20" t="s">
        <v>185</v>
      </c>
      <c r="D22" s="181">
        <f t="shared" ref="D22:F24" si="5">D7/D17*1000</f>
        <v>645.16433520228043</v>
      </c>
      <c r="E22" s="181">
        <f t="shared" si="5"/>
        <v>651.97272509180823</v>
      </c>
      <c r="F22" s="181">
        <f t="shared" si="5"/>
        <v>765.65069216707548</v>
      </c>
      <c r="G22" s="130">
        <v>792</v>
      </c>
      <c r="H22" s="131">
        <v>725</v>
      </c>
      <c r="I22" s="131">
        <v>725</v>
      </c>
      <c r="J22" s="131">
        <v>725</v>
      </c>
      <c r="K22" s="132">
        <v>725</v>
      </c>
      <c r="M22" t="s">
        <v>196</v>
      </c>
      <c r="P22" s="34"/>
    </row>
    <row r="23" spans="3:18">
      <c r="C23" s="20" t="s">
        <v>186</v>
      </c>
      <c r="D23" s="181">
        <f t="shared" si="5"/>
        <v>452.46764641368719</v>
      </c>
      <c r="E23" s="181">
        <f t="shared" si="5"/>
        <v>439.32987452288984</v>
      </c>
      <c r="F23" s="181">
        <f t="shared" si="5"/>
        <v>431.95130354886874</v>
      </c>
      <c r="G23" s="130">
        <v>438.01</v>
      </c>
      <c r="H23" s="131">
        <v>415.67</v>
      </c>
      <c r="I23" s="131">
        <v>415.67</v>
      </c>
      <c r="J23" s="131">
        <v>415.67</v>
      </c>
      <c r="K23" s="132">
        <v>415.67</v>
      </c>
      <c r="M23" t="s">
        <v>196</v>
      </c>
    </row>
    <row r="24" spans="3:18">
      <c r="C24" s="20" t="s">
        <v>187</v>
      </c>
      <c r="D24" s="181">
        <f t="shared" si="5"/>
        <v>1235.1763687513526</v>
      </c>
      <c r="E24" s="181">
        <f t="shared" si="5"/>
        <v>1342.7873876681731</v>
      </c>
      <c r="F24" s="181">
        <f t="shared" si="5"/>
        <v>1399.5277060794112</v>
      </c>
      <c r="G24" s="130">
        <v>1348</v>
      </c>
      <c r="H24" s="131">
        <v>1392</v>
      </c>
      <c r="I24" s="131">
        <v>1392</v>
      </c>
      <c r="J24" s="131">
        <v>1392</v>
      </c>
      <c r="K24" s="132">
        <v>1392</v>
      </c>
      <c r="M24" t="s">
        <v>196</v>
      </c>
    </row>
    <row r="25" spans="3:18">
      <c r="C25" s="20"/>
      <c r="D25" s="127"/>
      <c r="E25" s="127"/>
      <c r="F25" s="127"/>
      <c r="G25" s="130"/>
      <c r="H25" s="131"/>
      <c r="I25" s="131"/>
      <c r="J25" s="131"/>
      <c r="K25" s="132"/>
    </row>
    <row r="26" spans="3:18">
      <c r="C26" s="139" t="s">
        <v>193</v>
      </c>
      <c r="D26" s="67"/>
      <c r="E26" s="67"/>
      <c r="F26" s="67"/>
      <c r="G26" s="140"/>
      <c r="H26" s="67"/>
      <c r="I26" s="67"/>
      <c r="J26" s="67"/>
      <c r="K26" s="141"/>
      <c r="P26" s="34"/>
    </row>
    <row r="27" spans="3:18">
      <c r="C27" s="20" t="s">
        <v>185</v>
      </c>
      <c r="D27" s="57"/>
      <c r="E27" s="21">
        <f t="shared" ref="E27:K29" si="6">E17/D17-1</f>
        <v>2.2993713541371585E-2</v>
      </c>
      <c r="F27" s="21">
        <f t="shared" si="6"/>
        <v>4.4566240380889965E-3</v>
      </c>
      <c r="G27" s="72">
        <f t="shared" si="6"/>
        <v>-0.20219362306060018</v>
      </c>
      <c r="H27" s="21">
        <f t="shared" si="6"/>
        <v>9.8906160046056346E-2</v>
      </c>
      <c r="I27" s="21">
        <f t="shared" si="6"/>
        <v>0</v>
      </c>
      <c r="J27" s="21">
        <f t="shared" si="6"/>
        <v>0</v>
      </c>
      <c r="K27" s="75">
        <f t="shared" si="6"/>
        <v>0</v>
      </c>
    </row>
    <row r="28" spans="3:18">
      <c r="C28" s="20" t="s">
        <v>186</v>
      </c>
      <c r="E28" s="21">
        <f t="shared" si="6"/>
        <v>-4.0293924106163614E-2</v>
      </c>
      <c r="F28" s="21">
        <f t="shared" si="6"/>
        <v>-4.98251548465245E-3</v>
      </c>
      <c r="G28" s="72">
        <f t="shared" si="6"/>
        <v>6.052601355231424E-2</v>
      </c>
      <c r="H28" s="21">
        <f t="shared" si="6"/>
        <v>6.6926575698505575E-2</v>
      </c>
      <c r="I28" s="21">
        <f t="shared" si="6"/>
        <v>0</v>
      </c>
      <c r="J28" s="21">
        <f t="shared" si="6"/>
        <v>0</v>
      </c>
      <c r="K28" s="75">
        <f t="shared" si="6"/>
        <v>0</v>
      </c>
    </row>
    <row r="29" spans="3:18">
      <c r="C29" s="20" t="s">
        <v>187</v>
      </c>
      <c r="D29" s="57"/>
      <c r="E29" s="21">
        <f t="shared" si="6"/>
        <v>4.1495347327418219E-2</v>
      </c>
      <c r="F29" s="21">
        <f t="shared" si="6"/>
        <v>-5.4127058334631939E-2</v>
      </c>
      <c r="G29" s="72">
        <f t="shared" si="6"/>
        <v>8.0235048602339543E-2</v>
      </c>
      <c r="H29" s="21">
        <f t="shared" si="6"/>
        <v>-2.6944585663446818E-2</v>
      </c>
      <c r="I29" s="21">
        <f t="shared" si="6"/>
        <v>0</v>
      </c>
      <c r="J29" s="21">
        <f t="shared" si="6"/>
        <v>0</v>
      </c>
      <c r="K29" s="75">
        <f t="shared" si="6"/>
        <v>0</v>
      </c>
    </row>
    <row r="30" spans="3:18">
      <c r="C30" s="49"/>
      <c r="G30" s="71"/>
      <c r="K30" s="73"/>
      <c r="P30" s="34"/>
    </row>
    <row r="31" spans="3:18">
      <c r="C31" s="16" t="s">
        <v>195</v>
      </c>
      <c r="G31" s="71"/>
      <c r="K31" s="73"/>
    </row>
    <row r="32" spans="3:18">
      <c r="C32" s="20" t="s">
        <v>185</v>
      </c>
      <c r="D32" s="128"/>
      <c r="E32" s="21">
        <f t="shared" ref="E32:F34" si="7">E22/D22-1</f>
        <v>1.0552954523428637E-2</v>
      </c>
      <c r="F32" s="21">
        <f t="shared" si="7"/>
        <v>0.17436000418462227</v>
      </c>
      <c r="G32" s="72">
        <f t="shared" ref="G32:K34" si="8">G22/F22-1</f>
        <v>3.4414267632079332E-2</v>
      </c>
      <c r="H32" s="21">
        <f t="shared" si="8"/>
        <v>-8.4595959595959558E-2</v>
      </c>
      <c r="I32" s="21">
        <f t="shared" si="8"/>
        <v>0</v>
      </c>
      <c r="J32" s="21">
        <f t="shared" si="8"/>
        <v>0</v>
      </c>
      <c r="K32" s="75">
        <f t="shared" si="8"/>
        <v>0</v>
      </c>
    </row>
    <row r="33" spans="3:13">
      <c r="C33" s="20" t="s">
        <v>186</v>
      </c>
      <c r="D33" s="128"/>
      <c r="E33" s="21">
        <f t="shared" si="7"/>
        <v>-2.9035826085972993E-2</v>
      </c>
      <c r="F33" s="21">
        <f t="shared" si="7"/>
        <v>-1.6795058569677779E-2</v>
      </c>
      <c r="G33" s="72">
        <f t="shared" si="8"/>
        <v>1.4026341398564179E-2</v>
      </c>
      <c r="H33" s="21">
        <f t="shared" si="8"/>
        <v>-5.1003401748818455E-2</v>
      </c>
      <c r="I33" s="21">
        <f t="shared" si="8"/>
        <v>0</v>
      </c>
      <c r="J33" s="21">
        <f t="shared" si="8"/>
        <v>0</v>
      </c>
      <c r="K33" s="75">
        <f t="shared" si="8"/>
        <v>0</v>
      </c>
    </row>
    <row r="34" spans="3:13">
      <c r="C34" s="20" t="s">
        <v>187</v>
      </c>
      <c r="D34" s="128"/>
      <c r="E34" s="21">
        <f t="shared" si="7"/>
        <v>8.7121986494613113E-2</v>
      </c>
      <c r="F34" s="21">
        <f t="shared" si="7"/>
        <v>4.2255623587417634E-2</v>
      </c>
      <c r="G34" s="72">
        <f t="shared" si="8"/>
        <v>-3.6817924972531779E-2</v>
      </c>
      <c r="H34" s="21">
        <f t="shared" si="8"/>
        <v>3.2640949554896048E-2</v>
      </c>
      <c r="I34" s="21">
        <f t="shared" si="8"/>
        <v>0</v>
      </c>
      <c r="J34" s="21">
        <f t="shared" si="8"/>
        <v>0</v>
      </c>
      <c r="K34" s="75">
        <f t="shared" si="8"/>
        <v>0</v>
      </c>
    </row>
    <row r="35" spans="3:13">
      <c r="G35" s="71"/>
      <c r="K35" s="73"/>
    </row>
    <row r="36" spans="3:13">
      <c r="C36" s="35" t="s">
        <v>198</v>
      </c>
      <c r="G36" s="71"/>
      <c r="K36" s="73"/>
    </row>
    <row r="37" spans="3:13">
      <c r="C37" s="20" t="s">
        <v>185</v>
      </c>
      <c r="E37" s="60">
        <f t="shared" ref="E37:K37" si="9">E7/D7-1</f>
        <v>3.3789319678127372E-2</v>
      </c>
      <c r="F37" s="60">
        <f t="shared" si="9"/>
        <v>0.1795936852086415</v>
      </c>
      <c r="G37" s="133">
        <f t="shared" si="9"/>
        <v>-0.17473770088602814</v>
      </c>
      <c r="H37" s="60">
        <f t="shared" si="9"/>
        <v>5.9431389310491411E-3</v>
      </c>
      <c r="I37" s="60">
        <f t="shared" si="9"/>
        <v>0</v>
      </c>
      <c r="J37" s="60">
        <f t="shared" si="9"/>
        <v>0</v>
      </c>
      <c r="K37" s="134">
        <f t="shared" si="9"/>
        <v>0</v>
      </c>
    </row>
    <row r="38" spans="3:13">
      <c r="C38" s="20" t="s">
        <v>186</v>
      </c>
      <c r="E38" s="60">
        <f t="shared" ref="E38:K38" si="10">E8/D8-1</f>
        <v>-6.8159782819468662E-2</v>
      </c>
      <c r="F38" s="60">
        <f t="shared" si="10"/>
        <v>-2.169389241494124E-2</v>
      </c>
      <c r="G38" s="133">
        <f t="shared" si="10"/>
        <v>7.5401313480457199E-2</v>
      </c>
      <c r="H38" s="60">
        <f t="shared" si="10"/>
        <v>1.2509690921663541E-2</v>
      </c>
      <c r="I38" s="60">
        <f t="shared" si="10"/>
        <v>0</v>
      </c>
      <c r="J38" s="60">
        <f t="shared" si="10"/>
        <v>0</v>
      </c>
      <c r="K38" s="134">
        <f t="shared" si="10"/>
        <v>0</v>
      </c>
    </row>
    <row r="39" spans="3:13">
      <c r="C39" s="20" t="s">
        <v>187</v>
      </c>
      <c r="E39" s="60">
        <f t="shared" ref="E39:K39" si="11">E9/D9-1</f>
        <v>0.13223249091148004</v>
      </c>
      <c r="F39" s="60">
        <f t="shared" si="11"/>
        <v>-1.4158607350096664E-2</v>
      </c>
      <c r="G39" s="133">
        <f t="shared" si="11"/>
        <v>4.0463035630199373E-2</v>
      </c>
      <c r="H39" s="60">
        <f t="shared" si="11"/>
        <v>4.8168670300312577E-3</v>
      </c>
      <c r="I39" s="60">
        <f t="shared" si="11"/>
        <v>0</v>
      </c>
      <c r="J39" s="60">
        <f t="shared" si="11"/>
        <v>0</v>
      </c>
      <c r="K39" s="134">
        <f t="shared" si="11"/>
        <v>0</v>
      </c>
    </row>
    <row r="40" spans="3:13">
      <c r="C40" s="20" t="s">
        <v>191</v>
      </c>
      <c r="D40" s="4"/>
      <c r="E40" s="60">
        <f t="shared" ref="E40:H41" si="12">E11/D11-1</f>
        <v>0.23131263348118947</v>
      </c>
      <c r="F40" s="60">
        <f t="shared" si="12"/>
        <v>0.24049366244162784</v>
      </c>
      <c r="G40" s="135">
        <f t="shared" si="12"/>
        <v>0.22621672492605538</v>
      </c>
      <c r="H40" s="136">
        <f t="shared" si="12"/>
        <v>0.17518584303664242</v>
      </c>
      <c r="I40" s="55">
        <f>H40</f>
        <v>0.17518584303664242</v>
      </c>
      <c r="J40" s="55">
        <f t="shared" ref="J40:K40" si="13">I40</f>
        <v>0.17518584303664242</v>
      </c>
      <c r="K40" s="55">
        <f t="shared" si="13"/>
        <v>0.17518584303664242</v>
      </c>
      <c r="M40" t="s">
        <v>197</v>
      </c>
    </row>
    <row r="41" spans="3:13">
      <c r="C41" s="20" t="s">
        <v>192</v>
      </c>
      <c r="D41" s="4"/>
      <c r="E41" s="60">
        <f t="shared" si="12"/>
        <v>0.15549766439094492</v>
      </c>
      <c r="F41" s="60">
        <f t="shared" si="12"/>
        <v>0.35403871569618284</v>
      </c>
      <c r="G41" s="137">
        <f t="shared" si="12"/>
        <v>0.32508468737440421</v>
      </c>
      <c r="H41" s="138">
        <f t="shared" si="12"/>
        <v>0.13861085835608122</v>
      </c>
      <c r="I41" s="55">
        <f t="shared" ref="I41:K41" si="14">H41</f>
        <v>0.13861085835608122</v>
      </c>
      <c r="J41" s="55">
        <f t="shared" si="14"/>
        <v>0.13861085835608122</v>
      </c>
      <c r="K41" s="55">
        <f t="shared" si="14"/>
        <v>0.13861085835608122</v>
      </c>
      <c r="M41" t="s">
        <v>197</v>
      </c>
    </row>
    <row r="43" spans="3:13">
      <c r="M43" t="s">
        <v>202</v>
      </c>
    </row>
    <row r="44" spans="3:13">
      <c r="M44" t="s">
        <v>203</v>
      </c>
    </row>
    <row r="47" spans="3:13" ht="15" customHeight="1"/>
    <row r="49" ht="15" customHeight="1"/>
    <row r="50" ht="15" customHeight="1"/>
    <row r="52" ht="15" customHeight="1"/>
    <row r="53" ht="15" customHeight="1"/>
    <row r="54" ht="15.75" customHeight="1"/>
  </sheetData>
  <pageMargins left="0.7" right="0.7" top="0.75" bottom="0.75" header="0.3" footer="0.3"/>
  <pageSetup scale="4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0268-28DB-4710-99C9-0B499A8FEEA3}">
  <sheetPr>
    <pageSetUpPr fitToPage="1"/>
  </sheetPr>
  <dimension ref="C1:U203"/>
  <sheetViews>
    <sheetView zoomScale="130" zoomScaleNormal="130" workbookViewId="0">
      <selection activeCell="B2" sqref="B2:W204"/>
    </sheetView>
  </sheetViews>
  <sheetFormatPr defaultColWidth="8.85546875" defaultRowHeight="15"/>
  <cols>
    <col min="1" max="2" width="1.7109375" customWidth="1"/>
    <col min="3" max="3" width="46.7109375" bestFit="1" customWidth="1"/>
    <col min="4" max="4" width="12.42578125" bestFit="1" customWidth="1"/>
    <col min="5" max="12" width="11.42578125" customWidth="1"/>
    <col min="13" max="13" width="3.28515625" customWidth="1"/>
    <col min="14" max="14" width="11.85546875" customWidth="1"/>
    <col min="15" max="17" width="10.28515625" bestFit="1" customWidth="1"/>
    <col min="18" max="19" width="9.42578125" bestFit="1" customWidth="1"/>
  </cols>
  <sheetData>
    <row r="1" spans="3:20" ht="15.75" thickBot="1"/>
    <row r="2" spans="3:20" ht="15.75" thickBot="1">
      <c r="C2" s="63" t="str">
        <f>"Financial Statement Model for "&amp;D5</f>
        <v>Financial Statement Model for Apple</v>
      </c>
      <c r="D2" s="48"/>
      <c r="E2" s="48"/>
      <c r="F2" s="48"/>
      <c r="G2" s="48"/>
      <c r="H2" s="48"/>
      <c r="I2" s="48"/>
      <c r="J2" s="48"/>
      <c r="K2" s="48"/>
      <c r="L2" s="48"/>
    </row>
    <row r="3" spans="3:20">
      <c r="C3" s="2" t="s">
        <v>46</v>
      </c>
      <c r="D3" s="40"/>
      <c r="E3" s="40"/>
      <c r="F3" s="40"/>
      <c r="G3" s="40"/>
      <c r="H3" s="40"/>
    </row>
    <row r="5" spans="3:20">
      <c r="C5" s="1" t="s">
        <v>5</v>
      </c>
      <c r="D5" s="77" t="s">
        <v>50</v>
      </c>
      <c r="I5" t="s">
        <v>82</v>
      </c>
      <c r="L5" s="78" t="s">
        <v>83</v>
      </c>
    </row>
    <row r="6" spans="3:20">
      <c r="C6" s="1" t="s">
        <v>6</v>
      </c>
      <c r="D6" s="77" t="s">
        <v>51</v>
      </c>
    </row>
    <row r="7" spans="3:20">
      <c r="C7" t="s">
        <v>107</v>
      </c>
      <c r="D7" s="78">
        <v>1</v>
      </c>
    </row>
    <row r="8" spans="3:20">
      <c r="C8" t="s">
        <v>73</v>
      </c>
      <c r="D8" s="79">
        <v>293.64999999999998</v>
      </c>
    </row>
    <row r="9" spans="3:20">
      <c r="C9" t="s">
        <v>9</v>
      </c>
      <c r="D9" s="80">
        <v>43830</v>
      </c>
    </row>
    <row r="10" spans="3:20">
      <c r="C10" s="1" t="s">
        <v>8</v>
      </c>
      <c r="D10" s="81">
        <v>43737</v>
      </c>
    </row>
    <row r="11" spans="3:20" ht="15" customHeight="1">
      <c r="C11" t="s">
        <v>228</v>
      </c>
      <c r="D11" s="93">
        <v>4443.2650000000003</v>
      </c>
    </row>
    <row r="13" spans="3:20">
      <c r="C13" s="5" t="s">
        <v>19</v>
      </c>
      <c r="D13" s="7"/>
      <c r="E13" s="7"/>
      <c r="F13" s="7"/>
      <c r="G13" s="7"/>
      <c r="H13" s="7"/>
      <c r="I13" s="7"/>
      <c r="J13" s="7"/>
      <c r="K13" s="7"/>
      <c r="L13" s="7"/>
    </row>
    <row r="14" spans="3:20">
      <c r="C14" t="s">
        <v>10</v>
      </c>
      <c r="D14" s="8">
        <f>E14-1</f>
        <v>2016</v>
      </c>
      <c r="E14" s="8">
        <f>F14-1</f>
        <v>2017</v>
      </c>
      <c r="F14" s="8">
        <f>G14-1</f>
        <v>2018</v>
      </c>
      <c r="G14" s="8">
        <f>YEAR(D10)</f>
        <v>2019</v>
      </c>
      <c r="H14" s="9">
        <f>G14+1</f>
        <v>2020</v>
      </c>
      <c r="I14" s="9">
        <f>H14+1</f>
        <v>2021</v>
      </c>
      <c r="J14" s="9">
        <f>I14+1</f>
        <v>2022</v>
      </c>
      <c r="K14" s="9">
        <f>J14+1</f>
        <v>2023</v>
      </c>
      <c r="L14" s="9">
        <f>K14+1</f>
        <v>2024</v>
      </c>
    </row>
    <row r="15" spans="3:20">
      <c r="C15" s="10" t="s">
        <v>7</v>
      </c>
      <c r="D15" s="56">
        <f>EOMONTH(E15,-12)</f>
        <v>42643</v>
      </c>
      <c r="E15" s="56">
        <f>EOMONTH(F15,-12)</f>
        <v>43008</v>
      </c>
      <c r="F15" s="56">
        <v>43372</v>
      </c>
      <c r="G15" s="56">
        <f>D10</f>
        <v>43737</v>
      </c>
      <c r="H15" s="56">
        <f>EOMONTH(G15,12)</f>
        <v>44104</v>
      </c>
      <c r="I15" s="56">
        <f>EOMONTH(H15,12)</f>
        <v>44469</v>
      </c>
      <c r="J15" s="56">
        <f>EOMONTH(I15,12)</f>
        <v>44834</v>
      </c>
      <c r="K15" s="56">
        <f>EOMONTH(J15,12)</f>
        <v>45199</v>
      </c>
      <c r="L15" s="56">
        <f>EOMONTH(K15,12)</f>
        <v>45565</v>
      </c>
      <c r="N15" s="51"/>
      <c r="O15" s="64"/>
      <c r="P15" s="64"/>
      <c r="Q15" s="64"/>
      <c r="R15" s="64"/>
      <c r="S15" s="64"/>
      <c r="T15" s="64"/>
    </row>
    <row r="16" spans="3:20">
      <c r="C16" s="12"/>
      <c r="D16" s="12"/>
      <c r="E16" s="13"/>
      <c r="F16" s="14"/>
      <c r="G16" s="14"/>
      <c r="H16" s="52"/>
      <c r="I16" s="53"/>
      <c r="J16" s="53"/>
      <c r="K16" s="14"/>
      <c r="L16" s="14"/>
    </row>
    <row r="17" spans="3:15">
      <c r="C17" t="s">
        <v>11</v>
      </c>
      <c r="D17" s="3">
        <v>215639</v>
      </c>
      <c r="E17" s="3">
        <v>229234</v>
      </c>
      <c r="F17" s="3">
        <v>265595</v>
      </c>
      <c r="G17" s="3">
        <v>260174</v>
      </c>
      <c r="H17" s="15">
        <f ca="1">G17*(1+H36)</f>
        <v>275784.44</v>
      </c>
      <c r="I17" s="15">
        <f ca="1">H17*(1+I36)</f>
        <v>294813.56636</v>
      </c>
      <c r="J17" s="15">
        <f ca="1">I17*(1+J36)</f>
        <v>315155.70243884</v>
      </c>
      <c r="K17" s="15">
        <f ca="1">J17*(1+K36)</f>
        <v>336901.44590711995</v>
      </c>
      <c r="L17" s="15">
        <f ca="1">K17*(1+L36)</f>
        <v>360147.64567471121</v>
      </c>
      <c r="N17" t="s">
        <v>86</v>
      </c>
    </row>
    <row r="18" spans="3:15">
      <c r="C18" t="s">
        <v>14</v>
      </c>
      <c r="D18" s="3">
        <v>-131376</v>
      </c>
      <c r="E18" s="3">
        <v>-141048</v>
      </c>
      <c r="F18" s="3">
        <v>-163756</v>
      </c>
      <c r="G18" s="3">
        <v>-161782</v>
      </c>
      <c r="H18" s="15">
        <f ca="1">H19-H17</f>
        <v>-171537.92168</v>
      </c>
      <c r="I18" s="15">
        <f ca="1">I19-I17</f>
        <v>-183374.03827592</v>
      </c>
      <c r="J18" s="15">
        <f ca="1">J19-J17</f>
        <v>-196026.84691695849</v>
      </c>
      <c r="K18" s="15">
        <f ca="1">K19-K17</f>
        <v>-209552.69935422862</v>
      </c>
      <c r="L18" s="15">
        <f ca="1">L19-L17</f>
        <v>-224011.83560967038</v>
      </c>
      <c r="N18" t="s">
        <v>87</v>
      </c>
    </row>
    <row r="19" spans="3:15">
      <c r="C19" s="16" t="s">
        <v>13</v>
      </c>
      <c r="D19" s="17">
        <f>SUM(D17:D18)</f>
        <v>84263</v>
      </c>
      <c r="E19" s="17">
        <f>SUM(E17:E18)</f>
        <v>88186</v>
      </c>
      <c r="F19" s="17">
        <f>SUM(F17:F18)</f>
        <v>101839</v>
      </c>
      <c r="G19" s="17">
        <f>SUM(G17:G18)</f>
        <v>98392</v>
      </c>
      <c r="H19" s="17">
        <f ca="1">H17*H37</f>
        <v>104246.51832</v>
      </c>
      <c r="I19" s="17">
        <f ca="1">I17*I37</f>
        <v>111439.52808408</v>
      </c>
      <c r="J19" s="17">
        <f ca="1">J17*J37</f>
        <v>119128.85552188152</v>
      </c>
      <c r="K19" s="17">
        <f ca="1">K17*K37</f>
        <v>127348.74655289135</v>
      </c>
      <c r="L19" s="17">
        <f ca="1">L17*L37</f>
        <v>136135.81006504083</v>
      </c>
      <c r="N19" s="54" t="s">
        <v>88</v>
      </c>
    </row>
    <row r="20" spans="3:15">
      <c r="C20" t="s">
        <v>52</v>
      </c>
      <c r="D20" s="3">
        <v>-10045</v>
      </c>
      <c r="E20" s="3">
        <v>-11581</v>
      </c>
      <c r="F20" s="3">
        <v>-14236</v>
      </c>
      <c r="G20" s="3">
        <v>-16217</v>
      </c>
      <c r="H20" s="15">
        <f ca="1">-H38*H17</f>
        <v>-17098.635279999999</v>
      </c>
      <c r="I20" s="15">
        <f ca="1">-I38*I17</f>
        <v>-18278.441114320001</v>
      </c>
      <c r="J20" s="15">
        <f ca="1">-J38*J17</f>
        <v>-19539.653551208081</v>
      </c>
      <c r="K20" s="15">
        <f ca="1">-K38*K17</f>
        <v>-20887.889646241438</v>
      </c>
      <c r="L20" s="15">
        <f ca="1">-L38*L17</f>
        <v>-22329.154031832095</v>
      </c>
      <c r="N20" s="54" t="s">
        <v>222</v>
      </c>
    </row>
    <row r="21" spans="3:15">
      <c r="C21" t="s">
        <v>16</v>
      </c>
      <c r="D21" s="3">
        <v>-14194</v>
      </c>
      <c r="E21" s="3">
        <v>-15261</v>
      </c>
      <c r="F21" s="3">
        <v>-16705</v>
      </c>
      <c r="G21" s="3">
        <v>-18245</v>
      </c>
      <c r="H21" s="15">
        <f ca="1">-H17*H39</f>
        <v>-19304.910800000001</v>
      </c>
      <c r="I21" s="15">
        <f ca="1">-I17*I39</f>
        <v>-20636.949645200002</v>
      </c>
      <c r="J21" s="15">
        <f ca="1">-J17*J39</f>
        <v>-22060.899170718803</v>
      </c>
      <c r="K21" s="15">
        <f ca="1">-K17*K39</f>
        <v>-23583.101213498398</v>
      </c>
      <c r="L21" s="15">
        <f ca="1">-L17*L39</f>
        <v>-25210.335197229786</v>
      </c>
      <c r="N21" s="54" t="s">
        <v>224</v>
      </c>
    </row>
    <row r="22" spans="3:15">
      <c r="C22" s="16" t="s">
        <v>3</v>
      </c>
      <c r="D22" s="17">
        <f t="shared" ref="D22" si="0">D19+D20+D21</f>
        <v>60024</v>
      </c>
      <c r="E22" s="17">
        <f>E19+E20+E21</f>
        <v>61344</v>
      </c>
      <c r="F22" s="17">
        <f>F19+F20+F21</f>
        <v>70898</v>
      </c>
      <c r="G22" s="17">
        <f>G19+G20+G21</f>
        <v>63930</v>
      </c>
      <c r="H22" s="17">
        <f t="shared" ref="H22:L22" ca="1" si="1">H19+H20+H21</f>
        <v>67842.972240000003</v>
      </c>
      <c r="I22" s="17">
        <f ca="1">I19+I20+I21</f>
        <v>72524.137324559997</v>
      </c>
      <c r="J22" s="17">
        <f t="shared" ca="1" si="1"/>
        <v>77528.302799954632</v>
      </c>
      <c r="K22" s="17">
        <f t="shared" ca="1" si="1"/>
        <v>82877.755693151499</v>
      </c>
      <c r="L22" s="17">
        <f t="shared" ca="1" si="1"/>
        <v>88596.320835978957</v>
      </c>
      <c r="N22" s="16" t="s">
        <v>89</v>
      </c>
    </row>
    <row r="23" spans="3:15">
      <c r="C23" t="s">
        <v>4</v>
      </c>
      <c r="D23" s="3">
        <v>3999</v>
      </c>
      <c r="E23" s="3">
        <v>5201</v>
      </c>
      <c r="F23" s="3">
        <v>5686</v>
      </c>
      <c r="G23" s="3">
        <v>4961</v>
      </c>
      <c r="H23" s="18">
        <f ca="1">H156</f>
        <v>4386.8465720646718</v>
      </c>
      <c r="I23" s="18">
        <f t="shared" ref="I23:L23" ca="1" si="2">I156</f>
        <v>4119.4834223149901</v>
      </c>
      <c r="J23" s="18">
        <f t="shared" ca="1" si="2"/>
        <v>3871.0561664626944</v>
      </c>
      <c r="K23" s="18">
        <f t="shared" ca="1" si="2"/>
        <v>3709.7511405767555</v>
      </c>
      <c r="L23" s="18">
        <f t="shared" ca="1" si="2"/>
        <v>3643.4636987454537</v>
      </c>
      <c r="N23" t="s">
        <v>94</v>
      </c>
    </row>
    <row r="24" spans="3:15">
      <c r="C24" t="s">
        <v>17</v>
      </c>
      <c r="D24" s="3">
        <v>-1456</v>
      </c>
      <c r="E24" s="3">
        <v>-2323</v>
      </c>
      <c r="F24" s="3">
        <v>-3240</v>
      </c>
      <c r="G24" s="3">
        <v>-3576</v>
      </c>
      <c r="H24" s="18">
        <f ca="1">-H142</f>
        <v>-3568.9466179543074</v>
      </c>
      <c r="I24" s="18">
        <f t="shared" ref="I24:L24" ca="1" si="3">-I142</f>
        <v>-3636.3706179543074</v>
      </c>
      <c r="J24" s="18">
        <f t="shared" ca="1" si="3"/>
        <v>-3636.3706179543074</v>
      </c>
      <c r="K24" s="18">
        <f t="shared" ca="1" si="3"/>
        <v>-3636.3706179543074</v>
      </c>
      <c r="L24" s="18">
        <f t="shared" ca="1" si="3"/>
        <v>-3636.3706179543074</v>
      </c>
      <c r="N24" t="s">
        <v>93</v>
      </c>
    </row>
    <row r="25" spans="3:15">
      <c r="C25" t="s">
        <v>53</v>
      </c>
      <c r="D25" s="3">
        <v>-1195</v>
      </c>
      <c r="E25" s="3">
        <v>-133</v>
      </c>
      <c r="F25" s="3">
        <v>-441</v>
      </c>
      <c r="G25" s="3">
        <v>422</v>
      </c>
      <c r="H25" s="18">
        <f>G25</f>
        <v>422</v>
      </c>
      <c r="I25" s="18">
        <f>H25</f>
        <v>422</v>
      </c>
      <c r="J25" s="18">
        <f>I25</f>
        <v>422</v>
      </c>
      <c r="K25" s="18">
        <f>J25</f>
        <v>422</v>
      </c>
      <c r="L25" s="18">
        <f>K25</f>
        <v>422</v>
      </c>
      <c r="N25" t="s">
        <v>90</v>
      </c>
    </row>
    <row r="26" spans="3:15">
      <c r="C26" s="16" t="s">
        <v>12</v>
      </c>
      <c r="D26" s="17">
        <f t="shared" ref="D26" si="4">SUM(D22:D25)</f>
        <v>61372</v>
      </c>
      <c r="E26" s="17">
        <f>SUM(E22:E25)</f>
        <v>64089</v>
      </c>
      <c r="F26" s="17">
        <f>SUM(F22:F25)</f>
        <v>72903</v>
      </c>
      <c r="G26" s="17">
        <f>SUM(G22:G25)</f>
        <v>65737</v>
      </c>
      <c r="H26" s="17">
        <f ca="1">SUM(H22:H25)</f>
        <v>69082.872194110372</v>
      </c>
      <c r="I26" s="17">
        <f ca="1">SUM(I22:I25)</f>
        <v>73429.250128920685</v>
      </c>
      <c r="J26" s="17">
        <f t="shared" ref="J26:L26" ca="1" si="5">SUM(J22:J25)</f>
        <v>78184.988348463012</v>
      </c>
      <c r="K26" s="17">
        <f t="shared" ca="1" si="5"/>
        <v>83373.13621577395</v>
      </c>
      <c r="L26" s="17">
        <f t="shared" ca="1" si="5"/>
        <v>89025.413916770107</v>
      </c>
      <c r="N26" s="16" t="s">
        <v>95</v>
      </c>
      <c r="O26" s="16"/>
    </row>
    <row r="27" spans="3:15">
      <c r="C27" t="s">
        <v>15</v>
      </c>
      <c r="D27" s="3">
        <v>-15685</v>
      </c>
      <c r="E27" s="3">
        <v>-15738</v>
      </c>
      <c r="F27" s="3">
        <v>-13372</v>
      </c>
      <c r="G27" s="3">
        <v>-10481</v>
      </c>
      <c r="H27" s="15">
        <f ca="1">-H40*H26</f>
        <v>-11014.460402307237</v>
      </c>
      <c r="I27" s="15">
        <f ca="1">-I40*I26</f>
        <v>-11707.439807128676</v>
      </c>
      <c r="J27" s="15">
        <f ca="1">-J40*J26</f>
        <v>-12465.686947689139</v>
      </c>
      <c r="K27" s="15">
        <f ca="1">-K40*K26</f>
        <v>-13292.876776815596</v>
      </c>
      <c r="L27" s="15">
        <f ca="1">-L40*L26</f>
        <v>-14194.066709184593</v>
      </c>
      <c r="N27" t="s">
        <v>91</v>
      </c>
    </row>
    <row r="28" spans="3:15">
      <c r="C28" s="16" t="s">
        <v>2</v>
      </c>
      <c r="D28" s="17">
        <f t="shared" ref="D28" si="6">SUM(D26:D27)</f>
        <v>45687</v>
      </c>
      <c r="E28" s="17">
        <f t="shared" ref="E28" si="7">SUM(E26:E27)</f>
        <v>48351</v>
      </c>
      <c r="F28" s="17">
        <f t="shared" ref="F28" si="8">SUM(F26:F27)</f>
        <v>59531</v>
      </c>
      <c r="G28" s="17">
        <f t="shared" ref="G28:L28" si="9">SUM(G26:G27)</f>
        <v>55256</v>
      </c>
      <c r="H28" s="17">
        <f t="shared" ca="1" si="9"/>
        <v>58068.411791803133</v>
      </c>
      <c r="I28" s="17">
        <f t="shared" ca="1" si="9"/>
        <v>61721.810321792007</v>
      </c>
      <c r="J28" s="17">
        <f t="shared" ca="1" si="9"/>
        <v>65719.301400773867</v>
      </c>
      <c r="K28" s="17">
        <f t="shared" ca="1" si="9"/>
        <v>70080.259438958354</v>
      </c>
      <c r="L28" s="17">
        <f t="shared" ca="1" si="9"/>
        <v>74831.34720758551</v>
      </c>
      <c r="N28" s="16" t="s">
        <v>92</v>
      </c>
    </row>
    <row r="29" spans="3:15">
      <c r="C29" s="20"/>
      <c r="D29" s="18"/>
      <c r="E29" s="18"/>
      <c r="F29" s="18"/>
      <c r="G29" s="18"/>
      <c r="H29" s="18"/>
      <c r="I29" s="18"/>
      <c r="J29" s="18"/>
      <c r="K29" s="18"/>
      <c r="L29" s="18"/>
    </row>
    <row r="30" spans="3:15">
      <c r="C30" s="28" t="s">
        <v>49</v>
      </c>
      <c r="D30" s="3">
        <v>10505</v>
      </c>
      <c r="E30" s="3">
        <v>10157</v>
      </c>
      <c r="F30" s="3">
        <v>10903</v>
      </c>
      <c r="G30" s="3">
        <v>12547</v>
      </c>
      <c r="H30" s="18">
        <f ca="1">H106</f>
        <v>11808.331069482967</v>
      </c>
      <c r="I30" s="18">
        <f ca="1">I106</f>
        <v>12418.253260687266</v>
      </c>
      <c r="J30" s="18">
        <f ca="1">J106</f>
        <v>13558.159134874686</v>
      </c>
      <c r="K30" s="18">
        <f ca="1">K106</f>
        <v>14796.248715925842</v>
      </c>
      <c r="L30" s="18">
        <f ca="1">L106</f>
        <v>16140.644263520915</v>
      </c>
      <c r="N30" t="s">
        <v>156</v>
      </c>
    </row>
    <row r="31" spans="3:15">
      <c r="C31" s="27" t="s">
        <v>47</v>
      </c>
      <c r="D31" s="17">
        <f t="shared" ref="D31" si="10">D22+D30</f>
        <v>70529</v>
      </c>
      <c r="E31" s="17">
        <f>E22+E30</f>
        <v>71501</v>
      </c>
      <c r="F31" s="17">
        <f>F22+F30</f>
        <v>81801</v>
      </c>
      <c r="G31" s="17">
        <f>G22+G30</f>
        <v>76477</v>
      </c>
      <c r="H31" s="17">
        <f t="shared" ref="H31:L31" ca="1" si="11">H22+H30</f>
        <v>79651.303309482973</v>
      </c>
      <c r="I31" s="17">
        <f t="shared" ca="1" si="11"/>
        <v>84942.390585247267</v>
      </c>
      <c r="J31" s="17">
        <f t="shared" ca="1" si="11"/>
        <v>91086.46193482932</v>
      </c>
      <c r="K31" s="17">
        <f t="shared" ca="1" si="11"/>
        <v>97674.004409077344</v>
      </c>
      <c r="L31" s="17">
        <f t="shared" ca="1" si="11"/>
        <v>104736.96509949987</v>
      </c>
      <c r="N31" s="16" t="s">
        <v>96</v>
      </c>
    </row>
    <row r="32" spans="3:15">
      <c r="C32" s="28" t="s">
        <v>74</v>
      </c>
      <c r="D32" s="3">
        <v>4210</v>
      </c>
      <c r="E32" s="3">
        <v>4840</v>
      </c>
      <c r="F32" s="3">
        <v>5340</v>
      </c>
      <c r="G32" s="3">
        <v>6068</v>
      </c>
      <c r="H32" s="18">
        <f ca="1">G32*(1+H36)</f>
        <v>6432.08</v>
      </c>
      <c r="I32" s="18">
        <f ca="1">H32*(1+I36)</f>
        <v>6875.8935199999996</v>
      </c>
      <c r="J32" s="18">
        <f ca="1">I32*(1+J36)</f>
        <v>7350.3301728799988</v>
      </c>
      <c r="K32" s="18">
        <f ca="1">J32*(1+K36)</f>
        <v>7857.5029548087186</v>
      </c>
      <c r="L32" s="18">
        <f ca="1">K32*(1+L36)</f>
        <v>8399.6706586905202</v>
      </c>
      <c r="N32" t="s">
        <v>98</v>
      </c>
    </row>
    <row r="33" spans="3:21">
      <c r="C33" s="27" t="s">
        <v>72</v>
      </c>
      <c r="D33" s="17">
        <f t="shared" ref="D33" si="12">SUM(D31:D32)</f>
        <v>74739</v>
      </c>
      <c r="E33" s="17">
        <f>SUM(E31:E32)</f>
        <v>76341</v>
      </c>
      <c r="F33" s="17">
        <f>SUM(F31:F32)</f>
        <v>87141</v>
      </c>
      <c r="G33" s="17">
        <f>SUM(G31:G32)</f>
        <v>82545</v>
      </c>
      <c r="H33" s="17">
        <f t="shared" ref="H33:L33" ca="1" si="13">SUM(H31:H32)</f>
        <v>86083.383309482975</v>
      </c>
      <c r="I33" s="17">
        <f t="shared" ca="1" si="13"/>
        <v>91818.284105247265</v>
      </c>
      <c r="J33" s="17">
        <f t="shared" ca="1" si="13"/>
        <v>98436.79210770932</v>
      </c>
      <c r="K33" s="17">
        <f t="shared" ca="1" si="13"/>
        <v>105531.50736388606</v>
      </c>
      <c r="L33" s="17">
        <f t="shared" ca="1" si="13"/>
        <v>113136.63575819039</v>
      </c>
      <c r="N33" s="16" t="s">
        <v>97</v>
      </c>
    </row>
    <row r="34" spans="3:21">
      <c r="C34" s="20"/>
      <c r="H34" s="38"/>
    </row>
    <row r="35" spans="3:21">
      <c r="C35" s="19" t="s">
        <v>18</v>
      </c>
    </row>
    <row r="36" spans="3:21">
      <c r="C36" s="20" t="s">
        <v>1</v>
      </c>
      <c r="D36" s="21"/>
      <c r="E36" s="21">
        <f>E17/D17-1</f>
        <v>6.304518199398057E-2</v>
      </c>
      <c r="F36" s="21">
        <f>F17/E17-1</f>
        <v>0.15861957650261305</v>
      </c>
      <c r="G36" s="21">
        <f>G17/F17-1</f>
        <v>-2.04107758052674E-2</v>
      </c>
      <c r="H36" s="21">
        <f ca="1">H183</f>
        <v>0.06</v>
      </c>
      <c r="I36" s="21">
        <f t="shared" ref="I36:L36" ca="1" si="14">I183</f>
        <v>6.9000000000000006E-2</v>
      </c>
      <c r="J36" s="21">
        <f t="shared" ca="1" si="14"/>
        <v>6.9000000000000006E-2</v>
      </c>
      <c r="K36" s="21">
        <f t="shared" ca="1" si="14"/>
        <v>6.9000000000000006E-2</v>
      </c>
      <c r="L36" s="21">
        <f t="shared" ca="1" si="14"/>
        <v>6.9000000000000006E-2</v>
      </c>
      <c r="N36" t="s">
        <v>248</v>
      </c>
      <c r="P36" s="22"/>
      <c r="Q36" s="22"/>
      <c r="R36" s="22"/>
      <c r="S36" s="22"/>
      <c r="T36" s="22"/>
      <c r="U36" s="22"/>
    </row>
    <row r="37" spans="3:21">
      <c r="C37" s="20" t="s">
        <v>220</v>
      </c>
      <c r="D37" s="21">
        <f>D19/D17</f>
        <v>0.39075955648097049</v>
      </c>
      <c r="E37" s="21">
        <f>E19/E17</f>
        <v>0.38469860491899105</v>
      </c>
      <c r="F37" s="21">
        <f>F19/F17</f>
        <v>0.38343718820007905</v>
      </c>
      <c r="G37" s="21">
        <f>G19/G17</f>
        <v>0.37817768109034722</v>
      </c>
      <c r="H37" s="21">
        <f t="shared" ref="H37:L37" ca="1" si="15">H184</f>
        <v>0.378</v>
      </c>
      <c r="I37" s="21">
        <f t="shared" ca="1" si="15"/>
        <v>0.378</v>
      </c>
      <c r="J37" s="21">
        <f t="shared" ca="1" si="15"/>
        <v>0.378</v>
      </c>
      <c r="K37" s="21">
        <f t="shared" ca="1" si="15"/>
        <v>0.378</v>
      </c>
      <c r="L37" s="21">
        <f t="shared" ca="1" si="15"/>
        <v>0.378</v>
      </c>
      <c r="N37" t="s">
        <v>249</v>
      </c>
      <c r="P37" s="22"/>
      <c r="Q37" s="22"/>
      <c r="R37" s="22"/>
      <c r="S37" s="22"/>
      <c r="T37" s="22"/>
      <c r="U37" s="22"/>
    </row>
    <row r="38" spans="3:21">
      <c r="C38" s="20" t="s">
        <v>221</v>
      </c>
      <c r="D38" s="21">
        <f>-D20/D17</f>
        <v>4.6582482760539605E-2</v>
      </c>
      <c r="E38" s="21">
        <f>-E20/E17</f>
        <v>5.0520428906706681E-2</v>
      </c>
      <c r="F38" s="21">
        <f>-F20/F17</f>
        <v>5.3600406634161032E-2</v>
      </c>
      <c r="G38" s="21">
        <f>-G20/G17</f>
        <v>6.233136285716482E-2</v>
      </c>
      <c r="H38" s="21">
        <f t="shared" ref="H38:L38" ca="1" si="16">H185</f>
        <v>6.2E-2</v>
      </c>
      <c r="I38" s="21">
        <f t="shared" ca="1" si="16"/>
        <v>6.2E-2</v>
      </c>
      <c r="J38" s="21">
        <f t="shared" ca="1" si="16"/>
        <v>6.2E-2</v>
      </c>
      <c r="K38" s="21">
        <f t="shared" ca="1" si="16"/>
        <v>6.2E-2</v>
      </c>
      <c r="L38" s="21">
        <f t="shared" ca="1" si="16"/>
        <v>6.2E-2</v>
      </c>
      <c r="N38" t="s">
        <v>249</v>
      </c>
      <c r="P38" s="22"/>
      <c r="Q38" s="22"/>
      <c r="R38" s="22"/>
      <c r="S38" s="22"/>
      <c r="T38" s="22"/>
      <c r="U38" s="22"/>
    </row>
    <row r="39" spans="3:21">
      <c r="C39" s="20" t="s">
        <v>223</v>
      </c>
      <c r="D39" s="21">
        <f>-D21/D17</f>
        <v>6.5822972653369755E-2</v>
      </c>
      <c r="E39" s="21">
        <f>-E21/E17</f>
        <v>6.6573893924984945E-2</v>
      </c>
      <c r="F39" s="21">
        <f>-F21/F17</f>
        <v>6.2896515371147807E-2</v>
      </c>
      <c r="G39" s="21">
        <f>-G21/G17</f>
        <v>7.0126146348213125E-2</v>
      </c>
      <c r="H39" s="21">
        <f t="shared" ref="H39:L39" ca="1" si="17">H186</f>
        <v>7.0000000000000007E-2</v>
      </c>
      <c r="I39" s="21">
        <f t="shared" ca="1" si="17"/>
        <v>7.0000000000000007E-2</v>
      </c>
      <c r="J39" s="21">
        <f t="shared" ca="1" si="17"/>
        <v>7.0000000000000007E-2</v>
      </c>
      <c r="K39" s="21">
        <f t="shared" ca="1" si="17"/>
        <v>7.0000000000000007E-2</v>
      </c>
      <c r="L39" s="21">
        <f t="shared" ca="1" si="17"/>
        <v>7.0000000000000007E-2</v>
      </c>
      <c r="N39" t="s">
        <v>249</v>
      </c>
      <c r="P39" s="22"/>
      <c r="Q39" s="22"/>
      <c r="R39" s="22"/>
      <c r="S39" s="22"/>
      <c r="T39" s="22"/>
      <c r="U39" s="22"/>
    </row>
    <row r="40" spans="3:21">
      <c r="C40" s="20" t="s">
        <v>0</v>
      </c>
      <c r="D40" s="21">
        <f>-(D27/D26)</f>
        <v>0.25557257381216192</v>
      </c>
      <c r="E40" s="21">
        <f>-(E27/E26)</f>
        <v>0.24556476150353415</v>
      </c>
      <c r="F40" s="21">
        <f>-(F27/F26)</f>
        <v>0.18342180705869443</v>
      </c>
      <c r="G40" s="21">
        <f>-(G27/G26)</f>
        <v>0.15943836804235059</v>
      </c>
      <c r="H40" s="22">
        <f>G40</f>
        <v>0.15943836804235059</v>
      </c>
      <c r="I40" s="22">
        <f t="shared" ref="I40" si="18">H40</f>
        <v>0.15943836804235059</v>
      </c>
      <c r="J40" s="22">
        <f t="shared" ref="J40" si="19">I40</f>
        <v>0.15943836804235059</v>
      </c>
      <c r="K40" s="22">
        <f t="shared" ref="K40" si="20">J40</f>
        <v>0.15943836804235059</v>
      </c>
      <c r="L40" s="22">
        <f t="shared" ref="L40" si="21">K40</f>
        <v>0.15943836804235059</v>
      </c>
      <c r="N40" t="s">
        <v>249</v>
      </c>
      <c r="P40" s="22"/>
      <c r="Q40" s="22"/>
      <c r="R40" s="22"/>
      <c r="S40" s="22"/>
      <c r="T40" s="22"/>
      <c r="U40" s="22"/>
    </row>
    <row r="41" spans="3:21">
      <c r="C41" s="20"/>
      <c r="D41" s="20"/>
      <c r="H41" s="38"/>
    </row>
    <row r="42" spans="3:21">
      <c r="C42" s="5" t="s">
        <v>20</v>
      </c>
      <c r="D42" s="5"/>
      <c r="E42" s="11"/>
      <c r="F42" s="11"/>
      <c r="G42" s="11"/>
      <c r="H42" s="7"/>
      <c r="I42" s="7"/>
      <c r="J42" s="7"/>
      <c r="K42" s="7"/>
      <c r="L42" s="7"/>
    </row>
    <row r="43" spans="3:21">
      <c r="C43" s="26" t="str">
        <f>C14</f>
        <v xml:space="preserve">Fiscal year  </v>
      </c>
      <c r="D43" s="26"/>
      <c r="E43" s="23">
        <f t="shared" ref="E43" si="22">E14</f>
        <v>2017</v>
      </c>
      <c r="F43" s="23">
        <f t="shared" ref="F43:L44" si="23">F14</f>
        <v>2018</v>
      </c>
      <c r="G43" s="23">
        <f t="shared" si="23"/>
        <v>2019</v>
      </c>
      <c r="H43" s="24">
        <f t="shared" si="23"/>
        <v>2020</v>
      </c>
      <c r="I43" s="24">
        <f t="shared" si="23"/>
        <v>2021</v>
      </c>
      <c r="J43" s="24">
        <f t="shared" si="23"/>
        <v>2022</v>
      </c>
      <c r="K43" s="24">
        <f t="shared" si="23"/>
        <v>2023</v>
      </c>
      <c r="L43" s="24">
        <f t="shared" si="23"/>
        <v>2024</v>
      </c>
    </row>
    <row r="44" spans="3:21">
      <c r="C44" s="7" t="str">
        <f>C15</f>
        <v>Fiscal year end date</v>
      </c>
      <c r="D44" s="7"/>
      <c r="E44" s="25">
        <f t="shared" ref="E44" si="24">E15</f>
        <v>43008</v>
      </c>
      <c r="F44" s="25">
        <f t="shared" si="23"/>
        <v>43372</v>
      </c>
      <c r="G44" s="25">
        <f t="shared" si="23"/>
        <v>43737</v>
      </c>
      <c r="H44" s="25">
        <f t="shared" si="23"/>
        <v>44104</v>
      </c>
      <c r="I44" s="25">
        <f t="shared" si="23"/>
        <v>44469</v>
      </c>
      <c r="J44" s="25">
        <f t="shared" si="23"/>
        <v>44834</v>
      </c>
      <c r="K44" s="25">
        <f t="shared" si="23"/>
        <v>45199</v>
      </c>
      <c r="L44" s="25">
        <f t="shared" si="23"/>
        <v>45565</v>
      </c>
    </row>
    <row r="45" spans="3:21">
      <c r="C45" t="s">
        <v>135</v>
      </c>
      <c r="E45" s="3">
        <f>20289+53892+194714</f>
        <v>268895</v>
      </c>
      <c r="F45" s="3">
        <f>25913+40388+170799</f>
        <v>237100</v>
      </c>
      <c r="G45" s="3">
        <f>48844+51713+105341</f>
        <v>205898</v>
      </c>
      <c r="H45" s="18">
        <f ca="1">H90+G45</f>
        <v>194727.25772280112</v>
      </c>
      <c r="I45" s="18">
        <f ca="1">I90+H45</f>
        <v>181481.27399546286</v>
      </c>
      <c r="J45" s="18">
        <f ca="1">J90+I45</f>
        <v>172039.83709702062</v>
      </c>
      <c r="K45" s="18">
        <f ca="1">K90+J45</f>
        <v>166750.2214031397</v>
      </c>
      <c r="L45" s="18">
        <f ca="1">L90+K45</f>
        <v>165986.189441194</v>
      </c>
      <c r="N45" t="s">
        <v>116</v>
      </c>
    </row>
    <row r="46" spans="3:21">
      <c r="C46" t="s">
        <v>54</v>
      </c>
      <c r="E46" s="3">
        <v>17874</v>
      </c>
      <c r="F46" s="3">
        <v>23186</v>
      </c>
      <c r="G46" s="3">
        <v>22926</v>
      </c>
      <c r="H46" s="18">
        <f ca="1">G46*(1+H36)</f>
        <v>24301.56</v>
      </c>
      <c r="I46" s="18">
        <f ca="1">H46*(1+I36)</f>
        <v>25978.36764</v>
      </c>
      <c r="J46" s="18">
        <f ca="1">I46*(1+J36)</f>
        <v>27770.875007160001</v>
      </c>
      <c r="K46" s="18">
        <f ca="1">J46*(1+K36)</f>
        <v>29687.06538265404</v>
      </c>
      <c r="L46" s="18">
        <f ca="1">K46*(1+L36)</f>
        <v>31735.472894057166</v>
      </c>
      <c r="N46" t="s">
        <v>102</v>
      </c>
    </row>
    <row r="47" spans="3:21">
      <c r="C47" t="s">
        <v>55</v>
      </c>
      <c r="E47" s="3">
        <v>4855</v>
      </c>
      <c r="F47" s="3">
        <v>3956</v>
      </c>
      <c r="G47" s="3">
        <v>4106</v>
      </c>
      <c r="H47" s="18">
        <f ca="1">G47*H18/G18</f>
        <v>4353.6036544119861</v>
      </c>
      <c r="I47" s="18">
        <f ca="1">H47*I18/H18</f>
        <v>4654.0023065664127</v>
      </c>
      <c r="J47" s="18">
        <f ca="1">I47*J18/I18</f>
        <v>4975.1284657194956</v>
      </c>
      <c r="K47" s="18">
        <f ca="1">J47*K18/J18</f>
        <v>5318.4123298541408</v>
      </c>
      <c r="L47" s="18">
        <f ca="1">K47*L18/K18</f>
        <v>5685.3827806140762</v>
      </c>
      <c r="N47" t="s">
        <v>103</v>
      </c>
    </row>
    <row r="48" spans="3:21">
      <c r="C48" t="s">
        <v>106</v>
      </c>
      <c r="E48" s="3">
        <f>17799+13936</f>
        <v>31735</v>
      </c>
      <c r="F48" s="3">
        <f>25809+12087</f>
        <v>37896</v>
      </c>
      <c r="G48" s="3">
        <f>12352+22878</f>
        <v>35230</v>
      </c>
      <c r="H48" s="18">
        <f ca="1">G48*(1+H36)</f>
        <v>37343.800000000003</v>
      </c>
      <c r="I48" s="18">
        <f ca="1">H48*(1+I36)</f>
        <v>39920.522199999999</v>
      </c>
      <c r="J48" s="18">
        <f ca="1">I48*(1+J36)</f>
        <v>42675.038231799997</v>
      </c>
      <c r="K48" s="18">
        <f ca="1">J48*(1+K36)</f>
        <v>45619.615869794194</v>
      </c>
      <c r="L48" s="18">
        <f ca="1">K48*(1+L36)</f>
        <v>48767.369364809994</v>
      </c>
      <c r="N48" t="s">
        <v>102</v>
      </c>
      <c r="O48" s="18"/>
    </row>
    <row r="49" spans="3:15">
      <c r="C49" t="s">
        <v>21</v>
      </c>
      <c r="E49" s="3">
        <v>33783</v>
      </c>
      <c r="F49" s="3">
        <v>41304</v>
      </c>
      <c r="G49" s="3">
        <v>37378</v>
      </c>
      <c r="H49" s="18">
        <f>H99</f>
        <v>39817.318930517038</v>
      </c>
      <c r="I49" s="18">
        <f t="shared" ref="I49:L49" si="25">I99</f>
        <v>42050.931249829766</v>
      </c>
      <c r="J49" s="18">
        <f t="shared" ca="1" si="25"/>
        <v>44155.616419975078</v>
      </c>
      <c r="K49" s="18">
        <f t="shared" ca="1" si="25"/>
        <v>46102.948266115614</v>
      </c>
      <c r="L49" s="18">
        <f t="shared" ca="1" si="25"/>
        <v>47861.191623443658</v>
      </c>
      <c r="N49" t="s">
        <v>104</v>
      </c>
    </row>
    <row r="50" spans="3:15">
      <c r="C50" t="s">
        <v>56</v>
      </c>
      <c r="E50" s="3">
        <v>18177</v>
      </c>
      <c r="F50" s="3">
        <v>22283</v>
      </c>
      <c r="G50" s="3">
        <v>32978</v>
      </c>
      <c r="H50" s="18">
        <f ca="1">G50*(1+H36)</f>
        <v>34956.68</v>
      </c>
      <c r="I50" s="18">
        <f ca="1">H50*(1+I36)</f>
        <v>37368.690920000001</v>
      </c>
      <c r="J50" s="18">
        <f ca="1">I50*(1+J36)</f>
        <v>39947.130593479997</v>
      </c>
      <c r="K50" s="18">
        <f ca="1">J50*(1+K36)</f>
        <v>42703.482604430115</v>
      </c>
      <c r="L50" s="18">
        <f ca="1">K50*(1+L36)</f>
        <v>45650.022904135789</v>
      </c>
      <c r="N50" t="s">
        <v>102</v>
      </c>
    </row>
    <row r="51" spans="3:15">
      <c r="C51" s="27" t="s">
        <v>22</v>
      </c>
      <c r="D51" s="27"/>
      <c r="E51" s="17">
        <f t="shared" ref="E51:F51" si="26">SUM(E45:E50)</f>
        <v>375319</v>
      </c>
      <c r="F51" s="17">
        <f t="shared" si="26"/>
        <v>365725</v>
      </c>
      <c r="G51" s="17">
        <f t="shared" ref="G51:L51" si="27">SUM(G45:G50)</f>
        <v>338516</v>
      </c>
      <c r="H51" s="29">
        <f t="shared" ca="1" si="27"/>
        <v>335500.2203077302</v>
      </c>
      <c r="I51" s="29">
        <f t="shared" ca="1" si="27"/>
        <v>331453.78831185907</v>
      </c>
      <c r="J51" s="29">
        <f t="shared" ca="1" si="27"/>
        <v>331563.62581515522</v>
      </c>
      <c r="K51" s="29">
        <f t="shared" ca="1" si="27"/>
        <v>336181.74585598783</v>
      </c>
      <c r="L51" s="29">
        <f t="shared" ca="1" si="27"/>
        <v>345685.62900825473</v>
      </c>
    </row>
    <row r="52" spans="3:15">
      <c r="C52" s="28"/>
      <c r="D52" s="28"/>
      <c r="E52" s="18"/>
      <c r="F52" s="18"/>
      <c r="G52" s="18"/>
      <c r="H52" s="18"/>
      <c r="I52" s="18"/>
      <c r="J52" s="18"/>
      <c r="K52" s="18"/>
      <c r="L52" s="18"/>
    </row>
    <row r="53" spans="3:15">
      <c r="C53" s="28" t="s">
        <v>57</v>
      </c>
      <c r="D53" s="28"/>
      <c r="E53" s="3">
        <v>44242</v>
      </c>
      <c r="F53" s="3">
        <v>55888</v>
      </c>
      <c r="G53" s="3">
        <v>46236</v>
      </c>
      <c r="H53" s="18">
        <f ca="1">G53*H18/G18</f>
        <v>49024.164287723484</v>
      </c>
      <c r="I53" s="18">
        <f t="shared" ref="I53:L53" ca="1" si="28">H53*I18/H18</f>
        <v>52406.8316235764</v>
      </c>
      <c r="J53" s="18">
        <f t="shared" ca="1" si="28"/>
        <v>56022.90300560317</v>
      </c>
      <c r="K53" s="18">
        <f t="shared" ca="1" si="28"/>
        <v>59888.483312989789</v>
      </c>
      <c r="L53" s="18">
        <f t="shared" ca="1" si="28"/>
        <v>64020.788661586084</v>
      </c>
      <c r="N53" t="s">
        <v>103</v>
      </c>
    </row>
    <row r="54" spans="3:15">
      <c r="C54" s="28" t="s">
        <v>115</v>
      </c>
      <c r="D54" s="28"/>
      <c r="E54" s="3">
        <v>30551</v>
      </c>
      <c r="F54" s="3">
        <v>33327</v>
      </c>
      <c r="G54" s="3">
        <v>37720</v>
      </c>
      <c r="H54" s="18">
        <f ca="1">G54*(1+H36)</f>
        <v>39983.200000000004</v>
      </c>
      <c r="I54" s="18">
        <f t="shared" ref="I54:L54" ca="1" si="29">H54*(1+I36)</f>
        <v>42742.040800000002</v>
      </c>
      <c r="J54" s="18">
        <f t="shared" ca="1" si="29"/>
        <v>45691.241615200001</v>
      </c>
      <c r="K54" s="18">
        <f t="shared" ca="1" si="29"/>
        <v>48843.937286648797</v>
      </c>
      <c r="L54" s="18">
        <f t="shared" ca="1" si="29"/>
        <v>52214.168959427559</v>
      </c>
      <c r="N54" t="s">
        <v>102</v>
      </c>
    </row>
    <row r="55" spans="3:15">
      <c r="C55" s="28" t="s">
        <v>246</v>
      </c>
      <c r="D55" s="28"/>
      <c r="E55" s="3">
        <f>7548+2836</f>
        <v>10384</v>
      </c>
      <c r="F55" s="3">
        <v>5966</v>
      </c>
      <c r="G55" s="3">
        <v>5522</v>
      </c>
      <c r="H55" s="18">
        <f ca="1">G55*(1+H36)</f>
        <v>5853.3200000000006</v>
      </c>
      <c r="I55" s="18">
        <f t="shared" ref="I55:L55" ca="1" si="30">H55*(1+I36)</f>
        <v>6257.1990800000003</v>
      </c>
      <c r="J55" s="18">
        <f t="shared" ca="1" si="30"/>
        <v>6688.9458165200003</v>
      </c>
      <c r="K55" s="18">
        <f t="shared" ca="1" si="30"/>
        <v>7150.4830778598798</v>
      </c>
      <c r="L55" s="18">
        <f t="shared" ca="1" si="30"/>
        <v>7643.8664102322109</v>
      </c>
      <c r="N55" t="s">
        <v>102</v>
      </c>
      <c r="O55" s="18"/>
    </row>
    <row r="56" spans="3:15">
      <c r="C56" s="28" t="s">
        <v>60</v>
      </c>
      <c r="D56" s="28"/>
      <c r="E56" s="3">
        <v>11977</v>
      </c>
      <c r="F56" s="3">
        <v>11964</v>
      </c>
      <c r="G56" s="3">
        <v>5980</v>
      </c>
      <c r="H56" s="18">
        <f ca="1">H135</f>
        <v>12000</v>
      </c>
      <c r="I56" s="18">
        <f ca="1">I135</f>
        <v>12000</v>
      </c>
      <c r="J56" s="18">
        <f ca="1">J135</f>
        <v>12000</v>
      </c>
      <c r="K56" s="18">
        <f ca="1">K135</f>
        <v>12000</v>
      </c>
      <c r="L56" s="18">
        <f ca="1">L135</f>
        <v>12000</v>
      </c>
      <c r="N56" t="s">
        <v>178</v>
      </c>
    </row>
    <row r="57" spans="3:15">
      <c r="C57" s="28" t="s">
        <v>120</v>
      </c>
      <c r="D57" s="28"/>
      <c r="E57" s="3">
        <f>6496+97207</f>
        <v>103703</v>
      </c>
      <c r="F57" s="3">
        <f>8784+93735</f>
        <v>102519</v>
      </c>
      <c r="G57" s="3">
        <f>10260+91807</f>
        <v>102067</v>
      </c>
      <c r="H57" s="18">
        <f>G57</f>
        <v>102067</v>
      </c>
      <c r="I57" s="18">
        <f t="shared" ref="I57:L57" si="31">H57</f>
        <v>102067</v>
      </c>
      <c r="J57" s="18">
        <f t="shared" si="31"/>
        <v>102067</v>
      </c>
      <c r="K57" s="18">
        <f t="shared" si="31"/>
        <v>102067</v>
      </c>
      <c r="L57" s="18">
        <f t="shared" si="31"/>
        <v>102067</v>
      </c>
      <c r="N57" t="s">
        <v>99</v>
      </c>
    </row>
    <row r="58" spans="3:15" ht="15.75" customHeight="1">
      <c r="C58" s="28" t="s">
        <v>59</v>
      </c>
      <c r="D58" s="28"/>
      <c r="E58" s="3">
        <v>40415</v>
      </c>
      <c r="F58" s="3">
        <v>48914</v>
      </c>
      <c r="G58" s="3">
        <v>50503</v>
      </c>
      <c r="H58" s="18">
        <f ca="1">G58*(1+H36)</f>
        <v>53533.18</v>
      </c>
      <c r="I58" s="18">
        <f t="shared" ref="I58:L58" ca="1" si="32">H58*(1+I36)</f>
        <v>57226.969420000001</v>
      </c>
      <c r="J58" s="18">
        <f t="shared" ca="1" si="32"/>
        <v>61175.630309979999</v>
      </c>
      <c r="K58" s="18">
        <f t="shared" ca="1" si="32"/>
        <v>65396.748801368616</v>
      </c>
      <c r="L58" s="18">
        <f t="shared" ca="1" si="32"/>
        <v>69909.124468663053</v>
      </c>
      <c r="N58" t="s">
        <v>102</v>
      </c>
    </row>
    <row r="59" spans="3:15">
      <c r="C59" s="27" t="s">
        <v>24</v>
      </c>
      <c r="D59" s="27"/>
      <c r="E59" s="17">
        <f t="shared" ref="E59:F59" si="33">SUM(E53:E58)</f>
        <v>241272</v>
      </c>
      <c r="F59" s="17">
        <f t="shared" si="33"/>
        <v>258578</v>
      </c>
      <c r="G59" s="17">
        <f t="shared" ref="G59:L59" si="34">SUM(G53:G58)</f>
        <v>248028</v>
      </c>
      <c r="H59" s="29">
        <f t="shared" ca="1" si="34"/>
        <v>262460.8642877235</v>
      </c>
      <c r="I59" s="29">
        <f t="shared" ca="1" si="34"/>
        <v>272700.04092357639</v>
      </c>
      <c r="J59" s="29">
        <f t="shared" ca="1" si="34"/>
        <v>283645.72074730316</v>
      </c>
      <c r="K59" s="29">
        <f t="shared" ca="1" si="34"/>
        <v>295346.65247886709</v>
      </c>
      <c r="L59" s="29">
        <f t="shared" ca="1" si="34"/>
        <v>307854.9484999089</v>
      </c>
    </row>
    <row r="60" spans="3:15">
      <c r="C60" s="27"/>
      <c r="D60" s="27"/>
      <c r="E60" s="17"/>
      <c r="F60" s="17"/>
      <c r="G60" s="17"/>
      <c r="H60" s="18"/>
      <c r="I60" s="18"/>
      <c r="J60" s="18"/>
      <c r="K60" s="18"/>
      <c r="L60" s="18"/>
    </row>
    <row r="61" spans="3:15">
      <c r="C61" s="28" t="s">
        <v>61</v>
      </c>
      <c r="D61" s="28"/>
      <c r="E61" s="3">
        <v>35867</v>
      </c>
      <c r="F61" s="3">
        <v>40201</v>
      </c>
      <c r="G61" s="3">
        <v>45174</v>
      </c>
      <c r="H61" s="18">
        <f ca="1">G61+H32</f>
        <v>51606.080000000002</v>
      </c>
      <c r="I61" s="18">
        <f t="shared" ref="I61:L61" ca="1" si="35">H61+I32</f>
        <v>58481.97352</v>
      </c>
      <c r="J61" s="18">
        <f t="shared" ca="1" si="35"/>
        <v>65832.303692879999</v>
      </c>
      <c r="K61" s="18">
        <f t="shared" ca="1" si="35"/>
        <v>73689.806647688718</v>
      </c>
      <c r="L61" s="18">
        <f t="shared" ca="1" si="35"/>
        <v>82089.477306379238</v>
      </c>
      <c r="N61" t="s">
        <v>152</v>
      </c>
    </row>
    <row r="62" spans="3:15" ht="15.75" customHeight="1">
      <c r="C62" s="28" t="s">
        <v>44</v>
      </c>
      <c r="D62" s="28"/>
      <c r="E62" s="15">
        <f>98330</f>
        <v>98330</v>
      </c>
      <c r="F62" s="3">
        <v>70400</v>
      </c>
      <c r="G62" s="3">
        <v>45898</v>
      </c>
      <c r="H62" s="18">
        <f ca="1">H119</f>
        <v>22017.276020006655</v>
      </c>
      <c r="I62" s="18">
        <f t="shared" ref="I62:L62" ca="1" si="36">I119</f>
        <v>855.77386828267481</v>
      </c>
      <c r="J62" s="18">
        <f t="shared" ca="1" si="36"/>
        <v>-17330.39862502797</v>
      </c>
      <c r="K62" s="18">
        <f t="shared" ca="1" si="36"/>
        <v>-32270.713270567998</v>
      </c>
      <c r="L62" s="18">
        <f t="shared" ca="1" si="36"/>
        <v>-43674.796798033451</v>
      </c>
      <c r="N62" t="s">
        <v>105</v>
      </c>
      <c r="O62" s="18"/>
    </row>
    <row r="63" spans="3:15" ht="15.75" customHeight="1">
      <c r="C63" s="28" t="s">
        <v>119</v>
      </c>
      <c r="D63" s="28"/>
      <c r="E63" s="3">
        <v>-150</v>
      </c>
      <c r="F63" s="3">
        <v>-3454</v>
      </c>
      <c r="G63" s="3">
        <v>-584</v>
      </c>
      <c r="H63" s="18">
        <f>G63</f>
        <v>-584</v>
      </c>
      <c r="I63" s="18">
        <f>H63</f>
        <v>-584</v>
      </c>
      <c r="J63" s="18">
        <f>I63</f>
        <v>-584</v>
      </c>
      <c r="K63" s="18">
        <f>J63</f>
        <v>-584</v>
      </c>
      <c r="L63" s="18">
        <f>K63</f>
        <v>-584</v>
      </c>
      <c r="N63" t="s">
        <v>99</v>
      </c>
    </row>
    <row r="64" spans="3:15">
      <c r="C64" s="27" t="s">
        <v>25</v>
      </c>
      <c r="D64" s="27"/>
      <c r="E64" s="29">
        <f t="shared" ref="E64:F64" si="37">SUM(E61:E63)</f>
        <v>134047</v>
      </c>
      <c r="F64" s="29">
        <f t="shared" si="37"/>
        <v>107147</v>
      </c>
      <c r="G64" s="29">
        <f t="shared" ref="G64:L64" si="38">SUM(G61:G63)</f>
        <v>90488</v>
      </c>
      <c r="H64" s="29">
        <f t="shared" ca="1" si="38"/>
        <v>73039.356020006657</v>
      </c>
      <c r="I64" s="29">
        <f t="shared" ca="1" si="38"/>
        <v>58753.747388282674</v>
      </c>
      <c r="J64" s="29">
        <f t="shared" ca="1" si="38"/>
        <v>47917.905067852029</v>
      </c>
      <c r="K64" s="29">
        <f t="shared" ca="1" si="38"/>
        <v>40835.09337712072</v>
      </c>
      <c r="L64" s="29">
        <f t="shared" ca="1" si="38"/>
        <v>37830.680508345788</v>
      </c>
    </row>
    <row r="65" spans="3:14">
      <c r="E65" s="18"/>
      <c r="F65" s="18"/>
      <c r="G65" s="18"/>
    </row>
    <row r="66" spans="3:14">
      <c r="C66" s="12" t="s">
        <v>26</v>
      </c>
      <c r="D66" s="12"/>
      <c r="E66" s="30">
        <f>ROUND(E51-E59-E64,3)</f>
        <v>0</v>
      </c>
      <c r="F66" s="30">
        <f>ROUND(F51-F59-F64,3)</f>
        <v>0</v>
      </c>
      <c r="G66" s="30">
        <f t="shared" ref="G66:L66" si="39">ROUND(G51-G59-G64,3)</f>
        <v>0</v>
      </c>
      <c r="H66" s="30">
        <f t="shared" ca="1" si="39"/>
        <v>0</v>
      </c>
      <c r="I66" s="30">
        <f t="shared" ca="1" si="39"/>
        <v>0</v>
      </c>
      <c r="J66" s="30">
        <f t="shared" ca="1" si="39"/>
        <v>0</v>
      </c>
      <c r="K66" s="30">
        <f t="shared" ca="1" si="39"/>
        <v>0</v>
      </c>
      <c r="L66" s="30">
        <f t="shared" ca="1" si="39"/>
        <v>0</v>
      </c>
    </row>
    <row r="67" spans="3:14">
      <c r="F67" s="18"/>
      <c r="G67" s="18"/>
      <c r="I67" s="18"/>
      <c r="J67" s="18"/>
      <c r="K67" s="18"/>
      <c r="L67" s="18"/>
    </row>
    <row r="68" spans="3:14">
      <c r="C68" s="5" t="s">
        <v>32</v>
      </c>
      <c r="D68" s="5"/>
      <c r="E68" s="11"/>
      <c r="F68" s="11"/>
      <c r="G68" s="11"/>
      <c r="H68" s="11"/>
      <c r="I68" s="11"/>
      <c r="J68" s="11"/>
      <c r="K68" s="11"/>
      <c r="L68" s="11"/>
    </row>
    <row r="69" spans="3:14">
      <c r="C69" s="26" t="str">
        <f>C14</f>
        <v xml:space="preserve">Fiscal year  </v>
      </c>
      <c r="D69" s="26"/>
      <c r="E69" s="23"/>
      <c r="F69" s="23"/>
      <c r="G69" s="23"/>
      <c r="H69" s="24">
        <f t="shared" ref="H69:L70" si="40">H14</f>
        <v>2020</v>
      </c>
      <c r="I69" s="24">
        <f t="shared" si="40"/>
        <v>2021</v>
      </c>
      <c r="J69" s="24">
        <f t="shared" si="40"/>
        <v>2022</v>
      </c>
      <c r="K69" s="24">
        <f t="shared" si="40"/>
        <v>2023</v>
      </c>
      <c r="L69" s="24">
        <f t="shared" si="40"/>
        <v>2024</v>
      </c>
    </row>
    <row r="70" spans="3:14">
      <c r="C70" s="7" t="str">
        <f>C15</f>
        <v>Fiscal year end date</v>
      </c>
      <c r="D70" s="7"/>
      <c r="E70" s="25"/>
      <c r="F70" s="25"/>
      <c r="G70" s="25"/>
      <c r="H70" s="25">
        <f t="shared" si="40"/>
        <v>44104</v>
      </c>
      <c r="I70" s="25">
        <f t="shared" si="40"/>
        <v>44469</v>
      </c>
      <c r="J70" s="25">
        <f t="shared" si="40"/>
        <v>44834</v>
      </c>
      <c r="K70" s="25">
        <f t="shared" si="40"/>
        <v>45199</v>
      </c>
      <c r="L70" s="25">
        <f t="shared" si="40"/>
        <v>45565</v>
      </c>
    </row>
    <row r="72" spans="3:14">
      <c r="C72" t="s">
        <v>2</v>
      </c>
      <c r="E72" s="34"/>
      <c r="F72" s="34"/>
      <c r="G72" s="34"/>
      <c r="H72" s="18">
        <f ca="1">H28</f>
        <v>58068.411791803133</v>
      </c>
      <c r="I72" s="18">
        <f t="shared" ref="I72:L72" ca="1" si="41">I28</f>
        <v>61721.810321792007</v>
      </c>
      <c r="J72" s="18">
        <f t="shared" ca="1" si="41"/>
        <v>65719.301400773867</v>
      </c>
      <c r="K72" s="18">
        <f t="shared" ca="1" si="41"/>
        <v>70080.259438958354</v>
      </c>
      <c r="L72" s="18">
        <f t="shared" ca="1" si="41"/>
        <v>74831.34720758551</v>
      </c>
      <c r="N72" s="16"/>
    </row>
    <row r="73" spans="3:14">
      <c r="C73" t="s">
        <v>33</v>
      </c>
      <c r="E73" s="34"/>
      <c r="F73" s="34"/>
      <c r="G73" s="34"/>
      <c r="H73" s="18">
        <f ca="1">H30</f>
        <v>11808.331069482967</v>
      </c>
      <c r="I73" s="18">
        <f t="shared" ref="I73:L73" ca="1" si="42">I30</f>
        <v>12418.253260687266</v>
      </c>
      <c r="J73" s="18">
        <f t="shared" ca="1" si="42"/>
        <v>13558.159134874686</v>
      </c>
      <c r="K73" s="18">
        <f t="shared" ca="1" si="42"/>
        <v>14796.248715925842</v>
      </c>
      <c r="L73" s="18">
        <f t="shared" ca="1" si="42"/>
        <v>16140.644263520915</v>
      </c>
      <c r="N73" t="s">
        <v>166</v>
      </c>
    </row>
    <row r="74" spans="3:14">
      <c r="C74" t="s">
        <v>74</v>
      </c>
      <c r="E74" s="34"/>
      <c r="F74" s="34"/>
      <c r="G74" s="34"/>
      <c r="H74" s="18">
        <f ca="1">H32</f>
        <v>6432.08</v>
      </c>
      <c r="I74" s="18">
        <f t="shared" ref="I74:L74" ca="1" si="43">I32</f>
        <v>6875.8935199999996</v>
      </c>
      <c r="J74" s="18">
        <f t="shared" ca="1" si="43"/>
        <v>7350.3301728799988</v>
      </c>
      <c r="K74" s="18">
        <f t="shared" ca="1" si="43"/>
        <v>7857.5029548087186</v>
      </c>
      <c r="L74" s="18">
        <f t="shared" ca="1" si="43"/>
        <v>8399.6706586905202</v>
      </c>
    </row>
    <row r="75" spans="3:14">
      <c r="C75" t="s">
        <v>65</v>
      </c>
      <c r="E75" s="18"/>
      <c r="F75" s="18"/>
      <c r="G75" s="18"/>
      <c r="H75" s="18">
        <f ca="1">SUM(G46:G48)-SUM(H46:H48)</f>
        <v>-3736.9636544119858</v>
      </c>
      <c r="I75" s="18">
        <f t="shared" ref="I75:L75" ca="1" si="44">SUM(H46:H48)-SUM(I46:I48)</f>
        <v>-4553.9284921544313</v>
      </c>
      <c r="J75" s="18">
        <f t="shared" ca="1" si="44"/>
        <v>-4868.149558113073</v>
      </c>
      <c r="K75" s="18">
        <f t="shared" ca="1" si="44"/>
        <v>-5204.0518776228855</v>
      </c>
      <c r="L75" s="18">
        <f t="shared" ca="1" si="44"/>
        <v>-5563.131457178868</v>
      </c>
    </row>
    <row r="76" spans="3:14">
      <c r="C76" t="s">
        <v>66</v>
      </c>
      <c r="E76" s="18"/>
      <c r="F76" s="18"/>
      <c r="G76" s="18"/>
      <c r="H76" s="18">
        <f ca="1">SUM(H53:H55)-SUM(G53:G55)</f>
        <v>5382.6842877235031</v>
      </c>
      <c r="I76" s="18">
        <f ca="1">SUM(I53:I55)-SUM(H53:H55)</f>
        <v>6545.3872158528975</v>
      </c>
      <c r="J76" s="18">
        <f ca="1">SUM(J53:J55)-SUM(I53:I55)</f>
        <v>6997.0189337467746</v>
      </c>
      <c r="K76" s="18">
        <f ca="1">SUM(K53:K55)-SUM(J53:J55)</f>
        <v>7479.8132401752955</v>
      </c>
      <c r="L76" s="18">
        <f ca="1">SUM(L53:L55)-SUM(K53:K55)</f>
        <v>7995.9203537473804</v>
      </c>
    </row>
    <row r="77" spans="3:14">
      <c r="C77" t="s">
        <v>56</v>
      </c>
      <c r="H77" s="18">
        <f ca="1">-H111</f>
        <v>-3300.5</v>
      </c>
      <c r="I77" s="18">
        <f t="shared" ref="I77:L77" ca="1" si="45">-I111</f>
        <v>-3825.036500000002</v>
      </c>
      <c r="J77" s="18">
        <f t="shared" ca="1" si="45"/>
        <v>-4088.9640184999953</v>
      </c>
      <c r="K77" s="18">
        <f t="shared" ca="1" si="45"/>
        <v>-4371.1025357764956</v>
      </c>
      <c r="L77" s="18">
        <f t="shared" ca="1" si="45"/>
        <v>-4672.7086107450741</v>
      </c>
      <c r="N77" t="s">
        <v>167</v>
      </c>
    </row>
    <row r="78" spans="3:14">
      <c r="C78" t="s">
        <v>59</v>
      </c>
      <c r="H78" s="18">
        <f ca="1">H58-G58</f>
        <v>3030.1800000000003</v>
      </c>
      <c r="I78" s="18">
        <f t="shared" ref="I78:L78" ca="1" si="46">I58-H58</f>
        <v>3693.789420000001</v>
      </c>
      <c r="J78" s="18">
        <f t="shared" ca="1" si="46"/>
        <v>3948.6608899799976</v>
      </c>
      <c r="K78" s="18">
        <f t="shared" ca="1" si="46"/>
        <v>4221.1184913886173</v>
      </c>
      <c r="L78" s="18">
        <f t="shared" ca="1" si="46"/>
        <v>4512.3756672944364</v>
      </c>
      <c r="N78" s="16"/>
    </row>
    <row r="79" spans="3:14">
      <c r="C79" s="16" t="s">
        <v>34</v>
      </c>
      <c r="D79" s="16"/>
      <c r="H79" s="29">
        <f ca="1">SUM(H72:H78)</f>
        <v>77684.223494597623</v>
      </c>
      <c r="I79" s="29">
        <f ca="1">SUM(I72:I78)</f>
        <v>82876.168746177733</v>
      </c>
      <c r="J79" s="29">
        <f ca="1">SUM(J72:J78)</f>
        <v>88616.356955642259</v>
      </c>
      <c r="K79" s="29">
        <f ca="1">SUM(K72:K78)</f>
        <v>94859.788427857449</v>
      </c>
      <c r="L79" s="29">
        <f ca="1">SUM(L72:L78)</f>
        <v>101644.11808291482</v>
      </c>
    </row>
    <row r="80" spans="3:14">
      <c r="H80" s="18"/>
      <c r="I80" s="18"/>
      <c r="J80" s="18"/>
      <c r="K80" s="18"/>
      <c r="L80" s="18"/>
    </row>
    <row r="81" spans="3:14">
      <c r="C81" t="s">
        <v>35</v>
      </c>
      <c r="H81" s="18">
        <f>-(H97)</f>
        <v>-12925.83</v>
      </c>
      <c r="I81" s="18">
        <f t="shared" ref="I81:L81" si="47">-(I97)</f>
        <v>-13238.84</v>
      </c>
      <c r="J81" s="18">
        <f t="shared" ca="1" si="47"/>
        <v>-14152.319959999999</v>
      </c>
      <c r="K81" s="18">
        <f t="shared" ca="1" si="47"/>
        <v>-15128.830037239999</v>
      </c>
      <c r="L81" s="18">
        <f t="shared" ca="1" si="47"/>
        <v>-16172.719309809558</v>
      </c>
      <c r="N81" t="s">
        <v>104</v>
      </c>
    </row>
    <row r="82" spans="3:14">
      <c r="C82" s="16" t="s">
        <v>36</v>
      </c>
      <c r="D82" s="16"/>
      <c r="H82" s="29">
        <f>IFERROR(H81,"NA")</f>
        <v>-12925.83</v>
      </c>
      <c r="I82" s="29">
        <f>IFERROR(I81,"NA")</f>
        <v>-13238.84</v>
      </c>
      <c r="J82" s="29">
        <f ca="1">IFERROR(J81,"NA")</f>
        <v>-14152.319959999999</v>
      </c>
      <c r="K82" s="29">
        <f ca="1">IFERROR(K81,"NA")</f>
        <v>-15128.830037239999</v>
      </c>
      <c r="L82" s="29">
        <f ca="1">IFERROR(L81,"NA")</f>
        <v>-16172.719309809558</v>
      </c>
    </row>
    <row r="83" spans="3:14">
      <c r="H83" s="18"/>
      <c r="I83" s="18"/>
      <c r="J83" s="18"/>
      <c r="K83" s="18"/>
      <c r="L83" s="18"/>
    </row>
    <row r="84" spans="3:14">
      <c r="C84" t="s">
        <v>67</v>
      </c>
      <c r="H84" s="18">
        <f>H57-G57</f>
        <v>0</v>
      </c>
      <c r="I84" s="18">
        <f t="shared" ref="I84:L84" si="48">I57-H57</f>
        <v>0</v>
      </c>
      <c r="J84" s="18">
        <f t="shared" si="48"/>
        <v>0</v>
      </c>
      <c r="K84" s="18">
        <f t="shared" si="48"/>
        <v>0</v>
      </c>
      <c r="L84" s="18">
        <f t="shared" si="48"/>
        <v>0</v>
      </c>
    </row>
    <row r="85" spans="3:14">
      <c r="C85" t="s">
        <v>245</v>
      </c>
      <c r="H85" s="18">
        <f ca="1">H56-G56</f>
        <v>6020</v>
      </c>
      <c r="I85" s="18">
        <f t="shared" ref="I85:L85" ca="1" si="49">I56-H56</f>
        <v>0</v>
      </c>
      <c r="J85" s="18">
        <f t="shared" ca="1" si="49"/>
        <v>0</v>
      </c>
      <c r="K85" s="18">
        <f t="shared" ca="1" si="49"/>
        <v>0</v>
      </c>
      <c r="L85" s="18">
        <f t="shared" ca="1" si="49"/>
        <v>0</v>
      </c>
      <c r="N85" t="s">
        <v>175</v>
      </c>
    </row>
    <row r="86" spans="3:14">
      <c r="C86" t="s">
        <v>70</v>
      </c>
      <c r="H86" s="18">
        <f>H118</f>
        <v>-67101</v>
      </c>
      <c r="I86" s="18">
        <f t="shared" ref="I86:L86" si="50">I118</f>
        <v>-67101</v>
      </c>
      <c r="J86" s="18">
        <f t="shared" si="50"/>
        <v>-67101</v>
      </c>
      <c r="K86" s="18">
        <f t="shared" si="50"/>
        <v>-67101</v>
      </c>
      <c r="L86" s="18">
        <f t="shared" si="50"/>
        <v>-67101</v>
      </c>
      <c r="N86" t="s">
        <v>105</v>
      </c>
    </row>
    <row r="87" spans="3:14">
      <c r="C87" t="s">
        <v>71</v>
      </c>
      <c r="H87" s="18">
        <f ca="1">H117</f>
        <v>-14848.135771796482</v>
      </c>
      <c r="I87" s="18">
        <f t="shared" ref="I87:L87" ca="1" si="51">I117</f>
        <v>-15782.312473515985</v>
      </c>
      <c r="J87" s="18">
        <f t="shared" ca="1" si="51"/>
        <v>-16804.473894084516</v>
      </c>
      <c r="K87" s="18">
        <f t="shared" ca="1" si="51"/>
        <v>-17919.574084498385</v>
      </c>
      <c r="L87" s="18">
        <f t="shared" ca="1" si="51"/>
        <v>-19134.430735050959</v>
      </c>
      <c r="N87" t="s">
        <v>105</v>
      </c>
    </row>
    <row r="88" spans="3:14">
      <c r="C88" s="16" t="s">
        <v>37</v>
      </c>
      <c r="D88" s="16"/>
      <c r="H88" s="29">
        <f ca="1">SUM(H84:H87)</f>
        <v>-75929.135771796486</v>
      </c>
      <c r="I88" s="29">
        <f t="shared" ref="I88:L88" ca="1" si="52">SUM(I84:I87)</f>
        <v>-82883.31247351598</v>
      </c>
      <c r="J88" s="29">
        <f t="shared" ca="1" si="52"/>
        <v>-83905.473894084513</v>
      </c>
      <c r="K88" s="29">
        <f t="shared" ca="1" si="52"/>
        <v>-85020.574084498381</v>
      </c>
      <c r="L88" s="29">
        <f t="shared" ca="1" si="52"/>
        <v>-86235.430735050963</v>
      </c>
    </row>
    <row r="89" spans="3:14">
      <c r="H89" s="18"/>
      <c r="I89" s="18"/>
      <c r="J89" s="18"/>
      <c r="K89" s="18"/>
      <c r="L89" s="18"/>
    </row>
    <row r="90" spans="3:14">
      <c r="C90" s="16" t="s">
        <v>38</v>
      </c>
      <c r="D90" s="16"/>
      <c r="H90" s="29">
        <f ca="1">H79+H82+H88</f>
        <v>-11170.742277198864</v>
      </c>
      <c r="I90" s="29">
        <f ca="1">I79+I82+I88</f>
        <v>-13245.983727338244</v>
      </c>
      <c r="J90" s="29">
        <f ca="1">J79+J82+J88</f>
        <v>-9441.4368984422472</v>
      </c>
      <c r="K90" s="29">
        <f ca="1">K79+K82+K88</f>
        <v>-5289.615693880929</v>
      </c>
      <c r="L90" s="29">
        <f ca="1">L79+L82+L88</f>
        <v>-764.03196194570046</v>
      </c>
    </row>
    <row r="92" spans="3:14">
      <c r="C92" s="5" t="s">
        <v>29</v>
      </c>
      <c r="D92" s="5"/>
      <c r="E92" s="7"/>
      <c r="F92" s="7"/>
      <c r="G92" s="7"/>
      <c r="H92" s="7"/>
      <c r="I92" s="7"/>
      <c r="J92" s="7"/>
      <c r="K92" s="7"/>
      <c r="L92" s="7"/>
    </row>
    <row r="93" spans="3:14">
      <c r="C93" s="26" t="str">
        <f t="shared" ref="C93:L94" si="53">C14</f>
        <v xml:space="preserve">Fiscal year  </v>
      </c>
      <c r="D93" s="26"/>
      <c r="E93" s="23">
        <f t="shared" si="53"/>
        <v>2017</v>
      </c>
      <c r="F93" s="23">
        <f t="shared" si="53"/>
        <v>2018</v>
      </c>
      <c r="G93" s="23">
        <f t="shared" si="53"/>
        <v>2019</v>
      </c>
      <c r="H93" s="24">
        <f t="shared" si="53"/>
        <v>2020</v>
      </c>
      <c r="I93" s="24">
        <f t="shared" si="53"/>
        <v>2021</v>
      </c>
      <c r="J93" s="24">
        <f t="shared" si="53"/>
        <v>2022</v>
      </c>
      <c r="K93" s="24">
        <f t="shared" si="53"/>
        <v>2023</v>
      </c>
      <c r="L93" s="24">
        <f t="shared" si="53"/>
        <v>2024</v>
      </c>
    </row>
    <row r="94" spans="3:14">
      <c r="C94" s="7" t="str">
        <f t="shared" si="53"/>
        <v>Fiscal year end date</v>
      </c>
      <c r="D94" s="7"/>
      <c r="E94" s="25">
        <f t="shared" si="53"/>
        <v>43008</v>
      </c>
      <c r="F94" s="25">
        <f t="shared" si="53"/>
        <v>43372</v>
      </c>
      <c r="G94" s="25">
        <f t="shared" si="53"/>
        <v>43737</v>
      </c>
      <c r="H94" s="25">
        <f t="shared" si="53"/>
        <v>44104</v>
      </c>
      <c r="I94" s="25">
        <f t="shared" si="53"/>
        <v>44469</v>
      </c>
      <c r="J94" s="25">
        <f t="shared" si="53"/>
        <v>44834</v>
      </c>
      <c r="K94" s="25">
        <f t="shared" si="53"/>
        <v>45199</v>
      </c>
      <c r="L94" s="25">
        <f t="shared" si="53"/>
        <v>45565</v>
      </c>
    </row>
    <row r="95" spans="3:14">
      <c r="C95" s="16"/>
      <c r="D95" s="16"/>
      <c r="H95" s="76" t="s">
        <v>114</v>
      </c>
      <c r="I95" s="76"/>
      <c r="J95" s="76"/>
      <c r="K95" s="76"/>
      <c r="L95" s="76"/>
    </row>
    <row r="96" spans="3:14">
      <c r="C96" s="28" t="s">
        <v>27</v>
      </c>
      <c r="D96" s="28"/>
      <c r="H96" s="18">
        <f>G99</f>
        <v>37378</v>
      </c>
      <c r="I96" s="18">
        <f>H99</f>
        <v>39817.318930517038</v>
      </c>
      <c r="J96" s="18">
        <f>I99</f>
        <v>42050.931249829766</v>
      </c>
      <c r="K96" s="18">
        <f ca="1">J99</f>
        <v>44155.616419975078</v>
      </c>
      <c r="L96" s="18">
        <f ca="1">K99</f>
        <v>46102.948266115614</v>
      </c>
      <c r="N96" t="s">
        <v>163</v>
      </c>
    </row>
    <row r="97" spans="3:18">
      <c r="C97" s="31" t="s">
        <v>30</v>
      </c>
      <c r="D97" s="3">
        <v>12734</v>
      </c>
      <c r="E97" s="3">
        <v>12451</v>
      </c>
      <c r="F97" s="3">
        <v>13313</v>
      </c>
      <c r="G97" s="3">
        <v>10495</v>
      </c>
      <c r="H97" s="3">
        <v>12925.83</v>
      </c>
      <c r="I97" s="3">
        <v>13238.84</v>
      </c>
      <c r="J97" s="3">
        <f ca="1">I97*(1+J36)</f>
        <v>14152.319959999999</v>
      </c>
      <c r="K97" s="3">
        <f t="shared" ref="K97:L97" ca="1" si="54">J97*(1+K36)</f>
        <v>15128.830037239999</v>
      </c>
      <c r="L97" s="3">
        <f t="shared" ca="1" si="54"/>
        <v>16172.719309809558</v>
      </c>
      <c r="N97" t="s">
        <v>250</v>
      </c>
    </row>
    <row r="98" spans="3:18">
      <c r="C98" s="69" t="s">
        <v>31</v>
      </c>
      <c r="D98" s="62">
        <v>-8300</v>
      </c>
      <c r="E98" s="62">
        <v>-8200</v>
      </c>
      <c r="F98" s="62">
        <v>-9300</v>
      </c>
      <c r="G98" s="62">
        <v>-11300</v>
      </c>
      <c r="H98" s="68">
        <f>-(H101*H97)</f>
        <v>-10486.511069482967</v>
      </c>
      <c r="I98" s="68">
        <f>-(I101*I97)</f>
        <v>-11005.227680687267</v>
      </c>
      <c r="J98" s="68">
        <f ca="1">-(J101*J97)</f>
        <v>-12047.634789854686</v>
      </c>
      <c r="K98" s="68">
        <f ca="1">-(K101*K97)</f>
        <v>-13181.498191099461</v>
      </c>
      <c r="L98" s="68">
        <f ca="1">-(L101*L97)</f>
        <v>-14414.475952481514</v>
      </c>
      <c r="N98" t="s">
        <v>162</v>
      </c>
    </row>
    <row r="99" spans="3:18">
      <c r="C99" s="35" t="s">
        <v>28</v>
      </c>
      <c r="D99" s="29">
        <f>D49</f>
        <v>0</v>
      </c>
      <c r="E99" s="29">
        <f>E49</f>
        <v>33783</v>
      </c>
      <c r="F99" s="29">
        <f>F49</f>
        <v>41304</v>
      </c>
      <c r="G99" s="29">
        <f>G49</f>
        <v>37378</v>
      </c>
      <c r="H99" s="29">
        <f>SUM(H96:H98)</f>
        <v>39817.318930517038</v>
      </c>
      <c r="I99" s="29">
        <f>SUM(I96:I98)</f>
        <v>42050.931249829766</v>
      </c>
      <c r="J99" s="29">
        <f ca="1">SUM(J96:J98)</f>
        <v>44155.616419975078</v>
      </c>
      <c r="K99" s="29">
        <f ca="1">SUM(K96:K98)</f>
        <v>46102.948266115614</v>
      </c>
      <c r="L99" s="29">
        <f ca="1">SUM(L96:L98)</f>
        <v>47861.191623443658</v>
      </c>
      <c r="N99" t="s">
        <v>161</v>
      </c>
    </row>
    <row r="100" spans="3:18">
      <c r="C100" s="28"/>
      <c r="D100" s="28"/>
      <c r="N100" s="19" t="s">
        <v>48</v>
      </c>
    </row>
    <row r="101" spans="3:18">
      <c r="C101" s="28" t="s">
        <v>121</v>
      </c>
      <c r="D101" s="28"/>
      <c r="E101" s="4">
        <f>-(E98/E97)</f>
        <v>0.6585816400289134</v>
      </c>
      <c r="F101" s="4">
        <f>-(F98/F97)</f>
        <v>0.69856531210095396</v>
      </c>
      <c r="G101" s="4">
        <f>-(G98/G97)</f>
        <v>1.0767031919961887</v>
      </c>
      <c r="H101" s="21">
        <f>AVERAGE(E101:G101)</f>
        <v>0.81128338137535205</v>
      </c>
      <c r="I101" s="21">
        <f>H101+$N$101</f>
        <v>0.83128338137535207</v>
      </c>
      <c r="J101" s="21">
        <f>I101+$N$101</f>
        <v>0.85128338137535209</v>
      </c>
      <c r="K101" s="21">
        <f>J101+$N$101</f>
        <v>0.87128338137535211</v>
      </c>
      <c r="L101" s="21">
        <f>K101+$N$101</f>
        <v>0.89128338137535212</v>
      </c>
      <c r="N101" s="175">
        <v>0.02</v>
      </c>
      <c r="P101" s="65"/>
      <c r="Q101" s="65"/>
      <c r="R101" s="65"/>
    </row>
    <row r="102" spans="3:18">
      <c r="C102" s="28"/>
      <c r="D102" s="28"/>
      <c r="E102" s="4"/>
      <c r="F102" s="4"/>
      <c r="G102" s="4"/>
      <c r="H102" s="21"/>
      <c r="I102" s="21"/>
      <c r="J102" s="21"/>
      <c r="K102" s="21"/>
      <c r="L102" s="21"/>
      <c r="P102" s="65"/>
      <c r="Q102" s="65"/>
      <c r="R102" s="65"/>
    </row>
    <row r="103" spans="3:18">
      <c r="C103" s="90" t="s">
        <v>127</v>
      </c>
      <c r="D103" s="90"/>
      <c r="E103" s="32"/>
      <c r="F103" s="32"/>
      <c r="G103" s="32"/>
      <c r="H103" s="91"/>
      <c r="I103" s="91"/>
      <c r="J103" s="91"/>
      <c r="K103" s="91"/>
      <c r="L103" s="91"/>
      <c r="P103" s="65"/>
      <c r="Q103" s="65"/>
      <c r="R103" s="65"/>
    </row>
    <row r="104" spans="3:18">
      <c r="C104" s="28" t="s">
        <v>153</v>
      </c>
      <c r="D104" s="18">
        <f t="shared" ref="D104" si="55">D106+D98</f>
        <v>2205</v>
      </c>
      <c r="E104" s="18">
        <f>E106+E98</f>
        <v>1957</v>
      </c>
      <c r="F104" s="18">
        <f>F106+F98</f>
        <v>1603</v>
      </c>
      <c r="G104" s="18">
        <f>G106+G98</f>
        <v>1247</v>
      </c>
      <c r="H104" s="15">
        <f ca="1">H105*H17</f>
        <v>1321.8200000000002</v>
      </c>
      <c r="I104" s="15">
        <f ca="1">I105*I17</f>
        <v>1413.02558</v>
      </c>
      <c r="J104" s="15">
        <f ca="1">J105*J17</f>
        <v>1510.5243450200001</v>
      </c>
      <c r="K104" s="15">
        <f ca="1">K105*K17</f>
        <v>1614.7505248263801</v>
      </c>
      <c r="L104" s="15">
        <f ca="1">L105*L17</f>
        <v>1726.1683110394001</v>
      </c>
      <c r="N104" t="s">
        <v>227</v>
      </c>
      <c r="P104" s="65"/>
      <c r="Q104" s="65"/>
      <c r="R104" s="65"/>
    </row>
    <row r="105" spans="3:18">
      <c r="C105" s="20" t="s">
        <v>154</v>
      </c>
      <c r="D105" s="60">
        <f t="shared" ref="D105" si="56">D104/D17</f>
        <v>1.0225423044996499E-2</v>
      </c>
      <c r="E105" s="60">
        <f>E104/E17</f>
        <v>8.537128000209393E-3</v>
      </c>
      <c r="F105" s="60">
        <f>F104/F17</f>
        <v>6.0355051864681188E-3</v>
      </c>
      <c r="G105" s="60">
        <f>G104/G17</f>
        <v>4.7929462590420259E-3</v>
      </c>
      <c r="H105" s="21">
        <f>G105</f>
        <v>4.7929462590420259E-3</v>
      </c>
      <c r="I105" s="21">
        <f>H105</f>
        <v>4.7929462590420259E-3</v>
      </c>
      <c r="J105" s="21">
        <f>I105</f>
        <v>4.7929462590420259E-3</v>
      </c>
      <c r="K105" s="21">
        <f>J105</f>
        <v>4.7929462590420259E-3</v>
      </c>
      <c r="L105" s="21">
        <f>K105</f>
        <v>4.7929462590420259E-3</v>
      </c>
      <c r="N105" t="s">
        <v>155</v>
      </c>
    </row>
    <row r="106" spans="3:18">
      <c r="C106" s="27" t="s">
        <v>108</v>
      </c>
      <c r="D106" s="29">
        <f t="shared" ref="D106" si="57">D30</f>
        <v>10505</v>
      </c>
      <c r="E106" s="29">
        <f>E30</f>
        <v>10157</v>
      </c>
      <c r="F106" s="29">
        <f>F30</f>
        <v>10903</v>
      </c>
      <c r="G106" s="29">
        <f>G30</f>
        <v>12547</v>
      </c>
      <c r="H106" s="17">
        <f ca="1">-H98+H104</f>
        <v>11808.331069482967</v>
      </c>
      <c r="I106" s="17">
        <f ca="1">-I98+I104</f>
        <v>12418.253260687266</v>
      </c>
      <c r="J106" s="17">
        <f ca="1">-J98+J104</f>
        <v>13558.159134874686</v>
      </c>
      <c r="K106" s="17">
        <f ca="1">-K98+K104</f>
        <v>14796.248715925842</v>
      </c>
      <c r="L106" s="17">
        <f ca="1">-L98+L104</f>
        <v>16140.644263520915</v>
      </c>
      <c r="N106" t="s">
        <v>157</v>
      </c>
    </row>
    <row r="107" spans="3:18">
      <c r="C107" s="28"/>
      <c r="D107" s="28"/>
      <c r="E107" s="18"/>
      <c r="F107" s="18"/>
      <c r="G107" s="18"/>
      <c r="I107" s="18"/>
      <c r="J107" s="18"/>
      <c r="K107" s="18"/>
      <c r="L107" s="18"/>
    </row>
    <row r="108" spans="3:18">
      <c r="C108" s="42" t="s">
        <v>126</v>
      </c>
      <c r="D108" s="42"/>
      <c r="E108" s="7"/>
      <c r="F108" s="7"/>
      <c r="G108" s="7"/>
      <c r="I108" s="18"/>
      <c r="J108" s="18"/>
      <c r="K108" s="18"/>
      <c r="L108" s="18"/>
    </row>
    <row r="109" spans="3:18">
      <c r="C109" s="28" t="s">
        <v>27</v>
      </c>
      <c r="D109" s="28"/>
      <c r="E109" s="18"/>
      <c r="H109" s="102">
        <f>G112</f>
        <v>32978</v>
      </c>
      <c r="I109" s="102">
        <f ca="1">H112</f>
        <v>34956.68</v>
      </c>
      <c r="J109" s="102">
        <f ca="1">I112</f>
        <v>37368.690920000001</v>
      </c>
      <c r="K109" s="102">
        <f ca="1">J112</f>
        <v>39947.130593479997</v>
      </c>
      <c r="L109" s="102">
        <f ca="1">K112</f>
        <v>42703.482604430115</v>
      </c>
      <c r="N109" t="s">
        <v>163</v>
      </c>
    </row>
    <row r="110" spans="3:18">
      <c r="C110" s="20" t="s">
        <v>122</v>
      </c>
      <c r="D110" s="20"/>
      <c r="H110" s="18">
        <f ca="1">-(H104)</f>
        <v>-1321.8200000000002</v>
      </c>
      <c r="I110" s="18">
        <f ca="1">-(I104)</f>
        <v>-1413.02558</v>
      </c>
      <c r="J110" s="18">
        <f ca="1">-(J104)</f>
        <v>-1510.5243450200001</v>
      </c>
      <c r="K110" s="18">
        <f ca="1">-(K104)</f>
        <v>-1614.7505248263801</v>
      </c>
      <c r="L110" s="18">
        <f ca="1">-(L104)</f>
        <v>-1726.1683110394001</v>
      </c>
      <c r="N110" t="s">
        <v>158</v>
      </c>
    </row>
    <row r="111" spans="3:18" ht="15" customHeight="1">
      <c r="C111" s="70" t="s">
        <v>123</v>
      </c>
      <c r="D111" s="70"/>
      <c r="E111" s="67"/>
      <c r="F111" s="67"/>
      <c r="G111" s="67"/>
      <c r="H111" s="94">
        <f ca="1">H112-H110-H109</f>
        <v>3300.5</v>
      </c>
      <c r="I111" s="94">
        <f ca="1">I112-I110-I109</f>
        <v>3825.036500000002</v>
      </c>
      <c r="J111" s="94">
        <f ca="1">J112-J110-J109</f>
        <v>4088.9640184999953</v>
      </c>
      <c r="K111" s="94">
        <f ca="1">K112-K110-K109</f>
        <v>4371.1025357764956</v>
      </c>
      <c r="L111" s="94">
        <f ca="1">L112-L110-L109</f>
        <v>4672.7086107450741</v>
      </c>
      <c r="N111" t="s">
        <v>164</v>
      </c>
    </row>
    <row r="112" spans="3:18">
      <c r="C112" s="35" t="s">
        <v>28</v>
      </c>
      <c r="D112" s="29"/>
      <c r="E112" s="29">
        <f t="shared" ref="E112:L112" si="58">E50</f>
        <v>18177</v>
      </c>
      <c r="F112" s="29">
        <f t="shared" si="58"/>
        <v>22283</v>
      </c>
      <c r="G112" s="29">
        <f t="shared" si="58"/>
        <v>32978</v>
      </c>
      <c r="H112" s="29">
        <f t="shared" ca="1" si="58"/>
        <v>34956.68</v>
      </c>
      <c r="I112" s="29">
        <f t="shared" ca="1" si="58"/>
        <v>37368.690920000001</v>
      </c>
      <c r="J112" s="29">
        <f t="shared" ca="1" si="58"/>
        <v>39947.130593479997</v>
      </c>
      <c r="K112" s="29">
        <f t="shared" ca="1" si="58"/>
        <v>42703.482604430115</v>
      </c>
      <c r="L112" s="29">
        <f t="shared" ca="1" si="58"/>
        <v>45650.022904135789</v>
      </c>
      <c r="N112" t="s">
        <v>165</v>
      </c>
    </row>
    <row r="113" spans="3:18">
      <c r="C113" s="20"/>
      <c r="D113" s="20"/>
      <c r="F113" s="18"/>
      <c r="G113" s="18"/>
      <c r="I113" s="18"/>
      <c r="J113" s="18"/>
      <c r="K113" s="18"/>
      <c r="L113" s="18"/>
    </row>
    <row r="114" spans="3:18">
      <c r="C114" s="43" t="s">
        <v>75</v>
      </c>
      <c r="D114" s="43"/>
      <c r="E114" s="42"/>
      <c r="F114" s="42"/>
      <c r="G114" s="42"/>
      <c r="H114" s="7"/>
      <c r="I114" s="7"/>
      <c r="J114" s="7"/>
      <c r="K114" s="7"/>
      <c r="L114" s="7"/>
    </row>
    <row r="115" spans="3:18">
      <c r="C115" s="28" t="s">
        <v>27</v>
      </c>
      <c r="D115" s="28"/>
      <c r="H115" s="18">
        <f>G119</f>
        <v>45898</v>
      </c>
      <c r="I115" s="18">
        <f ca="1">H119</f>
        <v>22017.276020006655</v>
      </c>
      <c r="J115" s="18">
        <f ca="1">I119</f>
        <v>855.77386828267481</v>
      </c>
      <c r="K115" s="18">
        <f ca="1">J119</f>
        <v>-17330.39862502797</v>
      </c>
      <c r="L115" s="18">
        <f ca="1">K119</f>
        <v>-32270.713270567998</v>
      </c>
      <c r="N115" t="s">
        <v>163</v>
      </c>
    </row>
    <row r="116" spans="3:18">
      <c r="C116" s="20" t="s">
        <v>62</v>
      </c>
      <c r="D116" s="15">
        <f t="shared" ref="D116:F116" si="59">D28</f>
        <v>45687</v>
      </c>
      <c r="E116" s="15">
        <f t="shared" si="59"/>
        <v>48351</v>
      </c>
      <c r="F116" s="15">
        <f t="shared" si="59"/>
        <v>59531</v>
      </c>
      <c r="G116" s="15">
        <f t="shared" ref="G116:L116" si="60">G28</f>
        <v>55256</v>
      </c>
      <c r="H116" s="18">
        <f t="shared" ca="1" si="60"/>
        <v>58068.411791803133</v>
      </c>
      <c r="I116" s="18">
        <f t="shared" ca="1" si="60"/>
        <v>61721.810321792007</v>
      </c>
      <c r="J116" s="18">
        <f t="shared" ca="1" si="60"/>
        <v>65719.301400773867</v>
      </c>
      <c r="K116" s="18">
        <f t="shared" ca="1" si="60"/>
        <v>70080.259438958354</v>
      </c>
      <c r="L116" s="18">
        <f t="shared" ca="1" si="60"/>
        <v>74831.34720758551</v>
      </c>
      <c r="N116" t="s">
        <v>100</v>
      </c>
    </row>
    <row r="117" spans="3:18">
      <c r="C117" s="20" t="s">
        <v>63</v>
      </c>
      <c r="D117" s="3">
        <v>-12188</v>
      </c>
      <c r="E117" s="3">
        <v>-12803</v>
      </c>
      <c r="F117" s="3">
        <v>-13735</v>
      </c>
      <c r="G117" s="3">
        <v>-14129</v>
      </c>
      <c r="H117" s="18">
        <f ca="1">H116*G117/G116</f>
        <v>-14848.135771796482</v>
      </c>
      <c r="I117" s="18">
        <f t="shared" ref="I117:L117" ca="1" si="61">I116*H117/H116</f>
        <v>-15782.312473515985</v>
      </c>
      <c r="J117" s="18">
        <f t="shared" ca="1" si="61"/>
        <v>-16804.473894084516</v>
      </c>
      <c r="K117" s="18">
        <f t="shared" ca="1" si="61"/>
        <v>-17919.574084498385</v>
      </c>
      <c r="L117" s="18">
        <f t="shared" ca="1" si="61"/>
        <v>-19134.430735050959</v>
      </c>
      <c r="N117" t="s">
        <v>247</v>
      </c>
    </row>
    <row r="118" spans="3:18">
      <c r="C118" s="70" t="s">
        <v>64</v>
      </c>
      <c r="D118" s="62">
        <v>-29000</v>
      </c>
      <c r="E118" s="62">
        <v>-33001</v>
      </c>
      <c r="F118" s="62">
        <v>-73056</v>
      </c>
      <c r="G118" s="62">
        <v>-67101</v>
      </c>
      <c r="H118" s="68">
        <f>G118</f>
        <v>-67101</v>
      </c>
      <c r="I118" s="68">
        <f t="shared" ref="I118:L118" si="62">H118</f>
        <v>-67101</v>
      </c>
      <c r="J118" s="68">
        <f t="shared" si="62"/>
        <v>-67101</v>
      </c>
      <c r="K118" s="68">
        <f t="shared" si="62"/>
        <v>-67101</v>
      </c>
      <c r="L118" s="68">
        <f t="shared" si="62"/>
        <v>-67101</v>
      </c>
      <c r="N118" t="s">
        <v>225</v>
      </c>
    </row>
    <row r="119" spans="3:18">
      <c r="C119" s="35" t="s">
        <v>28</v>
      </c>
      <c r="D119" s="17">
        <f>D62</f>
        <v>0</v>
      </c>
      <c r="E119" s="17">
        <f>E62</f>
        <v>98330</v>
      </c>
      <c r="F119" s="17">
        <f>F62</f>
        <v>70400</v>
      </c>
      <c r="G119" s="17">
        <f>G62</f>
        <v>45898</v>
      </c>
      <c r="H119" s="29">
        <f ca="1">SUM(H115:H118)</f>
        <v>22017.276020006655</v>
      </c>
      <c r="I119" s="29">
        <f ca="1">SUM(I115:I118)</f>
        <v>855.77386828267481</v>
      </c>
      <c r="J119" s="29">
        <f ca="1">SUM(J115:J118)</f>
        <v>-17330.39862502797</v>
      </c>
      <c r="K119" s="29">
        <f ca="1">SUM(K115:K118)</f>
        <v>-32270.713270567998</v>
      </c>
      <c r="L119" s="29">
        <f ca="1">SUM(L115:L118)</f>
        <v>-43674.796798033451</v>
      </c>
      <c r="N119" t="s">
        <v>160</v>
      </c>
    </row>
    <row r="120" spans="3:18">
      <c r="F120" s="34"/>
      <c r="G120" s="34"/>
    </row>
    <row r="121" spans="3:18">
      <c r="C121" s="5" t="s">
        <v>128</v>
      </c>
      <c r="D121" s="5"/>
      <c r="E121" s="7"/>
      <c r="F121" s="7"/>
      <c r="G121" s="7"/>
      <c r="H121" s="7"/>
      <c r="I121" s="7"/>
      <c r="J121" s="7"/>
      <c r="K121" s="7"/>
      <c r="L121" s="7"/>
      <c r="P121" s="65"/>
      <c r="Q121" s="65"/>
    </row>
    <row r="122" spans="3:18">
      <c r="C122" s="26" t="str">
        <f t="shared" ref="C122:L123" si="63">C14</f>
        <v xml:space="preserve">Fiscal year  </v>
      </c>
      <c r="D122" s="26"/>
      <c r="E122" s="23">
        <f t="shared" si="63"/>
        <v>2017</v>
      </c>
      <c r="F122" s="23">
        <f t="shared" si="63"/>
        <v>2018</v>
      </c>
      <c r="G122" s="23">
        <f t="shared" si="63"/>
        <v>2019</v>
      </c>
      <c r="H122" s="24">
        <f t="shared" si="63"/>
        <v>2020</v>
      </c>
      <c r="I122" s="24">
        <f t="shared" si="63"/>
        <v>2021</v>
      </c>
      <c r="J122" s="24">
        <f t="shared" si="63"/>
        <v>2022</v>
      </c>
      <c r="K122" s="24">
        <f t="shared" si="63"/>
        <v>2023</v>
      </c>
      <c r="L122" s="24">
        <f>L14</f>
        <v>2024</v>
      </c>
      <c r="P122" s="65"/>
      <c r="Q122" s="65"/>
    </row>
    <row r="123" spans="3:18">
      <c r="C123" s="7" t="str">
        <f t="shared" si="63"/>
        <v>Fiscal year end date</v>
      </c>
      <c r="D123" s="7"/>
      <c r="E123" s="25">
        <f t="shared" si="63"/>
        <v>43008</v>
      </c>
      <c r="F123" s="25">
        <f t="shared" si="63"/>
        <v>43372</v>
      </c>
      <c r="G123" s="25">
        <f t="shared" si="63"/>
        <v>43737</v>
      </c>
      <c r="H123" s="25">
        <f t="shared" si="63"/>
        <v>44104</v>
      </c>
      <c r="I123" s="25">
        <f t="shared" si="63"/>
        <v>44469</v>
      </c>
      <c r="J123" s="25">
        <f t="shared" si="63"/>
        <v>44834</v>
      </c>
      <c r="K123" s="25">
        <f t="shared" si="63"/>
        <v>45199</v>
      </c>
      <c r="L123" s="25">
        <f t="shared" si="63"/>
        <v>45565</v>
      </c>
      <c r="P123" s="65"/>
      <c r="Q123" s="65"/>
    </row>
    <row r="124" spans="3:18">
      <c r="C124" s="16"/>
      <c r="D124" s="16"/>
      <c r="P124" s="65"/>
      <c r="Q124" s="65"/>
    </row>
    <row r="125" spans="3:18">
      <c r="C125" s="19" t="s">
        <v>39</v>
      </c>
      <c r="D125" s="19"/>
      <c r="P125" s="65"/>
      <c r="Q125" s="65"/>
      <c r="R125" s="65"/>
    </row>
    <row r="126" spans="3:18">
      <c r="C126" s="20" t="s">
        <v>45</v>
      </c>
      <c r="D126" s="20"/>
      <c r="H126" s="18">
        <f>G45</f>
        <v>205898</v>
      </c>
      <c r="I126" s="18">
        <f ca="1">H45</f>
        <v>194727.25772280112</v>
      </c>
      <c r="J126" s="18">
        <f ca="1">I45</f>
        <v>181481.27399546286</v>
      </c>
      <c r="K126" s="18">
        <f ca="1">J45</f>
        <v>172039.83709702062</v>
      </c>
      <c r="L126" s="18">
        <f ca="1">K45</f>
        <v>166750.2214031397</v>
      </c>
      <c r="N126" t="s">
        <v>168</v>
      </c>
      <c r="P126" s="65"/>
      <c r="Q126" s="65"/>
    </row>
    <row r="127" spans="3:18">
      <c r="C127" s="20" t="s">
        <v>69</v>
      </c>
      <c r="D127" s="20"/>
      <c r="H127" s="3">
        <v>-50000</v>
      </c>
      <c r="I127" s="3">
        <v>-50000</v>
      </c>
      <c r="J127" s="3">
        <v>-50000</v>
      </c>
      <c r="K127" s="3">
        <v>-50000</v>
      </c>
      <c r="L127" s="3">
        <v>-50000</v>
      </c>
      <c r="N127" t="s">
        <v>124</v>
      </c>
      <c r="P127" s="65"/>
      <c r="Q127" s="65"/>
    </row>
    <row r="128" spans="3:18">
      <c r="C128" s="70" t="s">
        <v>40</v>
      </c>
      <c r="D128" s="70"/>
      <c r="E128" s="67"/>
      <c r="F128" s="67"/>
      <c r="G128" s="67"/>
      <c r="H128" s="68">
        <f ca="1">SUM(H79,H82,H84,H86,H87)</f>
        <v>-17190.74227719886</v>
      </c>
      <c r="I128" s="68">
        <f ca="1">SUM(I79,I82,I84,I86,I87)</f>
        <v>-13245.983727338249</v>
      </c>
      <c r="J128" s="68">
        <f ca="1">SUM(J79,J82,J84,J86,J87)</f>
        <v>-9441.4368984422508</v>
      </c>
      <c r="K128" s="68">
        <f ca="1">SUM(K79,K82,K84,K86,K87)</f>
        <v>-5289.6156938809327</v>
      </c>
      <c r="L128" s="68">
        <f ca="1">SUM(L79,L82,L84,L86,L87)</f>
        <v>-764.03196194569682</v>
      </c>
      <c r="N128" t="s">
        <v>169</v>
      </c>
    </row>
    <row r="129" spans="3:20">
      <c r="C129" s="35" t="s">
        <v>101</v>
      </c>
      <c r="D129" s="35"/>
      <c r="H129" s="29">
        <f ca="1">SUM(H126:H128)</f>
        <v>138707.25772280115</v>
      </c>
      <c r="I129" s="29">
        <f ca="1">SUM(I126:I128)</f>
        <v>131481.27399546286</v>
      </c>
      <c r="J129" s="29">
        <f ca="1">SUM(J126:J128)</f>
        <v>122039.83709702062</v>
      </c>
      <c r="K129" s="29">
        <f ca="1">SUM(K126:K128)</f>
        <v>116750.22140313969</v>
      </c>
      <c r="L129" s="29">
        <f ca="1">SUM(L126:L128)</f>
        <v>115986.189441194</v>
      </c>
    </row>
    <row r="131" spans="3:20">
      <c r="C131" s="16" t="s">
        <v>111</v>
      </c>
      <c r="D131" s="16"/>
    </row>
    <row r="132" spans="3:20">
      <c r="C132" s="20" t="s">
        <v>27</v>
      </c>
      <c r="D132" s="20"/>
      <c r="H132" s="18">
        <f>G135</f>
        <v>5980</v>
      </c>
      <c r="I132" s="18">
        <f ca="1">H135</f>
        <v>12000</v>
      </c>
      <c r="J132" s="18">
        <f ca="1">I135</f>
        <v>12000</v>
      </c>
      <c r="K132" s="18">
        <f ca="1">J135</f>
        <v>12000</v>
      </c>
      <c r="L132" s="18">
        <f ca="1">K135</f>
        <v>12000</v>
      </c>
      <c r="N132" t="s">
        <v>163</v>
      </c>
    </row>
    <row r="133" spans="3:20">
      <c r="C133" s="31" t="s">
        <v>171</v>
      </c>
      <c r="D133" s="31"/>
      <c r="H133" s="18">
        <f ca="1">-MIN(H129,H132)</f>
        <v>-5980</v>
      </c>
      <c r="I133" s="18">
        <f ca="1">-MIN(I129,I132)</f>
        <v>-12000</v>
      </c>
      <c r="J133" s="18">
        <f ca="1">-MIN(J129,J132)</f>
        <v>-12000</v>
      </c>
      <c r="K133" s="18">
        <f ca="1">-MIN(K129,K132)</f>
        <v>-12000</v>
      </c>
      <c r="L133" s="18">
        <f ca="1">-MIN(L129,L132)</f>
        <v>-12000</v>
      </c>
      <c r="N133" t="s">
        <v>170</v>
      </c>
    </row>
    <row r="134" spans="3:20">
      <c r="C134" s="69" t="s">
        <v>125</v>
      </c>
      <c r="D134" s="69"/>
      <c r="E134" s="67"/>
      <c r="F134" s="67"/>
      <c r="G134" s="67"/>
      <c r="H134" s="62">
        <v>12000</v>
      </c>
      <c r="I134" s="62">
        <v>12000</v>
      </c>
      <c r="J134" s="62">
        <v>12000</v>
      </c>
      <c r="K134" s="62">
        <v>12000</v>
      </c>
      <c r="L134" s="62">
        <v>12000</v>
      </c>
      <c r="N134" t="s">
        <v>124</v>
      </c>
    </row>
    <row r="135" spans="3:20">
      <c r="C135" s="20" t="s">
        <v>28</v>
      </c>
      <c r="D135" s="68"/>
      <c r="E135" s="68">
        <f>E56</f>
        <v>11977</v>
      </c>
      <c r="F135" s="68">
        <f>F56</f>
        <v>11964</v>
      </c>
      <c r="G135" s="68">
        <f>G56</f>
        <v>5980</v>
      </c>
      <c r="H135" s="106">
        <f ca="1">SUM(H132:H134)</f>
        <v>12000</v>
      </c>
      <c r="I135" s="106">
        <f ca="1">SUM(I132:I134)</f>
        <v>12000</v>
      </c>
      <c r="J135" s="106">
        <f ca="1">SUM(J132:J134)</f>
        <v>12000</v>
      </c>
      <c r="K135" s="106">
        <f ca="1">SUM(K132:K134)</f>
        <v>12000</v>
      </c>
      <c r="L135" s="106">
        <f ca="1">SUM(L132:L134)</f>
        <v>12000</v>
      </c>
    </row>
    <row r="136" spans="3:20">
      <c r="C136" s="82" t="s">
        <v>117</v>
      </c>
      <c r="D136" s="183"/>
      <c r="E136" s="87"/>
      <c r="F136" s="87"/>
      <c r="G136" s="88"/>
      <c r="H136" s="83" t="str">
        <f ca="1">IF(H135&lt;0,"Negative Debt","OK")</f>
        <v>OK</v>
      </c>
      <c r="I136" s="83" t="str">
        <f ca="1">IF(I135&lt;0,"Negative Debt","OK")</f>
        <v>OK</v>
      </c>
      <c r="J136" s="83" t="str">
        <f ca="1">IF(J135&lt;0,"Negative Debt","OK")</f>
        <v>OK</v>
      </c>
      <c r="K136" s="83" t="str">
        <f ca="1">IF(K135&lt;0,"Negative Debt","OK")</f>
        <v>OK</v>
      </c>
      <c r="L136" s="83" t="str">
        <f ca="1">IF(L135&lt;0,"Negative Debt","OK")</f>
        <v>OK</v>
      </c>
      <c r="T136" s="34"/>
    </row>
    <row r="137" spans="3:20">
      <c r="E137" s="18"/>
      <c r="F137" s="18"/>
      <c r="G137" s="85"/>
      <c r="H137" s="86"/>
      <c r="I137" s="86"/>
      <c r="J137" s="86"/>
      <c r="K137" s="86"/>
      <c r="L137" s="86"/>
      <c r="T137" s="34"/>
    </row>
    <row r="138" spans="3:20">
      <c r="C138" s="5" t="s">
        <v>43</v>
      </c>
      <c r="D138" s="5"/>
      <c r="E138" s="32"/>
      <c r="F138" s="32"/>
      <c r="G138" s="32"/>
      <c r="H138" s="33"/>
      <c r="I138" s="33"/>
      <c r="J138" s="33"/>
      <c r="K138" s="33"/>
      <c r="L138" s="33"/>
      <c r="S138" s="66"/>
    </row>
    <row r="139" spans="3:20">
      <c r="C139" s="26" t="str">
        <f t="shared" ref="C139:L140" si="64">C14</f>
        <v xml:space="preserve">Fiscal year  </v>
      </c>
      <c r="D139" s="26"/>
      <c r="E139" s="23">
        <f t="shared" si="64"/>
        <v>2017</v>
      </c>
      <c r="F139" s="23">
        <f t="shared" si="64"/>
        <v>2018</v>
      </c>
      <c r="G139" s="23">
        <f t="shared" si="64"/>
        <v>2019</v>
      </c>
      <c r="H139" s="24">
        <f t="shared" si="64"/>
        <v>2020</v>
      </c>
      <c r="I139" s="24">
        <f t="shared" si="64"/>
        <v>2021</v>
      </c>
      <c r="J139" s="24">
        <f t="shared" si="64"/>
        <v>2022</v>
      </c>
      <c r="K139" s="24">
        <f t="shared" si="64"/>
        <v>2023</v>
      </c>
      <c r="L139" s="24">
        <f t="shared" si="64"/>
        <v>2024</v>
      </c>
      <c r="S139" s="66"/>
      <c r="T139" s="34"/>
    </row>
    <row r="140" spans="3:20">
      <c r="C140" s="7" t="str">
        <f t="shared" si="64"/>
        <v>Fiscal year end date</v>
      </c>
      <c r="D140" s="7"/>
      <c r="E140" s="25">
        <f t="shared" si="64"/>
        <v>43008</v>
      </c>
      <c r="F140" s="25">
        <f t="shared" si="64"/>
        <v>43372</v>
      </c>
      <c r="G140" s="25">
        <f t="shared" si="64"/>
        <v>43737</v>
      </c>
      <c r="H140" s="25">
        <f t="shared" si="64"/>
        <v>44104</v>
      </c>
      <c r="I140" s="25">
        <f t="shared" si="64"/>
        <v>44469</v>
      </c>
      <c r="J140" s="25">
        <f t="shared" si="64"/>
        <v>44834</v>
      </c>
      <c r="K140" s="25">
        <f t="shared" si="64"/>
        <v>45199</v>
      </c>
      <c r="L140" s="25">
        <f t="shared" si="64"/>
        <v>45565</v>
      </c>
      <c r="S140" s="66"/>
    </row>
    <row r="141" spans="3:20">
      <c r="C141" s="20"/>
      <c r="D141" s="20"/>
      <c r="E141" s="18"/>
      <c r="F141" s="18"/>
      <c r="G141" s="18"/>
      <c r="H141" s="89"/>
      <c r="I141" s="89"/>
      <c r="J141" s="89"/>
      <c r="K141" s="89"/>
      <c r="L141" s="89"/>
      <c r="S141" s="66"/>
    </row>
    <row r="142" spans="3:20">
      <c r="C142" s="28" t="s">
        <v>118</v>
      </c>
      <c r="D142" s="18">
        <f t="shared" ref="D142" si="65">-(D24)</f>
        <v>1456</v>
      </c>
      <c r="E142" s="18">
        <f>-(E24)</f>
        <v>2323</v>
      </c>
      <c r="F142" s="18">
        <f>-(F24)</f>
        <v>3240</v>
      </c>
      <c r="G142" s="18">
        <f>-(G24)</f>
        <v>3576</v>
      </c>
      <c r="H142" s="18">
        <f ca="1">H147+H152</f>
        <v>3568.9466179543074</v>
      </c>
      <c r="I142" s="18">
        <f ca="1">I147+I152</f>
        <v>3636.3706179543074</v>
      </c>
      <c r="J142" s="18">
        <f ca="1">J147+J152</f>
        <v>3636.3706179543074</v>
      </c>
      <c r="K142" s="18">
        <f ca="1">K147+K152</f>
        <v>3636.3706179543074</v>
      </c>
      <c r="L142" s="18">
        <f ca="1">L147+L152</f>
        <v>3636.3706179543074</v>
      </c>
      <c r="N142" t="s">
        <v>172</v>
      </c>
      <c r="S142" s="34"/>
    </row>
    <row r="143" spans="3:20">
      <c r="C143" s="39"/>
      <c r="D143" s="39"/>
      <c r="S143" s="34"/>
    </row>
    <row r="144" spans="3:20">
      <c r="C144" s="61" t="s">
        <v>68</v>
      </c>
      <c r="D144" s="61"/>
      <c r="S144" s="34"/>
    </row>
    <row r="145" spans="3:19">
      <c r="C145" s="20" t="s">
        <v>109</v>
      </c>
      <c r="D145" s="20"/>
      <c r="E145" s="37">
        <v>1.2E-2</v>
      </c>
      <c r="F145" s="37">
        <v>2.18E-2</v>
      </c>
      <c r="G145" s="37">
        <v>2.24E-2</v>
      </c>
      <c r="H145" s="125">
        <f>G145</f>
        <v>2.24E-2</v>
      </c>
      <c r="I145" s="125">
        <f>H145</f>
        <v>2.24E-2</v>
      </c>
      <c r="J145" s="125">
        <f>I145</f>
        <v>2.24E-2</v>
      </c>
      <c r="K145" s="125">
        <f>J145</f>
        <v>2.24E-2</v>
      </c>
      <c r="L145" s="125">
        <f>K145</f>
        <v>2.24E-2</v>
      </c>
      <c r="N145" t="s">
        <v>129</v>
      </c>
    </row>
    <row r="146" spans="3:19">
      <c r="C146" s="20" t="s">
        <v>110</v>
      </c>
      <c r="D146" s="70"/>
      <c r="E146" s="68">
        <f t="shared" ref="E146:L146" si="66">E56</f>
        <v>11977</v>
      </c>
      <c r="F146" s="68">
        <f t="shared" si="66"/>
        <v>11964</v>
      </c>
      <c r="G146" s="68">
        <f t="shared" si="66"/>
        <v>5980</v>
      </c>
      <c r="H146" s="18">
        <f t="shared" ca="1" si="66"/>
        <v>12000</v>
      </c>
      <c r="I146" s="18">
        <f t="shared" ca="1" si="66"/>
        <v>12000</v>
      </c>
      <c r="J146" s="18">
        <f t="shared" ca="1" si="66"/>
        <v>12000</v>
      </c>
      <c r="K146" s="18">
        <f t="shared" ca="1" si="66"/>
        <v>12000</v>
      </c>
      <c r="L146" s="18">
        <f t="shared" ca="1" si="66"/>
        <v>12000</v>
      </c>
      <c r="N146" t="s">
        <v>174</v>
      </c>
    </row>
    <row r="147" spans="3:19">
      <c r="C147" s="108" t="s">
        <v>41</v>
      </c>
      <c r="D147" s="184"/>
      <c r="E147" s="29">
        <f>AVERAGE(D146:E146)*E145</f>
        <v>143.72399999999999</v>
      </c>
      <c r="F147" s="29">
        <f>AVERAGE(E146:F146)*F145</f>
        <v>260.95690000000002</v>
      </c>
      <c r="G147" s="29">
        <f>AVERAGE(F146:G146)*G145</f>
        <v>200.97280000000001</v>
      </c>
      <c r="H147" s="109">
        <f ca="1">IF($D$7=1,AVERAGE(G146,H146)*H145,0)</f>
        <v>201.376</v>
      </c>
      <c r="I147" s="109">
        <f t="shared" ref="I147:L147" ca="1" si="67">IF($D$7=1,AVERAGE(H146,I146)*I145,0)</f>
        <v>268.8</v>
      </c>
      <c r="J147" s="109">
        <f t="shared" ca="1" si="67"/>
        <v>268.8</v>
      </c>
      <c r="K147" s="109">
        <f t="shared" ca="1" si="67"/>
        <v>268.8</v>
      </c>
      <c r="L147" s="109">
        <f t="shared" ca="1" si="67"/>
        <v>268.8</v>
      </c>
      <c r="N147" t="s">
        <v>173</v>
      </c>
    </row>
    <row r="148" spans="3:19">
      <c r="C148" s="49"/>
      <c r="D148" s="49"/>
      <c r="E148" s="18"/>
      <c r="F148" s="18"/>
      <c r="G148" s="18"/>
    </row>
    <row r="149" spans="3:19">
      <c r="C149" s="61" t="s">
        <v>67</v>
      </c>
      <c r="D149" s="61"/>
      <c r="E149" s="18"/>
      <c r="F149" s="18"/>
      <c r="G149" s="18"/>
    </row>
    <row r="150" spans="3:19">
      <c r="C150" s="20" t="s">
        <v>110</v>
      </c>
      <c r="D150" s="20"/>
      <c r="E150" s="18">
        <f t="shared" ref="E150" si="68">E57</f>
        <v>103703</v>
      </c>
      <c r="F150" s="18">
        <f t="shared" ref="F150:L150" si="69">F57</f>
        <v>102519</v>
      </c>
      <c r="G150" s="18">
        <f t="shared" si="69"/>
        <v>102067</v>
      </c>
      <c r="H150" s="18">
        <f t="shared" si="69"/>
        <v>102067</v>
      </c>
      <c r="I150" s="18">
        <f t="shared" si="69"/>
        <v>102067</v>
      </c>
      <c r="J150" s="18">
        <f t="shared" si="69"/>
        <v>102067</v>
      </c>
      <c r="K150" s="18">
        <f t="shared" si="69"/>
        <v>102067</v>
      </c>
      <c r="L150" s="18">
        <f t="shared" si="69"/>
        <v>102067</v>
      </c>
      <c r="N150" t="s">
        <v>175</v>
      </c>
    </row>
    <row r="151" spans="3:19">
      <c r="C151" s="20" t="s">
        <v>109</v>
      </c>
      <c r="D151" s="20"/>
      <c r="E151" s="60">
        <f t="shared" ref="E151" si="70">E152/AVERAGE(D150:E150)</f>
        <v>2.101458974185896E-2</v>
      </c>
      <c r="F151" s="60">
        <f t="shared" ref="F151" si="71">F152/AVERAGE(E150:F150)</f>
        <v>2.8891612921996681E-2</v>
      </c>
      <c r="G151" s="60">
        <f>G152/AVERAGE(F150:G150)</f>
        <v>3.2993725865895024E-2</v>
      </c>
      <c r="H151" s="182">
        <f>G151</f>
        <v>3.2993725865895024E-2</v>
      </c>
      <c r="I151" s="182">
        <f>H151</f>
        <v>3.2993725865895024E-2</v>
      </c>
      <c r="J151" s="182">
        <f>I151</f>
        <v>3.2993725865895024E-2</v>
      </c>
      <c r="K151" s="182">
        <f>J151</f>
        <v>3.2993725865895024E-2</v>
      </c>
      <c r="L151" s="182">
        <f>K151</f>
        <v>3.2993725865895024E-2</v>
      </c>
      <c r="N151" t="s">
        <v>129</v>
      </c>
      <c r="S151" s="66"/>
    </row>
    <row r="152" spans="3:19">
      <c r="C152" s="35" t="s">
        <v>177</v>
      </c>
      <c r="D152" s="35"/>
      <c r="E152" s="29">
        <f t="shared" ref="E152" si="72">E142-E147</f>
        <v>2179.2759999999998</v>
      </c>
      <c r="F152" s="29">
        <f>F142-F147</f>
        <v>2979.0430999999999</v>
      </c>
      <c r="G152" s="29">
        <f>G142-G147</f>
        <v>3375.0272</v>
      </c>
      <c r="H152" s="17">
        <f>H151*AVERAGE(G150:H150)</f>
        <v>3367.5706179543072</v>
      </c>
      <c r="I152" s="17">
        <f>I151*AVERAGE(H150:I150)</f>
        <v>3367.5706179543072</v>
      </c>
      <c r="J152" s="17">
        <f>J151*AVERAGE(I150:J150)</f>
        <v>3367.5706179543072</v>
      </c>
      <c r="K152" s="17">
        <f>K151*AVERAGE(J150:K150)</f>
        <v>3367.5706179543072</v>
      </c>
      <c r="L152" s="17">
        <f>L151*AVERAGE(K150:L150)</f>
        <v>3367.5706179543072</v>
      </c>
      <c r="N152" t="s">
        <v>112</v>
      </c>
    </row>
    <row r="153" spans="3:19">
      <c r="F153" s="18"/>
    </row>
    <row r="154" spans="3:19">
      <c r="C154" s="39" t="s">
        <v>42</v>
      </c>
      <c r="D154" s="39"/>
      <c r="F154" s="18"/>
      <c r="G154" s="18"/>
    </row>
    <row r="155" spans="3:19" ht="15" customHeight="1">
      <c r="C155" s="20" t="s">
        <v>113</v>
      </c>
      <c r="D155" s="36">
        <v>1.7299999999999999E-2</v>
      </c>
      <c r="E155" s="37">
        <v>1.9900000000000001E-2</v>
      </c>
      <c r="F155" s="37">
        <v>2.1600000000000001E-2</v>
      </c>
      <c r="G155" s="37">
        <v>2.1899999999999999E-2</v>
      </c>
      <c r="H155" s="126">
        <f>G155</f>
        <v>2.1899999999999999E-2</v>
      </c>
      <c r="I155" s="126">
        <f>H155</f>
        <v>2.1899999999999999E-2</v>
      </c>
      <c r="J155" s="126">
        <f>I155</f>
        <v>2.1899999999999999E-2</v>
      </c>
      <c r="K155" s="126">
        <f>J155</f>
        <v>2.1899999999999999E-2</v>
      </c>
      <c r="L155" s="126">
        <f>K155</f>
        <v>2.1899999999999999E-2</v>
      </c>
      <c r="N155" t="s">
        <v>129</v>
      </c>
    </row>
    <row r="156" spans="3:19" ht="15" customHeight="1">
      <c r="C156" s="20" t="s">
        <v>4</v>
      </c>
      <c r="D156" s="18">
        <f>D23</f>
        <v>3999</v>
      </c>
      <c r="E156" s="18">
        <f>E23</f>
        <v>5201</v>
      </c>
      <c r="F156" s="18">
        <f>F23</f>
        <v>5686</v>
      </c>
      <c r="G156" s="18">
        <f>G23</f>
        <v>4961</v>
      </c>
      <c r="H156" s="15">
        <f ca="1">IF($D$7=1,AVERAGE(G45,H45)*H155,0)</f>
        <v>4386.8465720646718</v>
      </c>
      <c r="I156" s="15">
        <f t="shared" ref="I156:L156" ca="1" si="73">IF($D$7=1,AVERAGE(H45,I45)*I155,0)</f>
        <v>4119.4834223149901</v>
      </c>
      <c r="J156" s="15">
        <f t="shared" ca="1" si="73"/>
        <v>3871.0561664626944</v>
      </c>
      <c r="K156" s="15">
        <f t="shared" ca="1" si="73"/>
        <v>3709.7511405767555</v>
      </c>
      <c r="L156" s="15">
        <f t="shared" ca="1" si="73"/>
        <v>3643.4636987454537</v>
      </c>
      <c r="N156" t="s">
        <v>176</v>
      </c>
    </row>
    <row r="157" spans="3:19">
      <c r="C157" s="41"/>
      <c r="D157" s="41"/>
      <c r="E157" s="60"/>
      <c r="F157" s="60"/>
      <c r="G157" s="60"/>
      <c r="H157" s="60"/>
      <c r="I157" s="60"/>
    </row>
    <row r="158" spans="3:19">
      <c r="C158" s="5" t="s">
        <v>204</v>
      </c>
      <c r="D158" s="5"/>
      <c r="E158" s="5"/>
      <c r="F158" s="5"/>
      <c r="G158" s="5"/>
      <c r="H158" s="5"/>
      <c r="I158" s="5"/>
      <c r="J158" s="5"/>
      <c r="K158" s="5"/>
      <c r="L158" s="5"/>
    </row>
    <row r="159" spans="3:19">
      <c r="C159" s="26"/>
      <c r="D159" s="23">
        <f t="shared" ref="D159:K160" si="74">D14</f>
        <v>2016</v>
      </c>
      <c r="E159" s="23">
        <f t="shared" si="74"/>
        <v>2017</v>
      </c>
      <c r="F159" s="23">
        <f t="shared" si="74"/>
        <v>2018</v>
      </c>
      <c r="G159" s="24">
        <f t="shared" si="74"/>
        <v>2019</v>
      </c>
      <c r="H159" s="24">
        <f t="shared" si="74"/>
        <v>2020</v>
      </c>
      <c r="I159" s="24">
        <f t="shared" si="74"/>
        <v>2021</v>
      </c>
      <c r="J159" s="24">
        <f t="shared" si="74"/>
        <v>2022</v>
      </c>
      <c r="K159" s="24">
        <f t="shared" si="74"/>
        <v>2023</v>
      </c>
      <c r="L159" s="24">
        <f>L14</f>
        <v>2024</v>
      </c>
    </row>
    <row r="160" spans="3:19">
      <c r="C160" s="7"/>
      <c r="D160" s="25">
        <f t="shared" si="74"/>
        <v>42643</v>
      </c>
      <c r="E160" s="25">
        <f t="shared" si="74"/>
        <v>43008</v>
      </c>
      <c r="F160" s="25">
        <f t="shared" si="74"/>
        <v>43372</v>
      </c>
      <c r="G160" s="25">
        <f t="shared" si="74"/>
        <v>43737</v>
      </c>
      <c r="H160" s="25">
        <f t="shared" si="74"/>
        <v>44104</v>
      </c>
      <c r="I160" s="25">
        <f t="shared" si="74"/>
        <v>44469</v>
      </c>
      <c r="J160" s="25">
        <f t="shared" si="74"/>
        <v>44834</v>
      </c>
      <c r="K160" s="25">
        <f t="shared" si="74"/>
        <v>45199</v>
      </c>
      <c r="L160" s="25">
        <f t="shared" ref="L160" si="75">L15</f>
        <v>45565</v>
      </c>
    </row>
    <row r="161" spans="3:14">
      <c r="G161" s="22"/>
      <c r="H161" s="22"/>
      <c r="I161" s="22"/>
      <c r="J161" s="21"/>
      <c r="K161" s="21"/>
    </row>
    <row r="162" spans="3:14">
      <c r="C162" t="s">
        <v>2</v>
      </c>
      <c r="D162" s="18">
        <f t="shared" ref="D162:F162" si="76">D28</f>
        <v>45687</v>
      </c>
      <c r="E162" s="18">
        <f t="shared" si="76"/>
        <v>48351</v>
      </c>
      <c r="F162" s="18">
        <f t="shared" si="76"/>
        <v>59531</v>
      </c>
      <c r="G162" s="18">
        <f>G28</f>
        <v>55256</v>
      </c>
      <c r="H162" s="18">
        <f t="shared" ref="H162:L162" ca="1" si="77">H28</f>
        <v>58068.411791803133</v>
      </c>
      <c r="I162" s="18">
        <f t="shared" ca="1" si="77"/>
        <v>61721.810321792007</v>
      </c>
      <c r="J162" s="18">
        <f t="shared" ca="1" si="77"/>
        <v>65719.301400773867</v>
      </c>
      <c r="K162" s="18">
        <f t="shared" ca="1" si="77"/>
        <v>70080.259438958354</v>
      </c>
      <c r="L162" s="18">
        <f t="shared" ca="1" si="77"/>
        <v>74831.34720758551</v>
      </c>
      <c r="N162" t="s">
        <v>213</v>
      </c>
    </row>
    <row r="163" spans="3:14">
      <c r="C163" t="s">
        <v>205</v>
      </c>
      <c r="D163" s="3">
        <v>5470.82</v>
      </c>
      <c r="E163" s="3">
        <v>5217.2420000000002</v>
      </c>
      <c r="F163" s="3">
        <v>4955.3770000000004</v>
      </c>
      <c r="G163" s="3">
        <v>4617.8340000000007</v>
      </c>
      <c r="H163" s="18">
        <f ca="1">G163+(-H169+H170)/H171</f>
        <v>4415.6042666666672</v>
      </c>
      <c r="I163" s="18">
        <f t="shared" ref="I163:L163" ca="1" si="78">H163+(-I169+I170)/I171</f>
        <v>4226.7366003288953</v>
      </c>
      <c r="J163" s="18">
        <f t="shared" ca="1" si="78"/>
        <v>4050.7544851611069</v>
      </c>
      <c r="K163" s="18">
        <f t="shared" ca="1" si="78"/>
        <v>3887.1242032553955</v>
      </c>
      <c r="L163" s="18">
        <f t="shared" ca="1" si="78"/>
        <v>3735.285297408378</v>
      </c>
      <c r="N163" t="s">
        <v>235</v>
      </c>
    </row>
    <row r="164" spans="3:14">
      <c r="C164" s="16" t="s">
        <v>206</v>
      </c>
      <c r="D164" s="166">
        <f t="shared" ref="D164:F164" si="79">D162/D163</f>
        <v>8.3510333003096431</v>
      </c>
      <c r="E164" s="166">
        <f t="shared" si="79"/>
        <v>9.2675402061088974</v>
      </c>
      <c r="F164" s="166">
        <f t="shared" si="79"/>
        <v>12.0134149228202</v>
      </c>
      <c r="G164" s="166">
        <f t="shared" ref="G164" si="80">G162/G163</f>
        <v>11.965783092246276</v>
      </c>
      <c r="H164" s="166">
        <f ca="1">H162/H163</f>
        <v>13.150728254830428</v>
      </c>
      <c r="I164" s="166">
        <f ca="1">I162/I163</f>
        <v>14.602710355073757</v>
      </c>
      <c r="J164" s="166">
        <f ca="1">J162/J163</f>
        <v>16.223965594932885</v>
      </c>
      <c r="K164" s="166">
        <f ca="1">K162/K163</f>
        <v>18.028819192416702</v>
      </c>
      <c r="L164" s="166">
        <f ca="1">L162/L163</f>
        <v>20.033636322105068</v>
      </c>
      <c r="N164" t="s">
        <v>216</v>
      </c>
    </row>
    <row r="165" spans="3:14">
      <c r="E165" s="3"/>
      <c r="F165" s="3"/>
      <c r="G165" s="3"/>
      <c r="H165" s="18"/>
    </row>
    <row r="166" spans="3:14">
      <c r="C166" t="s">
        <v>207</v>
      </c>
      <c r="D166" s="3">
        <v>5500.2809999999999</v>
      </c>
      <c r="E166" s="3">
        <v>5251.692</v>
      </c>
      <c r="F166" s="3">
        <v>5000.1090000000004</v>
      </c>
      <c r="G166" s="3">
        <v>4648.9129999999996</v>
      </c>
      <c r="H166" s="18">
        <f ca="1">H163+G166-G163</f>
        <v>4446.6832666666651</v>
      </c>
      <c r="I166" s="18">
        <f t="shared" ref="I166:L166" ca="1" si="81">I163+H166-H163</f>
        <v>4257.8156003288932</v>
      </c>
      <c r="J166" s="18">
        <f t="shared" ca="1" si="81"/>
        <v>4081.8334851611053</v>
      </c>
      <c r="K166" s="18">
        <f t="shared" ca="1" si="81"/>
        <v>3918.2032032553939</v>
      </c>
      <c r="L166" s="18">
        <f t="shared" ca="1" si="81"/>
        <v>3766.3642974083768</v>
      </c>
      <c r="N166" t="s">
        <v>217</v>
      </c>
    </row>
    <row r="167" spans="3:14">
      <c r="C167" s="16" t="s">
        <v>208</v>
      </c>
      <c r="D167" s="166">
        <f>D162/D166</f>
        <v>8.3063028961611227</v>
      </c>
      <c r="E167" s="166">
        <f t="shared" ref="E167:F167" si="82">E162/E166</f>
        <v>9.2067470826545037</v>
      </c>
      <c r="F167" s="166">
        <f t="shared" si="82"/>
        <v>11.905940450498179</v>
      </c>
      <c r="G167" s="166">
        <f t="shared" ref="G167" si="83">G162/G166</f>
        <v>11.885789215672569</v>
      </c>
      <c r="H167" s="166">
        <f ca="1">H162/H166</f>
        <v>13.058814471248036</v>
      </c>
      <c r="I167" s="166">
        <f ca="1">I162/I166</f>
        <v>14.496121043152815</v>
      </c>
      <c r="J167" s="166">
        <f ca="1">J162/J166</f>
        <v>16.100436639487267</v>
      </c>
      <c r="K167" s="166">
        <f ca="1">K162/K166</f>
        <v>17.885815462743988</v>
      </c>
      <c r="L167" s="166">
        <f ca="1">L162/L166</f>
        <v>19.868324277361253</v>
      </c>
      <c r="N167" t="s">
        <v>218</v>
      </c>
    </row>
    <row r="168" spans="3:14">
      <c r="H168" s="147"/>
    </row>
    <row r="169" spans="3:14">
      <c r="C169" t="s">
        <v>214</v>
      </c>
      <c r="H169" s="18">
        <f>-(H86)</f>
        <v>67101</v>
      </c>
      <c r="I169" s="18">
        <f t="shared" ref="I169:L169" si="84">-(I86)</f>
        <v>67101</v>
      </c>
      <c r="J169" s="18">
        <f t="shared" si="84"/>
        <v>67101</v>
      </c>
      <c r="K169" s="18">
        <f t="shared" si="84"/>
        <v>67101</v>
      </c>
      <c r="L169" s="18">
        <f t="shared" si="84"/>
        <v>67101</v>
      </c>
      <c r="N169" t="s">
        <v>211</v>
      </c>
    </row>
    <row r="170" spans="3:14">
      <c r="C170" t="s">
        <v>215</v>
      </c>
      <c r="H170" s="15">
        <f ca="1">H32</f>
        <v>6432.08</v>
      </c>
      <c r="I170" s="15">
        <f t="shared" ref="I170:L170" ca="1" si="85">I32</f>
        <v>6875.8935199999996</v>
      </c>
      <c r="J170" s="15">
        <f t="shared" ca="1" si="85"/>
        <v>7350.3301728799988</v>
      </c>
      <c r="K170" s="15">
        <f t="shared" ca="1" si="85"/>
        <v>7857.5029548087186</v>
      </c>
      <c r="L170" s="15">
        <f t="shared" ca="1" si="85"/>
        <v>8399.6706586905202</v>
      </c>
      <c r="N170" t="s">
        <v>212</v>
      </c>
    </row>
    <row r="171" spans="3:14">
      <c r="C171" t="s">
        <v>210</v>
      </c>
      <c r="H171" s="185">
        <v>300</v>
      </c>
      <c r="I171" s="147">
        <f ca="1">H171*(1+I172)</f>
        <v>318.87462606909759</v>
      </c>
      <c r="J171" s="147">
        <f ca="1">I171*(1+J172)</f>
        <v>339.52694437245168</v>
      </c>
      <c r="K171" s="147">
        <f ca="1">J171*(1+K172)</f>
        <v>362.05704931394797</v>
      </c>
      <c r="L171" s="147">
        <f ca="1">K171*(1+L172)</f>
        <v>386.60268930318125</v>
      </c>
      <c r="N171" t="s">
        <v>219</v>
      </c>
    </row>
    <row r="172" spans="3:14">
      <c r="C172" t="s">
        <v>209</v>
      </c>
      <c r="I172" s="186">
        <f ca="1">I162/H162-1</f>
        <v>6.2915420230325259E-2</v>
      </c>
      <c r="J172" s="186">
        <f t="shared" ref="J172:L172" ca="1" si="86">J162/I162-1</f>
        <v>6.4766264277418273E-2</v>
      </c>
      <c r="K172" s="186">
        <f t="shared" ca="1" si="86"/>
        <v>6.6357340160848599E-2</v>
      </c>
      <c r="L172" s="186">
        <f t="shared" ca="1" si="86"/>
        <v>6.7794951198282494E-2</v>
      </c>
      <c r="N172" t="s">
        <v>234</v>
      </c>
    </row>
    <row r="173" spans="3:14">
      <c r="N173" s="19" t="s">
        <v>236</v>
      </c>
    </row>
    <row r="174" spans="3:14">
      <c r="C174" s="16" t="s">
        <v>229</v>
      </c>
      <c r="E174" s="16"/>
      <c r="F174" s="16"/>
      <c r="G174" s="47" t="s">
        <v>237</v>
      </c>
      <c r="H174" s="187">
        <f>D11</f>
        <v>4443.2650000000003</v>
      </c>
      <c r="I174" s="29">
        <f ca="1">H176</f>
        <v>4241.0352666666668</v>
      </c>
      <c r="J174" s="29">
        <f t="shared" ref="J174:L174" ca="1" si="87">I176</f>
        <v>4052.1676003288953</v>
      </c>
      <c r="K174" s="29">
        <f t="shared" ca="1" si="87"/>
        <v>3876.185485161107</v>
      </c>
      <c r="L174" s="29">
        <f t="shared" ca="1" si="87"/>
        <v>3712.555203255396</v>
      </c>
      <c r="N174" t="s">
        <v>238</v>
      </c>
    </row>
    <row r="175" spans="3:14">
      <c r="C175" t="s">
        <v>230</v>
      </c>
      <c r="H175" s="18">
        <f ca="1">(-H169+H170)/H171</f>
        <v>-202.22973333333331</v>
      </c>
      <c r="I175" s="18">
        <f t="shared" ref="I175:L175" ca="1" si="88">(-I169+I170)/I171</f>
        <v>-188.86766633777157</v>
      </c>
      <c r="J175" s="18">
        <f t="shared" ca="1" si="88"/>
        <v>-175.98211516778818</v>
      </c>
      <c r="K175" s="18">
        <f t="shared" ca="1" si="88"/>
        <v>-163.63028190571117</v>
      </c>
      <c r="L175" s="18">
        <f t="shared" ca="1" si="88"/>
        <v>-151.83890584701746</v>
      </c>
      <c r="N175" t="s">
        <v>239</v>
      </c>
    </row>
    <row r="176" spans="3:14">
      <c r="C176" t="s">
        <v>231</v>
      </c>
      <c r="H176" s="18">
        <f ca="1">SUM(H174:H175)</f>
        <v>4241.0352666666668</v>
      </c>
      <c r="I176" s="18">
        <f t="shared" ref="I176:L176" ca="1" si="89">SUM(I174:I175)</f>
        <v>4052.1676003288953</v>
      </c>
      <c r="J176" s="18">
        <f t="shared" ca="1" si="89"/>
        <v>3876.185485161107</v>
      </c>
      <c r="K176" s="18">
        <f t="shared" ca="1" si="89"/>
        <v>3712.555203255396</v>
      </c>
      <c r="L176" s="18">
        <f t="shared" ca="1" si="89"/>
        <v>3560.7162974083785</v>
      </c>
      <c r="N176" t="s">
        <v>240</v>
      </c>
    </row>
    <row r="177" spans="3:14">
      <c r="C177" s="16" t="s">
        <v>232</v>
      </c>
      <c r="E177" s="16"/>
      <c r="F177" s="16"/>
      <c r="G177" s="16"/>
      <c r="H177" s="29">
        <f ca="1">AVERAGE(H176,H174)</f>
        <v>4342.1501333333335</v>
      </c>
      <c r="I177" s="29">
        <f t="shared" ref="I177:L177" ca="1" si="90">AVERAGE(I176,I174)</f>
        <v>4146.6014334977808</v>
      </c>
      <c r="J177" s="29">
        <f t="shared" ca="1" si="90"/>
        <v>3964.1765427450009</v>
      </c>
      <c r="K177" s="29">
        <f t="shared" ca="1" si="90"/>
        <v>3794.3703442082515</v>
      </c>
      <c r="L177" s="29">
        <f t="shared" ca="1" si="90"/>
        <v>3636.6357503318873</v>
      </c>
      <c r="N177" t="s">
        <v>241</v>
      </c>
    </row>
    <row r="178" spans="3:14">
      <c r="N178" s="19"/>
    </row>
    <row r="179" spans="3:14">
      <c r="C179" s="5" t="s">
        <v>81</v>
      </c>
      <c r="D179" s="5"/>
      <c r="E179" s="5"/>
      <c r="F179" s="5"/>
      <c r="G179" s="5"/>
      <c r="H179" s="5"/>
      <c r="I179" s="5"/>
      <c r="J179" s="5"/>
      <c r="K179" s="5"/>
      <c r="L179" s="5"/>
    </row>
    <row r="180" spans="3:14" ht="15.75" thickBot="1"/>
    <row r="181" spans="3:14" ht="15.75" thickBot="1">
      <c r="C181" t="s">
        <v>184</v>
      </c>
      <c r="D181" s="190" t="str">
        <f>L5</f>
        <v>Base case</v>
      </c>
      <c r="G181" s="122" t="s">
        <v>182</v>
      </c>
      <c r="H181" s="24">
        <f t="shared" ref="H181:L182" si="91">H14</f>
        <v>2020</v>
      </c>
      <c r="I181" s="24">
        <f t="shared" si="91"/>
        <v>2021</v>
      </c>
      <c r="J181" s="24">
        <f t="shared" si="91"/>
        <v>2022</v>
      </c>
      <c r="K181" s="24">
        <f t="shared" si="91"/>
        <v>2023</v>
      </c>
      <c r="L181" s="24">
        <f t="shared" si="91"/>
        <v>2024</v>
      </c>
    </row>
    <row r="182" spans="3:14">
      <c r="G182" s="117" t="s">
        <v>181</v>
      </c>
      <c r="H182" s="25">
        <f t="shared" si="91"/>
        <v>44104</v>
      </c>
      <c r="I182" s="25">
        <f t="shared" si="91"/>
        <v>44469</v>
      </c>
      <c r="J182" s="25">
        <f t="shared" si="91"/>
        <v>44834</v>
      </c>
      <c r="K182" s="25">
        <f t="shared" si="91"/>
        <v>45199</v>
      </c>
      <c r="L182" s="25">
        <f t="shared" si="91"/>
        <v>45565</v>
      </c>
    </row>
    <row r="183" spans="3:14">
      <c r="C183" s="20" t="s">
        <v>1</v>
      </c>
      <c r="G183" s="164" t="str">
        <f ca="1">OFFSET(G$188,MATCH($L$5,$C$189:$C$191,0)+MATCH($C183,$C$188:$C$203,0)-1,0)</f>
        <v>NM</v>
      </c>
      <c r="H183" s="4">
        <f ca="1">OFFSET(H$188,MATCH($L$5,$C$189:$C$191,0)+MATCH($C183,$C$188:$C$203,0)-1,0)</f>
        <v>0.06</v>
      </c>
      <c r="I183" s="4">
        <f t="shared" ref="I183:L186" ca="1" si="92">OFFSET(I$188,MATCH($L$5,$C$189:$C$191,0)+MATCH($C183,$C$188:$C$203,0)-1,0)</f>
        <v>6.9000000000000006E-2</v>
      </c>
      <c r="J183" s="4">
        <f t="shared" ca="1" si="92"/>
        <v>6.9000000000000006E-2</v>
      </c>
      <c r="K183" s="4">
        <f t="shared" ca="1" si="92"/>
        <v>6.9000000000000006E-2</v>
      </c>
      <c r="L183" s="4">
        <f t="shared" ca="1" si="92"/>
        <v>6.9000000000000006E-2</v>
      </c>
    </row>
    <row r="184" spans="3:14">
      <c r="C184" s="20" t="s">
        <v>220</v>
      </c>
      <c r="G184" s="164" t="str">
        <f t="shared" ref="G184:H186" ca="1" si="93">OFFSET(G$188,MATCH($L$5,$C$189:$C$191,0)+MATCH($C184,$C$188:$C$203,0)-1,0)</f>
        <v>NM</v>
      </c>
      <c r="H184" s="4">
        <f t="shared" ca="1" si="93"/>
        <v>0.378</v>
      </c>
      <c r="I184" s="4">
        <f t="shared" ca="1" si="92"/>
        <v>0.378</v>
      </c>
      <c r="J184" s="4">
        <f t="shared" ca="1" si="92"/>
        <v>0.378</v>
      </c>
      <c r="K184" s="4">
        <f t="shared" ca="1" si="92"/>
        <v>0.378</v>
      </c>
      <c r="L184" s="4">
        <f t="shared" ca="1" si="92"/>
        <v>0.378</v>
      </c>
    </row>
    <row r="185" spans="3:14">
      <c r="C185" s="20" t="s">
        <v>221</v>
      </c>
      <c r="G185" s="164" t="str">
        <f t="shared" ca="1" si="93"/>
        <v>NM</v>
      </c>
      <c r="H185" s="4">
        <f t="shared" ca="1" si="93"/>
        <v>6.2E-2</v>
      </c>
      <c r="I185" s="4">
        <f t="shared" ca="1" si="92"/>
        <v>6.2E-2</v>
      </c>
      <c r="J185" s="4">
        <f t="shared" ca="1" si="92"/>
        <v>6.2E-2</v>
      </c>
      <c r="K185" s="4">
        <f t="shared" ca="1" si="92"/>
        <v>6.2E-2</v>
      </c>
      <c r="L185" s="4">
        <f t="shared" ca="1" si="92"/>
        <v>6.2E-2</v>
      </c>
    </row>
    <row r="186" spans="3:14">
      <c r="C186" s="20" t="s">
        <v>223</v>
      </c>
      <c r="G186" s="164" t="str">
        <f t="shared" ca="1" si="93"/>
        <v>NM</v>
      </c>
      <c r="H186" s="4">
        <f t="shared" ca="1" si="93"/>
        <v>7.0000000000000007E-2</v>
      </c>
      <c r="I186" s="4">
        <f t="shared" ca="1" si="92"/>
        <v>7.0000000000000007E-2</v>
      </c>
      <c r="J186" s="4">
        <f t="shared" ca="1" si="92"/>
        <v>7.0000000000000007E-2</v>
      </c>
      <c r="K186" s="4">
        <f t="shared" ca="1" si="92"/>
        <v>7.0000000000000007E-2</v>
      </c>
      <c r="L186" s="4">
        <f t="shared" ca="1" si="92"/>
        <v>7.0000000000000007E-2</v>
      </c>
    </row>
    <row r="187" spans="3:14">
      <c r="G187" s="118"/>
    </row>
    <row r="188" spans="3:14">
      <c r="C188" s="35" t="s">
        <v>1</v>
      </c>
      <c r="G188" s="118"/>
    </row>
    <row r="189" spans="3:14">
      <c r="C189" s="49" t="s">
        <v>84</v>
      </c>
      <c r="G189" s="119">
        <v>2.5000000000000001E-2</v>
      </c>
      <c r="H189" s="21">
        <f>H190+$G$189</f>
        <v>8.4999999999999992E-2</v>
      </c>
      <c r="I189" s="21">
        <f t="shared" ref="I189:L189" si="94">I190+$G$189</f>
        <v>9.4E-2</v>
      </c>
      <c r="J189" s="21">
        <f t="shared" si="94"/>
        <v>9.4E-2</v>
      </c>
      <c r="K189" s="21">
        <f t="shared" si="94"/>
        <v>9.4E-2</v>
      </c>
      <c r="L189" s="21">
        <f t="shared" si="94"/>
        <v>9.4E-2</v>
      </c>
    </row>
    <row r="190" spans="3:14">
      <c r="C190" s="49" t="s">
        <v>83</v>
      </c>
      <c r="G190" s="120" t="s">
        <v>180</v>
      </c>
      <c r="H190" s="22">
        <v>0.06</v>
      </c>
      <c r="I190" s="22">
        <v>6.9000000000000006E-2</v>
      </c>
      <c r="J190" s="22">
        <f t="shared" ref="J190" si="95">I190</f>
        <v>6.9000000000000006E-2</v>
      </c>
      <c r="K190" s="22">
        <f t="shared" ref="K190" si="96">J190</f>
        <v>6.9000000000000006E-2</v>
      </c>
      <c r="L190" s="22">
        <f t="shared" ref="L190" si="97">K190</f>
        <v>6.9000000000000006E-2</v>
      </c>
    </row>
    <row r="191" spans="3:14">
      <c r="C191" s="49" t="s">
        <v>85</v>
      </c>
      <c r="G191" s="119">
        <v>-2.5000000000000001E-2</v>
      </c>
      <c r="H191" s="21">
        <f>H190+$G$191</f>
        <v>3.4999999999999996E-2</v>
      </c>
      <c r="I191" s="21">
        <f t="shared" ref="I191:L191" si="98">I190+$G$191</f>
        <v>4.4000000000000004E-2</v>
      </c>
      <c r="J191" s="21">
        <f t="shared" si="98"/>
        <v>4.4000000000000004E-2</v>
      </c>
      <c r="K191" s="21">
        <f t="shared" si="98"/>
        <v>4.4000000000000004E-2</v>
      </c>
      <c r="L191" s="21">
        <f t="shared" si="98"/>
        <v>4.4000000000000004E-2</v>
      </c>
    </row>
    <row r="192" spans="3:14">
      <c r="C192" s="35" t="s">
        <v>220</v>
      </c>
      <c r="G192" s="120"/>
      <c r="H192" s="22"/>
      <c r="I192" s="22"/>
      <c r="J192" s="22"/>
      <c r="K192" s="22"/>
      <c r="L192" s="22"/>
    </row>
    <row r="193" spans="3:12">
      <c r="C193" s="49" t="s">
        <v>84</v>
      </c>
      <c r="G193" s="119">
        <v>0.01</v>
      </c>
      <c r="H193" s="21">
        <f>H194+$G$193</f>
        <v>0.38800000000000001</v>
      </c>
      <c r="I193" s="21">
        <f t="shared" ref="I193:L193" si="99">I194+$G$193</f>
        <v>0.38800000000000001</v>
      </c>
      <c r="J193" s="21">
        <f t="shared" si="99"/>
        <v>0.38800000000000001</v>
      </c>
      <c r="K193" s="21">
        <f t="shared" si="99"/>
        <v>0.38800000000000001</v>
      </c>
      <c r="L193" s="21">
        <f t="shared" si="99"/>
        <v>0.38800000000000001</v>
      </c>
    </row>
    <row r="194" spans="3:12">
      <c r="C194" s="49" t="s">
        <v>83</v>
      </c>
      <c r="G194" s="120" t="s">
        <v>180</v>
      </c>
      <c r="H194" s="22">
        <v>0.378</v>
      </c>
      <c r="I194" s="22">
        <v>0.378</v>
      </c>
      <c r="J194" s="22">
        <v>0.378</v>
      </c>
      <c r="K194" s="22">
        <v>0.378</v>
      </c>
      <c r="L194" s="22">
        <v>0.378</v>
      </c>
    </row>
    <row r="195" spans="3:12">
      <c r="C195" s="49" t="s">
        <v>85</v>
      </c>
      <c r="G195" s="119">
        <v>-0.01</v>
      </c>
      <c r="H195" s="21">
        <f>H194+$G$195</f>
        <v>0.36799999999999999</v>
      </c>
      <c r="I195" s="21">
        <f t="shared" ref="I195:L195" si="100">I194+$G$195</f>
        <v>0.36799999999999999</v>
      </c>
      <c r="J195" s="21">
        <f t="shared" si="100"/>
        <v>0.36799999999999999</v>
      </c>
      <c r="K195" s="21">
        <f t="shared" si="100"/>
        <v>0.36799999999999999</v>
      </c>
      <c r="L195" s="21">
        <f t="shared" si="100"/>
        <v>0.36799999999999999</v>
      </c>
    </row>
    <row r="196" spans="3:12">
      <c r="C196" s="35" t="s">
        <v>221</v>
      </c>
      <c r="G196" s="120"/>
      <c r="H196" s="50"/>
      <c r="I196" s="50"/>
      <c r="J196" s="50"/>
      <c r="K196" s="50"/>
      <c r="L196" s="50"/>
    </row>
    <row r="197" spans="3:12">
      <c r="C197" s="49" t="s">
        <v>84</v>
      </c>
      <c r="G197" s="119">
        <v>-0.01</v>
      </c>
      <c r="H197" s="21">
        <f>H198+$G$197</f>
        <v>5.1999999999999998E-2</v>
      </c>
      <c r="I197" s="21">
        <f t="shared" ref="I197:L197" si="101">I198+$G$197</f>
        <v>5.1999999999999998E-2</v>
      </c>
      <c r="J197" s="21">
        <f t="shared" si="101"/>
        <v>5.1999999999999998E-2</v>
      </c>
      <c r="K197" s="21">
        <f t="shared" si="101"/>
        <v>5.1999999999999998E-2</v>
      </c>
      <c r="L197" s="21">
        <f t="shared" si="101"/>
        <v>5.1999999999999998E-2</v>
      </c>
    </row>
    <row r="198" spans="3:12">
      <c r="C198" s="49" t="s">
        <v>83</v>
      </c>
      <c r="G198" s="120" t="s">
        <v>180</v>
      </c>
      <c r="H198" s="22">
        <v>6.2E-2</v>
      </c>
      <c r="I198" s="22">
        <v>6.2E-2</v>
      </c>
      <c r="J198" s="22">
        <v>6.2E-2</v>
      </c>
      <c r="K198" s="22">
        <v>6.2E-2</v>
      </c>
      <c r="L198" s="22">
        <v>6.2E-2</v>
      </c>
    </row>
    <row r="199" spans="3:12">
      <c r="C199" s="49" t="s">
        <v>85</v>
      </c>
      <c r="G199" s="119">
        <v>0.01</v>
      </c>
      <c r="H199" s="21">
        <f>H198+$G$199</f>
        <v>7.1999999999999995E-2</v>
      </c>
      <c r="I199" s="21">
        <f t="shared" ref="I199:L199" si="102">I198+$G$199</f>
        <v>7.1999999999999995E-2</v>
      </c>
      <c r="J199" s="21">
        <f t="shared" si="102"/>
        <v>7.1999999999999995E-2</v>
      </c>
      <c r="K199" s="21">
        <f t="shared" si="102"/>
        <v>7.1999999999999995E-2</v>
      </c>
      <c r="L199" s="21">
        <f t="shared" si="102"/>
        <v>7.1999999999999995E-2</v>
      </c>
    </row>
    <row r="200" spans="3:12">
      <c r="C200" s="35" t="s">
        <v>223</v>
      </c>
      <c r="G200" s="120"/>
      <c r="H200" s="50"/>
      <c r="I200" s="50"/>
      <c r="J200" s="50"/>
      <c r="K200" s="50"/>
      <c r="L200" s="50"/>
    </row>
    <row r="201" spans="3:12">
      <c r="C201" s="49" t="s">
        <v>84</v>
      </c>
      <c r="G201" s="119">
        <v>-0.01</v>
      </c>
      <c r="H201" s="21">
        <f>H202+$G$201</f>
        <v>6.0000000000000005E-2</v>
      </c>
      <c r="I201" s="21">
        <f t="shared" ref="I201:L201" si="103">I202+$G$201</f>
        <v>6.0000000000000005E-2</v>
      </c>
      <c r="J201" s="21">
        <f t="shared" si="103"/>
        <v>6.0000000000000005E-2</v>
      </c>
      <c r="K201" s="21">
        <f t="shared" si="103"/>
        <v>6.0000000000000005E-2</v>
      </c>
      <c r="L201" s="21">
        <f t="shared" si="103"/>
        <v>6.0000000000000005E-2</v>
      </c>
    </row>
    <row r="202" spans="3:12">
      <c r="C202" s="49" t="s">
        <v>83</v>
      </c>
      <c r="G202" s="120" t="s">
        <v>180</v>
      </c>
      <c r="H202" s="22">
        <v>7.0000000000000007E-2</v>
      </c>
      <c r="I202" s="22">
        <v>7.0000000000000007E-2</v>
      </c>
      <c r="J202" s="22">
        <v>7.0000000000000007E-2</v>
      </c>
      <c r="K202" s="22">
        <v>7.0000000000000007E-2</v>
      </c>
      <c r="L202" s="22">
        <v>7.0000000000000007E-2</v>
      </c>
    </row>
    <row r="203" spans="3:12" ht="15.75" thickBot="1">
      <c r="C203" s="49" t="s">
        <v>85</v>
      </c>
      <c r="G203" s="121">
        <v>0.01</v>
      </c>
      <c r="H203" s="21">
        <f>H202+$G$203</f>
        <v>0.08</v>
      </c>
      <c r="I203" s="21">
        <f t="shared" ref="I203:L203" si="104">I202+$G$203</f>
        <v>0.08</v>
      </c>
      <c r="J203" s="21">
        <f t="shared" si="104"/>
        <v>0.08</v>
      </c>
      <c r="K203" s="21">
        <f t="shared" si="104"/>
        <v>0.08</v>
      </c>
      <c r="L203" s="21">
        <f t="shared" si="104"/>
        <v>0.08</v>
      </c>
    </row>
  </sheetData>
  <conditionalFormatting sqref="C186">
    <cfRule type="expression" dxfId="2" priority="1">
      <formula>#REF!=$C186</formula>
    </cfRule>
  </conditionalFormatting>
  <conditionalFormatting sqref="C200">
    <cfRule type="expression" dxfId="1" priority="2">
      <formula>#REF!=$C200</formula>
    </cfRule>
  </conditionalFormatting>
  <conditionalFormatting sqref="C39:D39">
    <cfRule type="expression" dxfId="0" priority="5">
      <formula>#REF!=$C39</formula>
    </cfRule>
  </conditionalFormatting>
  <dataValidations count="3">
    <dataValidation type="list" allowBlank="1" showInputMessage="1" showErrorMessage="1" sqref="C3" xr:uid="{A57345D4-C404-44FD-816B-E8B74673995B}">
      <formula1>"$ bns except per share, $ mm except per share,$ in thousands except per share"</formula1>
    </dataValidation>
    <dataValidation type="list" allowBlank="1" showInputMessage="1" showErrorMessage="1" sqref="D7" xr:uid="{003E99B1-0363-42AA-8A6B-81FA0C732639}">
      <formula1>"0,1"</formula1>
    </dataValidation>
    <dataValidation type="list" allowBlank="1" showInputMessage="1" showErrorMessage="1" sqref="L5" xr:uid="{23CBF479-53E0-41F3-926F-8D3C8C5B37A0}">
      <formula1>$C$189:$C$191</formula1>
    </dataValidation>
  </dataValidations>
  <pageMargins left="0.7" right="0.7" top="0.75" bottom="0.75" header="0.3" footer="0.3"/>
  <pageSetup scale="30" orientation="portrait" r:id="rId1"/>
</worksheet>
</file>

<file path=docMetadata/LabelInfo.xml><?xml version="1.0" encoding="utf-8"?>
<clbl:labelList xmlns:clbl="http://schemas.microsoft.com/office/2020/mipLabelMetadata">
  <clbl:label id="{c24c2775-1df9-4267-9f81-e3b19fffec5b}" enabled="1" method="Privilege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FSM Data Input</vt:lpstr>
      <vt:lpstr>FSM</vt:lpstr>
      <vt:lpstr>Extras</vt:lpstr>
      <vt:lpstr>Rev Build</vt:lpstr>
      <vt:lpstr>2019 FSM Update</vt:lpstr>
      <vt:lpstr>'2019 FSM Update'!Print_Area</vt:lpstr>
      <vt:lpstr>Extras!Print_Area</vt:lpstr>
      <vt:lpstr>FSM!Print_Area</vt:lpstr>
      <vt:lpstr>'Rev Build'!Print_Area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Phillips, Brooks [Risk]</cp:lastModifiedBy>
  <cp:lastPrinted>2014-05-21T15:17:24Z</cp:lastPrinted>
  <dcterms:created xsi:type="dcterms:W3CDTF">2011-11-04T21:28:06Z</dcterms:created>
  <dcterms:modified xsi:type="dcterms:W3CDTF">2026-09-22T18:49:26Z</dcterms:modified>
</cp:coreProperties>
</file>
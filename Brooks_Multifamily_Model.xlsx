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goldmansachs-my.sharepoint.com/personal/phibro_firmwide_corp_gs_com1/Documents/Desktop/"/>
    </mc:Choice>
  </mc:AlternateContent>
  <xr:revisionPtr revIDLastSave="0" documentId="8_{75044C62-7652-4213-833D-27B2D57DCDA6}" xr6:coauthVersionLast="47" xr6:coauthVersionMax="47" xr10:uidLastSave="{00000000-0000-0000-0000-000000000000}"/>
  <bookViews>
    <workbookView xWindow="-120" yWindow="-120" windowWidth="57840" windowHeight="23520" xr2:uid="{00000000-000D-0000-FFFF-FFFF00000000}"/>
  </bookViews>
  <sheets>
    <sheet name="Transaction Summary" sheetId="48" r:id="rId1"/>
    <sheet name="Inputs &amp; Drivers" sheetId="21" r:id="rId2"/>
    <sheet name="Model" sheetId="22" r:id="rId3"/>
    <sheet name="Historical Financials" sheetId="20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123Graph_A" hidden="1">[1]P!#REF!</definedName>
    <definedName name="__123Graph_AChart1" hidden="1">[1]P!#REF!</definedName>
    <definedName name="__123Graph_ACurrent" hidden="1">[1]P!#REF!</definedName>
    <definedName name="__123Graph_AGATHERING" hidden="1">[2]COC!#REF!</definedName>
    <definedName name="__123Graph_B" hidden="1">[3]XOM!#REF!</definedName>
    <definedName name="__123Graph_BSPREADS" hidden="1">[4]TSO!#REF!</definedName>
    <definedName name="__123Graph_X" hidden="1">[3]XOM!#REF!</definedName>
    <definedName name="__123Graph_XChart1" hidden="1">[5]P!$R$29:$AK$29</definedName>
    <definedName name="__123Graph_XCurrent" hidden="1">[5]P!$R$29:$AK$29</definedName>
    <definedName name="__123Graph_XGATHERING" hidden="1">[2]COC!#REF!</definedName>
    <definedName name="__FDS_HYPERLINK_TOGGLE_STATE__" hidden="1">"ON"</definedName>
    <definedName name="_10__123Graph_BGASOLINE\_2" hidden="1">[4]TSO!#REF!</definedName>
    <definedName name="_12__123Graph_XGASOLINE\_2" hidden="1">[4]TSO!#REF!</definedName>
    <definedName name="_13__123Graph_XLIQUIDS" hidden="1">[5]P!$R$29:$AK$29</definedName>
    <definedName name="_15__123Graph_XOP_COSTS" hidden="1">[4]TSO!#REF!</definedName>
    <definedName name="_16__123Graph_XR_M_MARG" hidden="1">[5]P!$R$29:$AK$29</definedName>
    <definedName name="_2__123Graph_AGASOLINE\_2" hidden="1">[4]TSO!#REF!</definedName>
    <definedName name="_4__123Graph_ALIQUIDS" hidden="1">[6]COP!#REF!</definedName>
    <definedName name="_6__123Graph_AOP_COSTS" hidden="1">[4]TSO!#REF!</definedName>
    <definedName name="_8__123Graph_AR_M_MARG" hidden="1">[1]P!#REF!</definedName>
    <definedName name="_bdm.27A67F90C7C644ABA5AEE92323AE8841.edm" hidden="1">'[7]New Source Charts'!$A:$IV</definedName>
    <definedName name="_bdm.2F994D6394314D65966806B0027B7ED0.edm" hidden="1">[8]Plants!$A:$IV</definedName>
    <definedName name="_bdm.3D459AB342314C87AF28EE2023B5B5D2.edm" hidden="1">[7]Modelware!$A:$IV</definedName>
    <definedName name="_bdm.4AF7B9937D644F5F89369844785EF279.edm" hidden="1">[8]VeraSun!$A:$IV</definedName>
    <definedName name="_bdm.51DB0A22AC534FDAAE0186334B0F5CC7.edm" hidden="1">#REF!</definedName>
    <definedName name="_bdm.556C0F41CE9F461F93C646A4B737FE37.edm" hidden="1">'[8]Forecast Change'!$A:$IV</definedName>
    <definedName name="_bdm.6A05919F37494F38ACE807AC7DE0AF1C.edm" hidden="1">#REF!</definedName>
    <definedName name="_bdm.6C3127543B3B4F248937555D27DB740A.edm" hidden="1">[9]PXP!$A:$IV</definedName>
    <definedName name="_bdm.80AA8F96F3EC41DCA0719BEA7F3C72E4.edm" hidden="1">'[7]Segment ROCE'!$A:$IV</definedName>
    <definedName name="_bdm.A167D12DAE3248FDB8A1CC583636203E.edm" hidden="1">#REF!</definedName>
    <definedName name="_bdm.AA6C2D22BE3E4F2895813DA1409C2ED5.edm" hidden="1">[7]BS!$A:$IV</definedName>
    <definedName name="_bdm.B187957A40074E88B68BA9B13084EB53.edm" hidden="1">[7]COP!$A:$IV</definedName>
    <definedName name="_bdm.B2DA56CA5AA740E6AFBE3497C6982B4B.edm" hidden="1">'[7]R&amp;MIS'!$A:$IV</definedName>
    <definedName name="_bdm.BC1DD9D4902146ED81E611A5BC71C3AD.edm" hidden="1">[8]INPUTS!$A:$IV</definedName>
    <definedName name="_bdm.FD343515BA234434BE623D650D6B8A99.edm" hidden="1">'[7]E&amp;P Growth &amp; Returns'!$A:$IV</definedName>
    <definedName name="ab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beta_observed">#REF!</definedName>
    <definedName name="beta_unlev_comps">#REF!</definedName>
    <definedName name="conversionfactor">'[10]E&amp;P'!$D$6</definedName>
    <definedName name="convfactor">#REF!</definedName>
    <definedName name="costdebtfirm">#REF!</definedName>
    <definedName name="costequity">#REF!</definedName>
    <definedName name="days_per_year">#REF!</definedName>
    <definedName name="debt">#REF!</definedName>
    <definedName name="debt_weight">#REF!</definedName>
    <definedName name="market_equity">#REF!</definedName>
    <definedName name="relevered_beta">#REF!</definedName>
    <definedName name="risk_free_rate">#REF!</definedName>
    <definedName name="risk_premium">#REF!</definedName>
    <definedName name="stubyear">#REF!</definedName>
    <definedName name="totalcap">#REF!</definedName>
    <definedName name="wacc">#REF!</definedName>
    <definedName name="wrn.2._.pagers." hidden="1">{"Cover",#N/A,FALSE,"Cover";"Summary",#N/A,FALSE,"Summarpage"}</definedName>
    <definedName name="wrn.allpages." hidden="1">{#N/A,#N/A,TRUE,"Historicals";#N/A,#N/A,TRUE,"Charts";#N/A,#N/A,TRUE,"Forecasts"}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LBO._.Summary." hidden="1">{"LBO Summary",#N/A,FALSE,"Summary"}</definedName>
    <definedName name="wrn.MOBIL." hidden="1">{"quarter",#N/A,FALSE,"MOB"}</definedName>
    <definedName name="wrn.print._.all.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offshore." hidden="1">{"off_at",#N/A,FALSE,"Off AT POT";"off_bt",#N/A,FALSE,"Off POT"}</definedName>
    <definedName name="wrn.Pulp." hidden="1">{"Pulp Production",#N/A,FALSE,"Pulp";"Pulp Earnings",#N/A,FALSE,"Pulp"}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48" l="1"/>
  <c r="I49" i="48"/>
  <c r="J49" i="48" s="1"/>
  <c r="J50" i="48" s="1"/>
  <c r="J48" i="48"/>
  <c r="J43" i="48"/>
  <c r="J42" i="48"/>
  <c r="J23" i="48"/>
  <c r="J22" i="48"/>
  <c r="J21" i="48"/>
  <c r="J24" i="48"/>
  <c r="EN5" i="22" l="1"/>
  <c r="EO5" i="22" s="1"/>
  <c r="EP5" i="22" s="1"/>
  <c r="EQ5" i="22" s="1"/>
  <c r="ER5" i="22" s="1"/>
  <c r="ES5" i="22" s="1"/>
  <c r="ET5" i="22" s="1"/>
  <c r="EU5" i="22" s="1"/>
  <c r="EV5" i="22" s="1"/>
  <c r="EW5" i="22" s="1"/>
  <c r="EX5" i="22" s="1"/>
  <c r="I97" i="22"/>
  <c r="E97" i="22" s="1"/>
  <c r="D10" i="48" s="1"/>
  <c r="F10" i="48" s="1"/>
  <c r="G59" i="48" l="1"/>
  <c r="H59" i="48"/>
  <c r="I59" i="48"/>
  <c r="J59" i="48"/>
  <c r="F59" i="48"/>
  <c r="D59" i="48"/>
  <c r="E59" i="48" s="1"/>
  <c r="I35" i="48"/>
  <c r="J32" i="48" s="1"/>
  <c r="I32" i="48"/>
  <c r="I33" i="48"/>
  <c r="I34" i="48"/>
  <c r="I31" i="48"/>
  <c r="H32" i="48"/>
  <c r="H33" i="48"/>
  <c r="H34" i="48"/>
  <c r="H31" i="48"/>
  <c r="J35" i="48" l="1"/>
  <c r="J34" i="48"/>
  <c r="J31" i="48"/>
  <c r="J33" i="48"/>
  <c r="B32" i="48"/>
  <c r="B33" i="48" s="1"/>
  <c r="B34" i="48" s="1"/>
  <c r="B35" i="48" s="1"/>
  <c r="B36" i="48" s="1"/>
  <c r="U12" i="22" l="1"/>
  <c r="T12" i="22"/>
  <c r="S12" i="22"/>
  <c r="R12" i="22"/>
  <c r="Q12" i="22"/>
  <c r="P12" i="22"/>
  <c r="O12" i="22"/>
  <c r="N12" i="22"/>
  <c r="M12" i="22"/>
  <c r="L12" i="22"/>
  <c r="K12" i="22"/>
  <c r="J12" i="22"/>
  <c r="J20" i="21" l="1"/>
  <c r="R7" i="21"/>
  <c r="R8" i="21" s="1"/>
  <c r="R9" i="21" s="1"/>
  <c r="R10" i="21" s="1"/>
  <c r="R11" i="21" s="1"/>
  <c r="R12" i="21" s="1"/>
  <c r="R13" i="21" s="1"/>
  <c r="R14" i="21" s="1"/>
  <c r="R15" i="21" s="1"/>
  <c r="R16" i="21" s="1"/>
  <c r="R17" i="21" s="1"/>
  <c r="R18" i="21" s="1"/>
  <c r="R19" i="21" s="1"/>
  <c r="R20" i="21" s="1"/>
  <c r="R21" i="21" s="1"/>
  <c r="R22" i="21" s="1"/>
  <c r="R23" i="21" s="1"/>
  <c r="R24" i="21" s="1"/>
  <c r="R25" i="21" s="1"/>
  <c r="R26" i="21" s="1"/>
  <c r="R27" i="21" s="1"/>
  <c r="R28" i="21" s="1"/>
  <c r="R29" i="21" s="1"/>
  <c r="R30" i="21" s="1"/>
  <c r="R31" i="21" s="1"/>
  <c r="R32" i="21" s="1"/>
  <c r="R33" i="21" s="1"/>
  <c r="R34" i="21" s="1"/>
  <c r="R35" i="21" s="1"/>
  <c r="R36" i="21" s="1"/>
  <c r="R37" i="21" s="1"/>
  <c r="R38" i="21" s="1"/>
  <c r="R39" i="21" s="1"/>
  <c r="R40" i="21" s="1"/>
  <c r="R41" i="21" s="1"/>
  <c r="R42" i="21" s="1"/>
  <c r="R43" i="21" s="1"/>
  <c r="R44" i="21" s="1"/>
  <c r="R45" i="21" s="1"/>
  <c r="R46" i="21" s="1"/>
  <c r="R47" i="21" s="1"/>
  <c r="R48" i="21" s="1"/>
  <c r="R49" i="21" s="1"/>
  <c r="R50" i="21" s="1"/>
  <c r="R51" i="21" s="1"/>
  <c r="R52" i="21" s="1"/>
  <c r="R53" i="21" s="1"/>
  <c r="R54" i="21" s="1"/>
  <c r="R55" i="21" s="1"/>
  <c r="R56" i="21" s="1"/>
  <c r="R57" i="21" s="1"/>
  <c r="R58" i="21" s="1"/>
  <c r="R59" i="21" s="1"/>
  <c r="R60" i="21" s="1"/>
  <c r="R61" i="21" s="1"/>
  <c r="R62" i="21" s="1"/>
  <c r="R63" i="21" s="1"/>
  <c r="R64" i="21" s="1"/>
  <c r="R65" i="21" s="1"/>
  <c r="R66" i="21" s="1"/>
  <c r="R67" i="21" s="1"/>
  <c r="R68" i="21" s="1"/>
  <c r="R69" i="21" s="1"/>
  <c r="R70" i="21" s="1"/>
  <c r="R71" i="21" s="1"/>
  <c r="R72" i="21" s="1"/>
  <c r="R73" i="21" s="1"/>
  <c r="R74" i="21" s="1"/>
  <c r="R75" i="21" s="1"/>
  <c r="R76" i="21" s="1"/>
  <c r="R77" i="21" s="1"/>
  <c r="R78" i="21" s="1"/>
  <c r="R79" i="21" s="1"/>
  <c r="R80" i="21" s="1"/>
  <c r="R81" i="21" s="1"/>
  <c r="R82" i="21" s="1"/>
  <c r="R83" i="21" s="1"/>
  <c r="R84" i="21" s="1"/>
  <c r="R85" i="21" s="1"/>
  <c r="R86" i="21" s="1"/>
  <c r="R87" i="21" s="1"/>
  <c r="R88" i="21" s="1"/>
  <c r="R89" i="21" s="1"/>
  <c r="R90" i="21" s="1"/>
  <c r="R91" i="21" s="1"/>
  <c r="R92" i="21" s="1"/>
  <c r="R93" i="21" s="1"/>
  <c r="R94" i="21" s="1"/>
  <c r="R95" i="21" s="1"/>
  <c r="R96" i="21" s="1"/>
  <c r="R97" i="21" s="1"/>
  <c r="R98" i="21" s="1"/>
  <c r="R99" i="21" s="1"/>
  <c r="R100" i="21" s="1"/>
  <c r="R101" i="21" s="1"/>
  <c r="R102" i="21" s="1"/>
  <c r="R103" i="21" s="1"/>
  <c r="R104" i="21" s="1"/>
  <c r="R105" i="21" s="1"/>
  <c r="R106" i="21" s="1"/>
  <c r="R107" i="21" s="1"/>
  <c r="R108" i="21" s="1"/>
  <c r="R109" i="21" s="1"/>
  <c r="R110" i="21" s="1"/>
  <c r="R111" i="21" s="1"/>
  <c r="R112" i="21" s="1"/>
  <c r="R113" i="21" s="1"/>
  <c r="R114" i="21" s="1"/>
  <c r="R115" i="21" s="1"/>
  <c r="R116" i="21" s="1"/>
  <c r="R117" i="21" s="1"/>
  <c r="R118" i="21" s="1"/>
  <c r="R119" i="21" s="1"/>
  <c r="R120" i="21" s="1"/>
  <c r="R121" i="21" s="1"/>
  <c r="R122" i="21" s="1"/>
  <c r="R123" i="21" s="1"/>
  <c r="R124" i="21" s="1"/>
  <c r="R125" i="21" s="1"/>
  <c r="R126" i="21" s="1"/>
  <c r="R127" i="21" s="1"/>
  <c r="R128" i="21" s="1"/>
  <c r="R129" i="21" s="1"/>
  <c r="R130" i="21" s="1"/>
  <c r="R131" i="21" s="1"/>
  <c r="R132" i="21" s="1"/>
  <c r="R133" i="21" s="1"/>
  <c r="R134" i="21" s="1"/>
  <c r="R135" i="21" s="1"/>
  <c r="R136" i="21" s="1"/>
  <c r="R137" i="21" s="1"/>
  <c r="R138" i="21" s="1"/>
  <c r="R139" i="21" s="1"/>
  <c r="R140" i="21" s="1"/>
  <c r="R141" i="21" s="1"/>
  <c r="R142" i="21" s="1"/>
  <c r="R143" i="21" s="1"/>
  <c r="R144" i="21" s="1"/>
  <c r="R145" i="21" s="1"/>
  <c r="R146" i="21" s="1"/>
  <c r="R147" i="21" s="1"/>
  <c r="R148" i="21" s="1"/>
  <c r="R149" i="21" s="1"/>
  <c r="R150" i="21" s="1"/>
  <c r="R151" i="21" s="1"/>
  <c r="R152" i="21" s="1"/>
  <c r="R153" i="21" s="1"/>
  <c r="R154" i="21" s="1"/>
  <c r="R155" i="21" s="1"/>
  <c r="R156" i="21" s="1"/>
  <c r="R157" i="21" s="1"/>
  <c r="R158" i="21" s="1"/>
  <c r="R159" i="21" s="1"/>
  <c r="R160" i="21" s="1"/>
  <c r="R161" i="21" s="1"/>
  <c r="R162" i="21" s="1"/>
  <c r="R163" i="21" s="1"/>
  <c r="R164" i="21" s="1"/>
  <c r="R165" i="21" s="1"/>
  <c r="R166" i="21" s="1"/>
  <c r="R167" i="21" s="1"/>
  <c r="R168" i="21" s="1"/>
  <c r="R169" i="21" s="1"/>
  <c r="R170" i="21" s="1"/>
  <c r="R171" i="21" s="1"/>
  <c r="R172" i="21" s="1"/>
  <c r="R173" i="21" s="1"/>
  <c r="R174" i="21" s="1"/>
  <c r="R175" i="21" s="1"/>
  <c r="R176" i="21" s="1"/>
  <c r="R177" i="21" s="1"/>
  <c r="R178" i="21" s="1"/>
  <c r="R179" i="21" s="1"/>
  <c r="R180" i="21" s="1"/>
  <c r="R181" i="21" s="1"/>
  <c r="R182" i="21" s="1"/>
  <c r="R183" i="21" s="1"/>
  <c r="R184" i="21" s="1"/>
  <c r="R185" i="21" s="1"/>
  <c r="R186" i="21" s="1"/>
  <c r="R187" i="21" s="1"/>
  <c r="R188" i="21" s="1"/>
  <c r="R189" i="21" s="1"/>
  <c r="R190" i="21" s="1"/>
  <c r="R191" i="21" s="1"/>
  <c r="R192" i="21" s="1"/>
  <c r="R193" i="21" s="1"/>
  <c r="R194" i="21" s="1"/>
  <c r="R195" i="21" s="1"/>
  <c r="R196" i="21" s="1"/>
  <c r="R197" i="21" s="1"/>
  <c r="R198" i="21" s="1"/>
  <c r="R199" i="21" s="1"/>
  <c r="R200" i="21" s="1"/>
  <c r="R201" i="21" s="1"/>
  <c r="R202" i="21" s="1"/>
  <c r="R203" i="21" s="1"/>
  <c r="R204" i="21" s="1"/>
  <c r="R205" i="21" s="1"/>
  <c r="R206" i="21" s="1"/>
  <c r="R207" i="21" s="1"/>
  <c r="R208" i="21" s="1"/>
  <c r="R209" i="21" s="1"/>
  <c r="R210" i="21" s="1"/>
  <c r="R211" i="21" s="1"/>
  <c r="R212" i="21" s="1"/>
  <c r="R213" i="21" s="1"/>
  <c r="R214" i="21" s="1"/>
  <c r="R215" i="21" s="1"/>
  <c r="R216" i="21" s="1"/>
  <c r="R217" i="21" s="1"/>
  <c r="R218" i="21" s="1"/>
  <c r="R219" i="21" s="1"/>
  <c r="R220" i="21" s="1"/>
  <c r="R221" i="21" s="1"/>
  <c r="R222" i="21" s="1"/>
  <c r="R223" i="21" s="1"/>
  <c r="R224" i="21" s="1"/>
  <c r="R225" i="21" s="1"/>
  <c r="R226" i="21" s="1"/>
  <c r="R227" i="21" s="1"/>
  <c r="R228" i="21" s="1"/>
  <c r="R229" i="21" s="1"/>
  <c r="R230" i="21" s="1"/>
  <c r="R231" i="21" s="1"/>
  <c r="R232" i="21" s="1"/>
  <c r="R233" i="21" s="1"/>
  <c r="R234" i="21" s="1"/>
  <c r="R235" i="21" s="1"/>
  <c r="R236" i="21" s="1"/>
  <c r="R237" i="21" s="1"/>
  <c r="R238" i="21" s="1"/>
  <c r="R239" i="21" s="1"/>
  <c r="R240" i="21" s="1"/>
  <c r="R241" i="21" s="1"/>
  <c r="R242" i="21" s="1"/>
  <c r="R243" i="21" s="1"/>
  <c r="R244" i="21" s="1"/>
  <c r="R245" i="21" s="1"/>
  <c r="R246" i="21" s="1"/>
  <c r="R247" i="21" s="1"/>
  <c r="R248" i="21" s="1"/>
  <c r="R249" i="21" s="1"/>
  <c r="R250" i="21" s="1"/>
  <c r="R251" i="21" s="1"/>
  <c r="R252" i="21" s="1"/>
  <c r="R253" i="21" s="1"/>
  <c r="R254" i="21" s="1"/>
  <c r="R255" i="21" s="1"/>
  <c r="R256" i="21" s="1"/>
  <c r="R257" i="21" s="1"/>
  <c r="R258" i="21" s="1"/>
  <c r="R259" i="21" s="1"/>
  <c r="R260" i="21" s="1"/>
  <c r="R261" i="21" s="1"/>
  <c r="R262" i="21" s="1"/>
  <c r="R263" i="21" s="1"/>
  <c r="R264" i="21" s="1"/>
  <c r="R265" i="21" s="1"/>
  <c r="R266" i="21" s="1"/>
  <c r="R267" i="21" s="1"/>
  <c r="R268" i="21" s="1"/>
  <c r="R269" i="21" s="1"/>
  <c r="R270" i="21" s="1"/>
  <c r="R271" i="21" s="1"/>
  <c r="R272" i="21" s="1"/>
  <c r="R273" i="21" s="1"/>
  <c r="R274" i="21" s="1"/>
  <c r="R275" i="21" s="1"/>
  <c r="R276" i="21" s="1"/>
  <c r="R277" i="21" s="1"/>
  <c r="R278" i="21" s="1"/>
  <c r="R279" i="21" s="1"/>
  <c r="R280" i="21" s="1"/>
  <c r="R281" i="21" s="1"/>
  <c r="R282" i="21" s="1"/>
  <c r="R283" i="21" s="1"/>
  <c r="R284" i="21" s="1"/>
  <c r="R285" i="21" s="1"/>
  <c r="R286" i="21" s="1"/>
  <c r="R287" i="21" s="1"/>
  <c r="R288" i="21" s="1"/>
  <c r="R289" i="21" s="1"/>
  <c r="R290" i="21" s="1"/>
  <c r="R291" i="21" s="1"/>
  <c r="R292" i="21" s="1"/>
  <c r="R293" i="21" s="1"/>
  <c r="R294" i="21" s="1"/>
  <c r="R295" i="21" s="1"/>
  <c r="R296" i="21" s="1"/>
  <c r="R297" i="21" s="1"/>
  <c r="R298" i="21" s="1"/>
  <c r="R299" i="21" s="1"/>
  <c r="R300" i="21" s="1"/>
  <c r="R301" i="21" s="1"/>
  <c r="R302" i="21" s="1"/>
  <c r="R303" i="21" s="1"/>
  <c r="R304" i="21" s="1"/>
  <c r="R305" i="21" s="1"/>
  <c r="R306" i="21" s="1"/>
  <c r="R307" i="21" s="1"/>
  <c r="R308" i="21" s="1"/>
  <c r="R309" i="21" s="1"/>
  <c r="R310" i="21" s="1"/>
  <c r="R311" i="21" s="1"/>
  <c r="R312" i="21" s="1"/>
  <c r="R313" i="21" s="1"/>
  <c r="R314" i="21" s="1"/>
  <c r="R315" i="21" s="1"/>
  <c r="R316" i="21" s="1"/>
  <c r="R317" i="21" s="1"/>
  <c r="R318" i="21" s="1"/>
  <c r="R319" i="21" s="1"/>
  <c r="R320" i="21" s="1"/>
  <c r="R321" i="21" s="1"/>
  <c r="R322" i="21" s="1"/>
  <c r="R323" i="21" s="1"/>
  <c r="R324" i="21" s="1"/>
  <c r="R325" i="21" s="1"/>
  <c r="R326" i="21" s="1"/>
  <c r="R327" i="21" s="1"/>
  <c r="R328" i="21" s="1"/>
  <c r="R329" i="21" s="1"/>
  <c r="R330" i="21" s="1"/>
  <c r="R331" i="21" s="1"/>
  <c r="R332" i="21" s="1"/>
  <c r="R333" i="21" s="1"/>
  <c r="R334" i="21" s="1"/>
  <c r="R335" i="21" s="1"/>
  <c r="R336" i="21" s="1"/>
  <c r="R337" i="21" s="1"/>
  <c r="R338" i="21" s="1"/>
  <c r="R339" i="21" s="1"/>
  <c r="R340" i="21" s="1"/>
  <c r="R341" i="21" s="1"/>
  <c r="R342" i="21" s="1"/>
  <c r="R343" i="21" s="1"/>
  <c r="R344" i="21" s="1"/>
  <c r="R345" i="21" s="1"/>
  <c r="R346" i="21" s="1"/>
  <c r="R347" i="21" s="1"/>
  <c r="R348" i="21" s="1"/>
  <c r="R349" i="21" s="1"/>
  <c r="R350" i="21" s="1"/>
  <c r="R351" i="21" s="1"/>
  <c r="R352" i="21" s="1"/>
  <c r="R353" i="21" s="1"/>
  <c r="R354" i="21" s="1"/>
  <c r="R355" i="21" s="1"/>
  <c r="R356" i="21" s="1"/>
  <c r="R357" i="21" s="1"/>
  <c r="R358" i="21" s="1"/>
  <c r="R359" i="21" s="1"/>
  <c r="R360" i="21" s="1"/>
  <c r="R361" i="21" s="1"/>
  <c r="R362" i="21" s="1"/>
  <c r="R363" i="21" s="1"/>
  <c r="R364" i="21" s="1"/>
  <c r="R365" i="21" s="1"/>
  <c r="R6" i="21"/>
  <c r="J25" i="21"/>
  <c r="J41" i="48" s="1"/>
  <c r="J72" i="22"/>
  <c r="K72" i="22" s="1"/>
  <c r="L72" i="22" s="1"/>
  <c r="M72" i="22" s="1"/>
  <c r="N72" i="22" s="1"/>
  <c r="O72" i="22" s="1"/>
  <c r="P72" i="22" s="1"/>
  <c r="Q72" i="22" s="1"/>
  <c r="F37" i="22"/>
  <c r="C68" i="21"/>
  <c r="C67" i="21"/>
  <c r="I9" i="22"/>
  <c r="J45" i="21"/>
  <c r="J41" i="22" s="1"/>
  <c r="F40" i="22"/>
  <c r="E40" i="22"/>
  <c r="F39" i="22"/>
  <c r="E39" i="22"/>
  <c r="F38" i="22"/>
  <c r="E38" i="22"/>
  <c r="E37" i="22"/>
  <c r="F36" i="22"/>
  <c r="E36" i="22"/>
  <c r="F35" i="22"/>
  <c r="E35" i="22"/>
  <c r="F34" i="22"/>
  <c r="E34" i="22"/>
  <c r="F33" i="22"/>
  <c r="E33" i="22"/>
  <c r="E32" i="22"/>
  <c r="F16" i="22"/>
  <c r="F15" i="22"/>
  <c r="E26" i="22"/>
  <c r="F32" i="22"/>
  <c r="F26" i="22"/>
  <c r="E44" i="21" s="1"/>
  <c r="J26" i="22" s="1"/>
  <c r="F25" i="22"/>
  <c r="E43" i="21" s="1"/>
  <c r="J25" i="22" s="1"/>
  <c r="F18" i="22"/>
  <c r="E41" i="21" s="1"/>
  <c r="F17" i="22"/>
  <c r="E40" i="21" s="1"/>
  <c r="E15" i="22"/>
  <c r="E25" i="22"/>
  <c r="E17" i="22"/>
  <c r="E18" i="22"/>
  <c r="E16" i="22"/>
  <c r="J5" i="22"/>
  <c r="K5" i="22" s="1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AG5" i="22" s="1"/>
  <c r="AH5" i="22" s="1"/>
  <c r="AI5" i="22" s="1"/>
  <c r="AJ5" i="22" s="1"/>
  <c r="AK5" i="22" s="1"/>
  <c r="AL5" i="22" s="1"/>
  <c r="AM5" i="22" s="1"/>
  <c r="AN5" i="22" s="1"/>
  <c r="AO5" i="22" s="1"/>
  <c r="AP5" i="22" s="1"/>
  <c r="AQ5" i="22" s="1"/>
  <c r="AR5" i="22" s="1"/>
  <c r="AS5" i="22" s="1"/>
  <c r="AT5" i="22" s="1"/>
  <c r="AU5" i="22" s="1"/>
  <c r="AV5" i="22" s="1"/>
  <c r="AW5" i="22" s="1"/>
  <c r="AX5" i="22" s="1"/>
  <c r="AY5" i="22" s="1"/>
  <c r="AZ5" i="22" s="1"/>
  <c r="BA5" i="22" s="1"/>
  <c r="BB5" i="22" s="1"/>
  <c r="BC5" i="22" s="1"/>
  <c r="BD5" i="22" s="1"/>
  <c r="BE5" i="22" s="1"/>
  <c r="BF5" i="22" s="1"/>
  <c r="BG5" i="22" s="1"/>
  <c r="BH5" i="22" s="1"/>
  <c r="BI5" i="22" s="1"/>
  <c r="BJ5" i="22" s="1"/>
  <c r="BK5" i="22" s="1"/>
  <c r="BL5" i="22" s="1"/>
  <c r="BM5" i="22" s="1"/>
  <c r="BN5" i="22" s="1"/>
  <c r="BO5" i="22" s="1"/>
  <c r="BP5" i="22" s="1"/>
  <c r="BQ5" i="22" s="1"/>
  <c r="BR5" i="22" s="1"/>
  <c r="BS5" i="22" s="1"/>
  <c r="BT5" i="22" s="1"/>
  <c r="BU5" i="22" s="1"/>
  <c r="BV5" i="22" s="1"/>
  <c r="BW5" i="22" s="1"/>
  <c r="BX5" i="22" s="1"/>
  <c r="BY5" i="22" s="1"/>
  <c r="BZ5" i="22" s="1"/>
  <c r="CA5" i="22" s="1"/>
  <c r="CB5" i="22" s="1"/>
  <c r="CC5" i="22" s="1"/>
  <c r="CD5" i="22" s="1"/>
  <c r="CE5" i="22" s="1"/>
  <c r="CF5" i="22" s="1"/>
  <c r="CG5" i="22" s="1"/>
  <c r="CH5" i="22" s="1"/>
  <c r="CI5" i="22" s="1"/>
  <c r="CJ5" i="22" s="1"/>
  <c r="CK5" i="22" s="1"/>
  <c r="CL5" i="22" s="1"/>
  <c r="CM5" i="22" s="1"/>
  <c r="CN5" i="22" s="1"/>
  <c r="CO5" i="22" s="1"/>
  <c r="CP5" i="22" s="1"/>
  <c r="CQ5" i="22" s="1"/>
  <c r="CR5" i="22" s="1"/>
  <c r="CS5" i="22" s="1"/>
  <c r="CT5" i="22" s="1"/>
  <c r="CU5" i="22" s="1"/>
  <c r="CV5" i="22" s="1"/>
  <c r="CW5" i="22" s="1"/>
  <c r="CX5" i="22" s="1"/>
  <c r="CY5" i="22" s="1"/>
  <c r="CZ5" i="22" s="1"/>
  <c r="DA5" i="22" s="1"/>
  <c r="DB5" i="22" s="1"/>
  <c r="DC5" i="22" s="1"/>
  <c r="DD5" i="22" s="1"/>
  <c r="DE5" i="22" s="1"/>
  <c r="DF5" i="22" s="1"/>
  <c r="DG5" i="22" s="1"/>
  <c r="DH5" i="22" s="1"/>
  <c r="DI5" i="22" s="1"/>
  <c r="DJ5" i="22" s="1"/>
  <c r="DK5" i="22" s="1"/>
  <c r="DL5" i="22" s="1"/>
  <c r="DM5" i="22" s="1"/>
  <c r="DN5" i="22" s="1"/>
  <c r="DO5" i="22" s="1"/>
  <c r="DP5" i="22" s="1"/>
  <c r="DQ5" i="22" s="1"/>
  <c r="DR5" i="22" s="1"/>
  <c r="DS5" i="22" s="1"/>
  <c r="DT5" i="22" s="1"/>
  <c r="DU5" i="22" s="1"/>
  <c r="DV5" i="22" s="1"/>
  <c r="DW5" i="22" s="1"/>
  <c r="DX5" i="22" s="1"/>
  <c r="DY5" i="22" s="1"/>
  <c r="DZ5" i="22" s="1"/>
  <c r="EA5" i="22" s="1"/>
  <c r="EB5" i="22" s="1"/>
  <c r="EC5" i="22" s="1"/>
  <c r="ED5" i="22" s="1"/>
  <c r="EE5" i="22" s="1"/>
  <c r="EF5" i="22" s="1"/>
  <c r="EG5" i="22" s="1"/>
  <c r="EH5" i="22" s="1"/>
  <c r="EI5" i="22" s="1"/>
  <c r="EJ5" i="22" s="1"/>
  <c r="EK5" i="22" s="1"/>
  <c r="W4" i="22"/>
  <c r="W12" i="22" s="1"/>
  <c r="X4" i="22"/>
  <c r="X12" i="22" s="1"/>
  <c r="Y4" i="22"/>
  <c r="Z4" i="22"/>
  <c r="AA4" i="22"/>
  <c r="AB4" i="22"/>
  <c r="AC4" i="22"/>
  <c r="AC12" i="22" s="1"/>
  <c r="AD4" i="22"/>
  <c r="AD12" i="22" s="1"/>
  <c r="AE4" i="22"/>
  <c r="AE12" i="22" s="1"/>
  <c r="AF4" i="22"/>
  <c r="AF12" i="22" s="1"/>
  <c r="AG4" i="22"/>
  <c r="V4" i="22"/>
  <c r="C6" i="22"/>
  <c r="C4" i="22"/>
  <c r="I6" i="22" s="1"/>
  <c r="EM6" i="22" s="1"/>
  <c r="E75" i="21"/>
  <c r="E72" i="21"/>
  <c r="J54" i="21"/>
  <c r="J55" i="21" s="1"/>
  <c r="J56" i="21" s="1"/>
  <c r="J57" i="21" s="1"/>
  <c r="J58" i="21" s="1"/>
  <c r="J59" i="21" s="1"/>
  <c r="J60" i="21" s="1"/>
  <c r="J61" i="21" s="1"/>
  <c r="J62" i="21" s="1"/>
  <c r="H54" i="21"/>
  <c r="H55" i="21" s="1"/>
  <c r="H56" i="21" s="1"/>
  <c r="H57" i="21" s="1"/>
  <c r="H58" i="21" s="1"/>
  <c r="H59" i="21" s="1"/>
  <c r="H60" i="21" s="1"/>
  <c r="H61" i="21" s="1"/>
  <c r="H62" i="21" s="1"/>
  <c r="G54" i="21"/>
  <c r="G55" i="21" s="1"/>
  <c r="G56" i="21" s="1"/>
  <c r="G57" i="21" s="1"/>
  <c r="G58" i="21" s="1"/>
  <c r="G59" i="21" s="1"/>
  <c r="G60" i="21" s="1"/>
  <c r="G61" i="21" s="1"/>
  <c r="G62" i="21" s="1"/>
  <c r="E56" i="21"/>
  <c r="E57" i="21" s="1"/>
  <c r="E58" i="21" s="1"/>
  <c r="E59" i="21" s="1"/>
  <c r="E60" i="21" s="1"/>
  <c r="E61" i="21" s="1"/>
  <c r="E62" i="21" s="1"/>
  <c r="D55" i="21"/>
  <c r="D56" i="21" s="1"/>
  <c r="D57" i="21" s="1"/>
  <c r="D58" i="21" s="1"/>
  <c r="D59" i="21" s="1"/>
  <c r="D60" i="21" s="1"/>
  <c r="D61" i="21" s="1"/>
  <c r="D62" i="21" s="1"/>
  <c r="B53" i="21"/>
  <c r="B54" i="21" s="1"/>
  <c r="B55" i="21" s="1"/>
  <c r="B56" i="21" s="1"/>
  <c r="B57" i="21" s="1"/>
  <c r="B58" i="21" s="1"/>
  <c r="B59" i="21" s="1"/>
  <c r="B60" i="21" s="1"/>
  <c r="B61" i="21" s="1"/>
  <c r="B62" i="21" s="1"/>
  <c r="D72" i="21" l="1"/>
  <c r="J47" i="48"/>
  <c r="I47" i="48" s="1"/>
  <c r="EN6" i="22"/>
  <c r="AB12" i="22"/>
  <c r="AG12" i="22"/>
  <c r="Y12" i="22"/>
  <c r="V12" i="22"/>
  <c r="AL4" i="22"/>
  <c r="AL12" i="22" s="1"/>
  <c r="Z12" i="22"/>
  <c r="AM4" i="22"/>
  <c r="AM12" i="22" s="1"/>
  <c r="AA12" i="22"/>
  <c r="AH4" i="22"/>
  <c r="AH12" i="22" s="1"/>
  <c r="J6" i="22"/>
  <c r="K41" i="22"/>
  <c r="L41" i="22" s="1"/>
  <c r="M41" i="22" s="1"/>
  <c r="N41" i="22" s="1"/>
  <c r="O41" i="22" s="1"/>
  <c r="P41" i="22" s="1"/>
  <c r="Q41" i="22" s="1"/>
  <c r="R41" i="22" s="1"/>
  <c r="S41" i="22" s="1"/>
  <c r="T41" i="22" s="1"/>
  <c r="U41" i="22" s="1"/>
  <c r="V41" i="22" s="1"/>
  <c r="K25" i="22"/>
  <c r="K26" i="22"/>
  <c r="L26" i="22" s="1"/>
  <c r="M26" i="22" s="1"/>
  <c r="N26" i="22" s="1"/>
  <c r="O26" i="22" s="1"/>
  <c r="P26" i="22" s="1"/>
  <c r="Q26" i="22" s="1"/>
  <c r="R26" i="22" s="1"/>
  <c r="S26" i="22" s="1"/>
  <c r="T26" i="22" s="1"/>
  <c r="U26" i="22" s="1"/>
  <c r="V26" i="22" s="1"/>
  <c r="E73" i="21"/>
  <c r="R72" i="22"/>
  <c r="AY4" i="22"/>
  <c r="AY12" i="22" s="1"/>
  <c r="AX4" i="22"/>
  <c r="AX12" i="22" s="1"/>
  <c r="AT4" i="22"/>
  <c r="AT12" i="22" s="1"/>
  <c r="AS4" i="22"/>
  <c r="AS12" i="22" s="1"/>
  <c r="AK4" i="22"/>
  <c r="AK12" i="22" s="1"/>
  <c r="AR4" i="22"/>
  <c r="AR12" i="22" s="1"/>
  <c r="AJ4" i="22"/>
  <c r="AJ12" i="22" s="1"/>
  <c r="AI4" i="22"/>
  <c r="AI12" i="22" s="1"/>
  <c r="AQ4" i="22"/>
  <c r="AQ12" i="22" s="1"/>
  <c r="AP4" i="22"/>
  <c r="AP12" i="22" s="1"/>
  <c r="AO4" i="22"/>
  <c r="AO12" i="22" s="1"/>
  <c r="AN4" i="22"/>
  <c r="AN12" i="22" s="1"/>
  <c r="I57" i="22"/>
  <c r="L25" i="22"/>
  <c r="J27" i="22"/>
  <c r="I8" i="22"/>
  <c r="G36" i="22"/>
  <c r="I39" i="21" s="1"/>
  <c r="J39" i="21" s="1"/>
  <c r="J36" i="22" s="1"/>
  <c r="G32" i="22"/>
  <c r="I35" i="21" s="1"/>
  <c r="G34" i="22"/>
  <c r="I37" i="21" s="1"/>
  <c r="J37" i="21" s="1"/>
  <c r="J34" i="22" s="1"/>
  <c r="G37" i="22"/>
  <c r="G33" i="22"/>
  <c r="I36" i="21" s="1"/>
  <c r="J36" i="21" s="1"/>
  <c r="J33" i="22" s="1"/>
  <c r="F20" i="22"/>
  <c r="D60" i="48" s="1"/>
  <c r="E20" i="22"/>
  <c r="E60" i="48" s="1"/>
  <c r="G40" i="22"/>
  <c r="I43" i="21" s="1"/>
  <c r="J43" i="21" s="1"/>
  <c r="J40" i="22" s="1"/>
  <c r="G41" i="22"/>
  <c r="G39" i="22"/>
  <c r="I42" i="21" s="1"/>
  <c r="J42" i="21" s="1"/>
  <c r="J39" i="22" s="1"/>
  <c r="G35" i="22"/>
  <c r="I38" i="21" s="1"/>
  <c r="J38" i="21" s="1"/>
  <c r="J35" i="22" s="1"/>
  <c r="G38" i="22"/>
  <c r="I41" i="21" s="1"/>
  <c r="J41" i="21" s="1"/>
  <c r="J38" i="22" s="1"/>
  <c r="F22" i="22"/>
  <c r="D61" i="48" s="1"/>
  <c r="E22" i="22"/>
  <c r="E61" i="48" s="1"/>
  <c r="E39" i="21"/>
  <c r="F42" i="22"/>
  <c r="D63" i="48" s="1"/>
  <c r="D69" i="48" s="1"/>
  <c r="E42" i="22"/>
  <c r="E63" i="48" s="1"/>
  <c r="E27" i="22"/>
  <c r="F27" i="22"/>
  <c r="E19" i="22"/>
  <c r="E23" i="22" s="1"/>
  <c r="F19" i="22"/>
  <c r="F23" i="22" s="1"/>
  <c r="E69" i="48" l="1"/>
  <c r="E68" i="48"/>
  <c r="EO6" i="22"/>
  <c r="I95" i="22"/>
  <c r="E66" i="48"/>
  <c r="E35" i="21"/>
  <c r="J27" i="48" s="1"/>
  <c r="E36" i="21"/>
  <c r="E38" i="21" s="1"/>
  <c r="E42" i="21" s="1"/>
  <c r="J71" i="22"/>
  <c r="J73" i="22" s="1"/>
  <c r="J57" i="22"/>
  <c r="W26" i="22"/>
  <c r="X26" i="22" s="1"/>
  <c r="Y26" i="22" s="1"/>
  <c r="Z26" i="22" s="1"/>
  <c r="AA26" i="22" s="1"/>
  <c r="AB26" i="22" s="1"/>
  <c r="AC26" i="22" s="1"/>
  <c r="AD26" i="22" s="1"/>
  <c r="AE26" i="22" s="1"/>
  <c r="AF26" i="22" s="1"/>
  <c r="AG26" i="22" s="1"/>
  <c r="AH26" i="22" s="1"/>
  <c r="K36" i="22"/>
  <c r="L36" i="22" s="1"/>
  <c r="M36" i="22" s="1"/>
  <c r="N36" i="22" s="1"/>
  <c r="O36" i="22" s="1"/>
  <c r="P36" i="22" s="1"/>
  <c r="Q36" i="22" s="1"/>
  <c r="R36" i="22" s="1"/>
  <c r="S36" i="22" s="1"/>
  <c r="T36" i="22" s="1"/>
  <c r="U36" i="22" s="1"/>
  <c r="V36" i="22" s="1"/>
  <c r="K39" i="22"/>
  <c r="L39" i="22" s="1"/>
  <c r="M39" i="22" s="1"/>
  <c r="N39" i="22" s="1"/>
  <c r="O39" i="22" s="1"/>
  <c r="P39" i="22" s="1"/>
  <c r="Q39" i="22" s="1"/>
  <c r="R39" i="22" s="1"/>
  <c r="S39" i="22" s="1"/>
  <c r="T39" i="22" s="1"/>
  <c r="U39" i="22" s="1"/>
  <c r="V39" i="22" s="1"/>
  <c r="K40" i="22"/>
  <c r="L40" i="22" s="1"/>
  <c r="M40" i="22" s="1"/>
  <c r="N40" i="22" s="1"/>
  <c r="O40" i="22" s="1"/>
  <c r="P40" i="22" s="1"/>
  <c r="Q40" i="22" s="1"/>
  <c r="R40" i="22" s="1"/>
  <c r="S40" i="22" s="1"/>
  <c r="T40" i="22" s="1"/>
  <c r="U40" i="22" s="1"/>
  <c r="V40" i="22" s="1"/>
  <c r="K35" i="22"/>
  <c r="L35" i="22" s="1"/>
  <c r="M35" i="22" s="1"/>
  <c r="N35" i="22" s="1"/>
  <c r="O35" i="22" s="1"/>
  <c r="P35" i="22" s="1"/>
  <c r="Q35" i="22" s="1"/>
  <c r="R35" i="22" s="1"/>
  <c r="S35" i="22" s="1"/>
  <c r="T35" i="22" s="1"/>
  <c r="U35" i="22" s="1"/>
  <c r="V35" i="22" s="1"/>
  <c r="W41" i="22"/>
  <c r="X41" i="22" s="1"/>
  <c r="Y41" i="22" s="1"/>
  <c r="Z41" i="22" s="1"/>
  <c r="AA41" i="22" s="1"/>
  <c r="AB41" i="22" s="1"/>
  <c r="AC41" i="22" s="1"/>
  <c r="AD41" i="22" s="1"/>
  <c r="AE41" i="22" s="1"/>
  <c r="AF41" i="22" s="1"/>
  <c r="AG41" i="22" s="1"/>
  <c r="AH41" i="22" s="1"/>
  <c r="K33" i="22"/>
  <c r="L33" i="22" s="1"/>
  <c r="M33" i="22" s="1"/>
  <c r="N33" i="22" s="1"/>
  <c r="O33" i="22" s="1"/>
  <c r="P33" i="22" s="1"/>
  <c r="Q33" i="22" s="1"/>
  <c r="R33" i="22" s="1"/>
  <c r="S33" i="22" s="1"/>
  <c r="T33" i="22" s="1"/>
  <c r="U33" i="22" s="1"/>
  <c r="V33" i="22" s="1"/>
  <c r="K27" i="22"/>
  <c r="K34" i="22"/>
  <c r="L34" i="22" s="1"/>
  <c r="M34" i="22" s="1"/>
  <c r="N34" i="22" s="1"/>
  <c r="O34" i="22" s="1"/>
  <c r="P34" i="22" s="1"/>
  <c r="Q34" i="22" s="1"/>
  <c r="R34" i="22" s="1"/>
  <c r="S34" i="22" s="1"/>
  <c r="T34" i="22" s="1"/>
  <c r="U34" i="22" s="1"/>
  <c r="V34" i="22" s="1"/>
  <c r="K38" i="22"/>
  <c r="L38" i="22" s="1"/>
  <c r="M38" i="22" s="1"/>
  <c r="N38" i="22" s="1"/>
  <c r="O38" i="22" s="1"/>
  <c r="P38" i="22" s="1"/>
  <c r="Q38" i="22" s="1"/>
  <c r="R38" i="22" s="1"/>
  <c r="S38" i="22" s="1"/>
  <c r="T38" i="22" s="1"/>
  <c r="U38" i="22" s="1"/>
  <c r="V38" i="22" s="1"/>
  <c r="K6" i="22"/>
  <c r="S72" i="22"/>
  <c r="BE4" i="22"/>
  <c r="BE12" i="22" s="1"/>
  <c r="BB4" i="22"/>
  <c r="BB12" i="22" s="1"/>
  <c r="BF4" i="22"/>
  <c r="BF12" i="22" s="1"/>
  <c r="BC4" i="22"/>
  <c r="BC12" i="22" s="1"/>
  <c r="AZ4" i="22"/>
  <c r="AZ12" i="22" s="1"/>
  <c r="AU4" i="22"/>
  <c r="AV4" i="22"/>
  <c r="AV12" i="22" s="1"/>
  <c r="BJ4" i="22"/>
  <c r="BJ12" i="22" s="1"/>
  <c r="BD4" i="22"/>
  <c r="BD12" i="22" s="1"/>
  <c r="BA4" i="22"/>
  <c r="BA12" i="22" s="1"/>
  <c r="AW4" i="22"/>
  <c r="AW12" i="22" s="1"/>
  <c r="BK4" i="22"/>
  <c r="BK12" i="22" s="1"/>
  <c r="I58" i="22"/>
  <c r="L27" i="22"/>
  <c r="M25" i="22"/>
  <c r="G42" i="22"/>
  <c r="J35" i="21"/>
  <c r="E29" i="22"/>
  <c r="E62" i="48" s="1"/>
  <c r="F29" i="22"/>
  <c r="D62" i="48" s="1"/>
  <c r="D64" i="48" s="1"/>
  <c r="D71" i="48" s="1"/>
  <c r="EP6" i="22" l="1"/>
  <c r="E64" i="48"/>
  <c r="E67" i="48"/>
  <c r="I96" i="22"/>
  <c r="E95" i="22"/>
  <c r="D8" i="48" s="1"/>
  <c r="J95" i="22"/>
  <c r="I10" i="22"/>
  <c r="F44" i="22"/>
  <c r="F46" i="22" s="1"/>
  <c r="E44" i="22"/>
  <c r="E46" i="22" s="1"/>
  <c r="J58" i="22"/>
  <c r="AU12" i="22"/>
  <c r="W34" i="22"/>
  <c r="X34" i="22" s="1"/>
  <c r="Y34" i="22" s="1"/>
  <c r="Z34" i="22" s="1"/>
  <c r="AA34" i="22" s="1"/>
  <c r="AB34" i="22" s="1"/>
  <c r="AC34" i="22" s="1"/>
  <c r="AD34" i="22" s="1"/>
  <c r="AE34" i="22" s="1"/>
  <c r="AF34" i="22" s="1"/>
  <c r="AG34" i="22" s="1"/>
  <c r="AH34" i="22" s="1"/>
  <c r="W33" i="22"/>
  <c r="X33" i="22" s="1"/>
  <c r="Y33" i="22" s="1"/>
  <c r="Z33" i="22" s="1"/>
  <c r="AA33" i="22" s="1"/>
  <c r="AB33" i="22" s="1"/>
  <c r="AC33" i="22" s="1"/>
  <c r="AD33" i="22" s="1"/>
  <c r="AE33" i="22" s="1"/>
  <c r="AF33" i="22" s="1"/>
  <c r="AG33" i="22" s="1"/>
  <c r="AH33" i="22" s="1"/>
  <c r="W39" i="22"/>
  <c r="X39" i="22" s="1"/>
  <c r="Y39" i="22" s="1"/>
  <c r="Z39" i="22" s="1"/>
  <c r="AA39" i="22" s="1"/>
  <c r="AB39" i="22" s="1"/>
  <c r="AC39" i="22" s="1"/>
  <c r="AD39" i="22" s="1"/>
  <c r="AE39" i="22" s="1"/>
  <c r="AF39" i="22" s="1"/>
  <c r="AG39" i="22" s="1"/>
  <c r="AH39" i="22" s="1"/>
  <c r="AI41" i="22"/>
  <c r="AJ41" i="22" s="1"/>
  <c r="AK41" i="22" s="1"/>
  <c r="AL41" i="22" s="1"/>
  <c r="AM41" i="22" s="1"/>
  <c r="AN41" i="22" s="1"/>
  <c r="AO41" i="22" s="1"/>
  <c r="AP41" i="22" s="1"/>
  <c r="AQ41" i="22" s="1"/>
  <c r="AR41" i="22" s="1"/>
  <c r="AS41" i="22" s="1"/>
  <c r="AT41" i="22" s="1"/>
  <c r="W40" i="22"/>
  <c r="X40" i="22" s="1"/>
  <c r="Y40" i="22" s="1"/>
  <c r="Z40" i="22" s="1"/>
  <c r="AA40" i="22" s="1"/>
  <c r="AB40" i="22" s="1"/>
  <c r="AC40" i="22" s="1"/>
  <c r="AD40" i="22" s="1"/>
  <c r="AE40" i="22" s="1"/>
  <c r="AF40" i="22" s="1"/>
  <c r="AG40" i="22" s="1"/>
  <c r="AH40" i="22" s="1"/>
  <c r="L6" i="22"/>
  <c r="K71" i="22"/>
  <c r="K73" i="22" s="1"/>
  <c r="K57" i="22"/>
  <c r="W35" i="22"/>
  <c r="X35" i="22" s="1"/>
  <c r="Y35" i="22" s="1"/>
  <c r="Z35" i="22" s="1"/>
  <c r="AA35" i="22" s="1"/>
  <c r="AB35" i="22" s="1"/>
  <c r="AC35" i="22" s="1"/>
  <c r="AD35" i="22" s="1"/>
  <c r="AE35" i="22" s="1"/>
  <c r="AF35" i="22" s="1"/>
  <c r="AG35" i="22" s="1"/>
  <c r="AH35" i="22" s="1"/>
  <c r="AI26" i="22"/>
  <c r="AJ26" i="22" s="1"/>
  <c r="AK26" i="22" s="1"/>
  <c r="AL26" i="22" s="1"/>
  <c r="AM26" i="22" s="1"/>
  <c r="AN26" i="22" s="1"/>
  <c r="AO26" i="22" s="1"/>
  <c r="AP26" i="22" s="1"/>
  <c r="AQ26" i="22" s="1"/>
  <c r="AR26" i="22" s="1"/>
  <c r="AS26" i="22" s="1"/>
  <c r="AT26" i="22" s="1"/>
  <c r="W38" i="22"/>
  <c r="X38" i="22" s="1"/>
  <c r="Y38" i="22" s="1"/>
  <c r="Z38" i="22" s="1"/>
  <c r="AA38" i="22" s="1"/>
  <c r="AB38" i="22" s="1"/>
  <c r="AC38" i="22" s="1"/>
  <c r="AD38" i="22" s="1"/>
  <c r="AE38" i="22" s="1"/>
  <c r="AF38" i="22" s="1"/>
  <c r="AG38" i="22" s="1"/>
  <c r="AH38" i="22" s="1"/>
  <c r="E45" i="21"/>
  <c r="J40" i="21"/>
  <c r="I40" i="21" s="1"/>
  <c r="I44" i="21" s="1"/>
  <c r="I46" i="21" s="1"/>
  <c r="T72" i="22"/>
  <c r="BG4" i="22"/>
  <c r="BG12" i="22" s="1"/>
  <c r="BP4" i="22"/>
  <c r="BP12" i="22" s="1"/>
  <c r="BR4" i="22"/>
  <c r="BR12" i="22" s="1"/>
  <c r="BI4" i="22"/>
  <c r="BI12" i="22" s="1"/>
  <c r="BM4" i="22"/>
  <c r="BM12" i="22" s="1"/>
  <c r="BV4" i="22"/>
  <c r="BV12" i="22" s="1"/>
  <c r="BL4" i="22"/>
  <c r="BL12" i="22" s="1"/>
  <c r="BN4" i="22"/>
  <c r="BN12" i="22" s="1"/>
  <c r="BO4" i="22"/>
  <c r="BO12" i="22" s="1"/>
  <c r="BH4" i="22"/>
  <c r="BH12" i="22" s="1"/>
  <c r="BQ4" i="22"/>
  <c r="BQ12" i="22" s="1"/>
  <c r="BW4" i="22"/>
  <c r="BW12" i="22" s="1"/>
  <c r="M27" i="22"/>
  <c r="N25" i="22"/>
  <c r="W36" i="22"/>
  <c r="J32" i="22"/>
  <c r="D40" i="21"/>
  <c r="D41" i="21"/>
  <c r="J10" i="22"/>
  <c r="I11" i="22"/>
  <c r="E71" i="48" l="1"/>
  <c r="E70" i="48"/>
  <c r="EQ6" i="22"/>
  <c r="E72" i="48"/>
  <c r="D72" i="48"/>
  <c r="F8" i="48"/>
  <c r="E96" i="22"/>
  <c r="D9" i="48" s="1"/>
  <c r="F9" i="48" s="1"/>
  <c r="J96" i="22"/>
  <c r="K95" i="22"/>
  <c r="K58" i="22"/>
  <c r="AI39" i="22"/>
  <c r="AJ39" i="22" s="1"/>
  <c r="AK39" i="22" s="1"/>
  <c r="AL39" i="22" s="1"/>
  <c r="AM39" i="22" s="1"/>
  <c r="AN39" i="22" s="1"/>
  <c r="AO39" i="22" s="1"/>
  <c r="AP39" i="22" s="1"/>
  <c r="AQ39" i="22" s="1"/>
  <c r="AR39" i="22" s="1"/>
  <c r="AS39" i="22" s="1"/>
  <c r="AT39" i="22" s="1"/>
  <c r="AI35" i="22"/>
  <c r="AJ35" i="22" s="1"/>
  <c r="AK35" i="22" s="1"/>
  <c r="AL35" i="22" s="1"/>
  <c r="AM35" i="22" s="1"/>
  <c r="AN35" i="22" s="1"/>
  <c r="AO35" i="22" s="1"/>
  <c r="AP35" i="22" s="1"/>
  <c r="AQ35" i="22" s="1"/>
  <c r="AR35" i="22" s="1"/>
  <c r="AS35" i="22" s="1"/>
  <c r="AT35" i="22" s="1"/>
  <c r="M6" i="22"/>
  <c r="L71" i="22"/>
  <c r="L73" i="22" s="1"/>
  <c r="L57" i="22"/>
  <c r="AU41" i="22"/>
  <c r="AV41" i="22" s="1"/>
  <c r="AW41" i="22" s="1"/>
  <c r="AX41" i="22" s="1"/>
  <c r="AY41" i="22" s="1"/>
  <c r="AZ41" i="22" s="1"/>
  <c r="BA41" i="22" s="1"/>
  <c r="BB41" i="22" s="1"/>
  <c r="BC41" i="22" s="1"/>
  <c r="BD41" i="22" s="1"/>
  <c r="BE41" i="22" s="1"/>
  <c r="BF41" i="22" s="1"/>
  <c r="AI33" i="22"/>
  <c r="AJ33" i="22" s="1"/>
  <c r="AK33" i="22" s="1"/>
  <c r="AL33" i="22" s="1"/>
  <c r="AM33" i="22" s="1"/>
  <c r="AN33" i="22" s="1"/>
  <c r="AO33" i="22" s="1"/>
  <c r="AP33" i="22" s="1"/>
  <c r="AQ33" i="22" s="1"/>
  <c r="AR33" i="22" s="1"/>
  <c r="AS33" i="22" s="1"/>
  <c r="AT33" i="22" s="1"/>
  <c r="J44" i="21"/>
  <c r="J46" i="21" s="1"/>
  <c r="E46" i="21" s="1"/>
  <c r="E47" i="21" s="1"/>
  <c r="AI40" i="22"/>
  <c r="AJ40" i="22" s="1"/>
  <c r="AK40" i="22" s="1"/>
  <c r="AL40" i="22" s="1"/>
  <c r="AM40" i="22" s="1"/>
  <c r="AN40" i="22" s="1"/>
  <c r="AO40" i="22" s="1"/>
  <c r="AP40" i="22" s="1"/>
  <c r="AQ40" i="22" s="1"/>
  <c r="AR40" i="22" s="1"/>
  <c r="AS40" i="22" s="1"/>
  <c r="AT40" i="22" s="1"/>
  <c r="AI34" i="22"/>
  <c r="AJ34" i="22" s="1"/>
  <c r="AK34" i="22" s="1"/>
  <c r="AL34" i="22" s="1"/>
  <c r="AM34" i="22" s="1"/>
  <c r="AN34" i="22" s="1"/>
  <c r="AO34" i="22" s="1"/>
  <c r="AP34" i="22" s="1"/>
  <c r="AQ34" i="22" s="1"/>
  <c r="AR34" i="22" s="1"/>
  <c r="AS34" i="22" s="1"/>
  <c r="AT34" i="22" s="1"/>
  <c r="AI38" i="22"/>
  <c r="AJ38" i="22" s="1"/>
  <c r="AK38" i="22" s="1"/>
  <c r="AL38" i="22" s="1"/>
  <c r="AM38" i="22" s="1"/>
  <c r="AN38" i="22" s="1"/>
  <c r="AO38" i="22" s="1"/>
  <c r="AP38" i="22" s="1"/>
  <c r="AQ38" i="22" s="1"/>
  <c r="AR38" i="22" s="1"/>
  <c r="AS38" i="22" s="1"/>
  <c r="AT38" i="22" s="1"/>
  <c r="AU26" i="22"/>
  <c r="AV26" i="22" s="1"/>
  <c r="AW26" i="22" s="1"/>
  <c r="AX26" i="22" s="1"/>
  <c r="AY26" i="22" s="1"/>
  <c r="AZ26" i="22" s="1"/>
  <c r="BA26" i="22" s="1"/>
  <c r="BB26" i="22" s="1"/>
  <c r="BC26" i="22" s="1"/>
  <c r="BD26" i="22" s="1"/>
  <c r="BE26" i="22" s="1"/>
  <c r="BF26" i="22" s="1"/>
  <c r="U72" i="22"/>
  <c r="BX4" i="22"/>
  <c r="BX12" i="22" s="1"/>
  <c r="BS4" i="22"/>
  <c r="BT4" i="22"/>
  <c r="BT12" i="22" s="1"/>
  <c r="CD4" i="22"/>
  <c r="CD12" i="22" s="1"/>
  <c r="CH4" i="22"/>
  <c r="CH12" i="22" s="1"/>
  <c r="CI4" i="22"/>
  <c r="CI12" i="22" s="1"/>
  <c r="BY4" i="22"/>
  <c r="BY12" i="22" s="1"/>
  <c r="CA4" i="22"/>
  <c r="CA12" i="22" s="1"/>
  <c r="CB4" i="22"/>
  <c r="CB12" i="22" s="1"/>
  <c r="CC4" i="22"/>
  <c r="CC12" i="22" s="1"/>
  <c r="BU4" i="22"/>
  <c r="BU12" i="22" s="1"/>
  <c r="BZ4" i="22"/>
  <c r="BZ12" i="22" s="1"/>
  <c r="N27" i="22"/>
  <c r="O25" i="22"/>
  <c r="X36" i="22"/>
  <c r="K32" i="22"/>
  <c r="J11" i="22"/>
  <c r="K10" i="22"/>
  <c r="ER6" i="22" l="1"/>
  <c r="L95" i="22"/>
  <c r="K96" i="22"/>
  <c r="L58" i="22"/>
  <c r="BS12" i="22"/>
  <c r="AU34" i="22"/>
  <c r="AV34" i="22" s="1"/>
  <c r="AW34" i="22" s="1"/>
  <c r="AX34" i="22" s="1"/>
  <c r="AY34" i="22" s="1"/>
  <c r="AZ34" i="22" s="1"/>
  <c r="BA34" i="22" s="1"/>
  <c r="BB34" i="22" s="1"/>
  <c r="BC34" i="22" s="1"/>
  <c r="BD34" i="22" s="1"/>
  <c r="BE34" i="22" s="1"/>
  <c r="BF34" i="22" s="1"/>
  <c r="AU40" i="22"/>
  <c r="AV40" i="22" s="1"/>
  <c r="AW40" i="22" s="1"/>
  <c r="AX40" i="22" s="1"/>
  <c r="AY40" i="22" s="1"/>
  <c r="AZ40" i="22" s="1"/>
  <c r="BA40" i="22" s="1"/>
  <c r="BB40" i="22" s="1"/>
  <c r="BC40" i="22" s="1"/>
  <c r="BD40" i="22" s="1"/>
  <c r="BE40" i="22" s="1"/>
  <c r="BF40" i="22" s="1"/>
  <c r="BG41" i="22"/>
  <c r="BH41" i="22" s="1"/>
  <c r="BI41" i="22" s="1"/>
  <c r="BJ41" i="22" s="1"/>
  <c r="BK41" i="22" s="1"/>
  <c r="BL41" i="22" s="1"/>
  <c r="BM41" i="22" s="1"/>
  <c r="BN41" i="22" s="1"/>
  <c r="BO41" i="22" s="1"/>
  <c r="BP41" i="22" s="1"/>
  <c r="BQ41" i="22" s="1"/>
  <c r="BR41" i="22" s="1"/>
  <c r="M71" i="22"/>
  <c r="M73" i="22" s="1"/>
  <c r="N6" i="22"/>
  <c r="M57" i="22"/>
  <c r="BG26" i="22"/>
  <c r="BH26" i="22" s="1"/>
  <c r="BI26" i="22" s="1"/>
  <c r="BJ26" i="22" s="1"/>
  <c r="BK26" i="22" s="1"/>
  <c r="BL26" i="22" s="1"/>
  <c r="BM26" i="22" s="1"/>
  <c r="BN26" i="22" s="1"/>
  <c r="BO26" i="22" s="1"/>
  <c r="BP26" i="22" s="1"/>
  <c r="BQ26" i="22" s="1"/>
  <c r="BR26" i="22" s="1"/>
  <c r="AU38" i="22"/>
  <c r="AV38" i="22" s="1"/>
  <c r="AW38" i="22" s="1"/>
  <c r="AX38" i="22" s="1"/>
  <c r="AY38" i="22" s="1"/>
  <c r="AZ38" i="22" s="1"/>
  <c r="BA38" i="22" s="1"/>
  <c r="BB38" i="22" s="1"/>
  <c r="BC38" i="22" s="1"/>
  <c r="BD38" i="22" s="1"/>
  <c r="BE38" i="22" s="1"/>
  <c r="BF38" i="22" s="1"/>
  <c r="AU35" i="22"/>
  <c r="AV35" i="22" s="1"/>
  <c r="AW35" i="22" s="1"/>
  <c r="AX35" i="22" s="1"/>
  <c r="AY35" i="22" s="1"/>
  <c r="AZ35" i="22" s="1"/>
  <c r="BA35" i="22" s="1"/>
  <c r="BB35" i="22" s="1"/>
  <c r="BC35" i="22" s="1"/>
  <c r="BD35" i="22" s="1"/>
  <c r="BE35" i="22" s="1"/>
  <c r="BF35" i="22" s="1"/>
  <c r="AU39" i="22"/>
  <c r="AV39" i="22" s="1"/>
  <c r="AW39" i="22" s="1"/>
  <c r="AX39" i="22" s="1"/>
  <c r="AY39" i="22" s="1"/>
  <c r="AZ39" i="22" s="1"/>
  <c r="BA39" i="22" s="1"/>
  <c r="BB39" i="22" s="1"/>
  <c r="BC39" i="22" s="1"/>
  <c r="BD39" i="22" s="1"/>
  <c r="BE39" i="22" s="1"/>
  <c r="BF39" i="22" s="1"/>
  <c r="AU33" i="22"/>
  <c r="AV33" i="22" s="1"/>
  <c r="AW33" i="22" s="1"/>
  <c r="AX33" i="22" s="1"/>
  <c r="AY33" i="22" s="1"/>
  <c r="AZ33" i="22" s="1"/>
  <c r="BA33" i="22" s="1"/>
  <c r="BB33" i="22" s="1"/>
  <c r="BC33" i="22" s="1"/>
  <c r="BD33" i="22" s="1"/>
  <c r="BE33" i="22" s="1"/>
  <c r="BF33" i="22" s="1"/>
  <c r="V72" i="22"/>
  <c r="CG4" i="22"/>
  <c r="CG12" i="22" s="1"/>
  <c r="CJ4" i="22"/>
  <c r="CJ12" i="22" s="1"/>
  <c r="CU4" i="22"/>
  <c r="CU12" i="22" s="1"/>
  <c r="CO4" i="22"/>
  <c r="CO12" i="22" s="1"/>
  <c r="CF4" i="22"/>
  <c r="CF12" i="22" s="1"/>
  <c r="CN4" i="22"/>
  <c r="CN12" i="22" s="1"/>
  <c r="CT4" i="22"/>
  <c r="CT12" i="22" s="1"/>
  <c r="CE4" i="22"/>
  <c r="CL4" i="22"/>
  <c r="CL12" i="22" s="1"/>
  <c r="CM4" i="22"/>
  <c r="CM12" i="22" s="1"/>
  <c r="CP4" i="22"/>
  <c r="CP12" i="22" s="1"/>
  <c r="CK4" i="22"/>
  <c r="CK12" i="22" s="1"/>
  <c r="O27" i="22"/>
  <c r="P25" i="22"/>
  <c r="Y36" i="22"/>
  <c r="L32" i="22"/>
  <c r="M32" i="22" s="1"/>
  <c r="L10" i="22"/>
  <c r="K11" i="22"/>
  <c r="ES6" i="22" l="1"/>
  <c r="M95" i="22"/>
  <c r="L96" i="22"/>
  <c r="M58" i="22"/>
  <c r="CE12" i="22"/>
  <c r="N71" i="22"/>
  <c r="N73" i="22" s="1"/>
  <c r="N57" i="22"/>
  <c r="O6" i="22"/>
  <c r="BG38" i="22"/>
  <c r="BH38" i="22" s="1"/>
  <c r="BI38" i="22" s="1"/>
  <c r="BJ38" i="22" s="1"/>
  <c r="BK38" i="22" s="1"/>
  <c r="BL38" i="22" s="1"/>
  <c r="BM38" i="22" s="1"/>
  <c r="BN38" i="22" s="1"/>
  <c r="BO38" i="22" s="1"/>
  <c r="BP38" i="22" s="1"/>
  <c r="BQ38" i="22" s="1"/>
  <c r="BR38" i="22" s="1"/>
  <c r="BG33" i="22"/>
  <c r="BH33" i="22" s="1"/>
  <c r="BI33" i="22" s="1"/>
  <c r="BJ33" i="22" s="1"/>
  <c r="BK33" i="22" s="1"/>
  <c r="BL33" i="22" s="1"/>
  <c r="BM33" i="22" s="1"/>
  <c r="BN33" i="22" s="1"/>
  <c r="BO33" i="22" s="1"/>
  <c r="BP33" i="22" s="1"/>
  <c r="BQ33" i="22" s="1"/>
  <c r="BR33" i="22" s="1"/>
  <c r="BG34" i="22"/>
  <c r="BH34" i="22" s="1"/>
  <c r="BI34" i="22" s="1"/>
  <c r="BJ34" i="22" s="1"/>
  <c r="BK34" i="22" s="1"/>
  <c r="BL34" i="22" s="1"/>
  <c r="BM34" i="22" s="1"/>
  <c r="BN34" i="22" s="1"/>
  <c r="BO34" i="22" s="1"/>
  <c r="BP34" i="22" s="1"/>
  <c r="BQ34" i="22" s="1"/>
  <c r="BR34" i="22" s="1"/>
  <c r="BG35" i="22"/>
  <c r="BH35" i="22" s="1"/>
  <c r="BI35" i="22" s="1"/>
  <c r="BJ35" i="22" s="1"/>
  <c r="BK35" i="22" s="1"/>
  <c r="BL35" i="22" s="1"/>
  <c r="BM35" i="22" s="1"/>
  <c r="BN35" i="22" s="1"/>
  <c r="BO35" i="22" s="1"/>
  <c r="BP35" i="22" s="1"/>
  <c r="BQ35" i="22" s="1"/>
  <c r="BR35" i="22" s="1"/>
  <c r="BS41" i="22"/>
  <c r="BT41" i="22" s="1"/>
  <c r="BU41" i="22" s="1"/>
  <c r="BV41" i="22" s="1"/>
  <c r="BW41" i="22" s="1"/>
  <c r="BX41" i="22" s="1"/>
  <c r="BY41" i="22" s="1"/>
  <c r="BZ41" i="22" s="1"/>
  <c r="CA41" i="22" s="1"/>
  <c r="CB41" i="22" s="1"/>
  <c r="CC41" i="22" s="1"/>
  <c r="CD41" i="22" s="1"/>
  <c r="BS26" i="22"/>
  <c r="BT26" i="22" s="1"/>
  <c r="BU26" i="22" s="1"/>
  <c r="BV26" i="22" s="1"/>
  <c r="BW26" i="22" s="1"/>
  <c r="BX26" i="22" s="1"/>
  <c r="BY26" i="22" s="1"/>
  <c r="BZ26" i="22" s="1"/>
  <c r="CA26" i="22" s="1"/>
  <c r="CB26" i="22" s="1"/>
  <c r="CC26" i="22" s="1"/>
  <c r="CD26" i="22" s="1"/>
  <c r="BG40" i="22"/>
  <c r="BH40" i="22" s="1"/>
  <c r="BI40" i="22" s="1"/>
  <c r="BJ40" i="22" s="1"/>
  <c r="BK40" i="22" s="1"/>
  <c r="BL40" i="22" s="1"/>
  <c r="BM40" i="22" s="1"/>
  <c r="BN40" i="22" s="1"/>
  <c r="BO40" i="22" s="1"/>
  <c r="BP40" i="22" s="1"/>
  <c r="BQ40" i="22" s="1"/>
  <c r="BR40" i="22" s="1"/>
  <c r="BG39" i="22"/>
  <c r="BH39" i="22" s="1"/>
  <c r="BI39" i="22" s="1"/>
  <c r="BJ39" i="22" s="1"/>
  <c r="BK39" i="22" s="1"/>
  <c r="BL39" i="22" s="1"/>
  <c r="BM39" i="22" s="1"/>
  <c r="BN39" i="22" s="1"/>
  <c r="BO39" i="22" s="1"/>
  <c r="BP39" i="22" s="1"/>
  <c r="BQ39" i="22" s="1"/>
  <c r="BR39" i="22" s="1"/>
  <c r="W72" i="22"/>
  <c r="CX4" i="22"/>
  <c r="CX12" i="22" s="1"/>
  <c r="DB4" i="22"/>
  <c r="DB12" i="22" s="1"/>
  <c r="CQ4" i="22"/>
  <c r="DA4" i="22"/>
  <c r="DA12" i="22" s="1"/>
  <c r="CS4" i="22"/>
  <c r="CS12" i="22" s="1"/>
  <c r="CY4" i="22"/>
  <c r="CY12" i="22" s="1"/>
  <c r="DF4" i="22"/>
  <c r="DF12" i="22" s="1"/>
  <c r="CZ4" i="22"/>
  <c r="CZ12" i="22" s="1"/>
  <c r="CW4" i="22"/>
  <c r="CW12" i="22" s="1"/>
  <c r="DG4" i="22"/>
  <c r="DG12" i="22" s="1"/>
  <c r="CV4" i="22"/>
  <c r="CV12" i="22" s="1"/>
  <c r="CR4" i="22"/>
  <c r="CR12" i="22" s="1"/>
  <c r="N32" i="22"/>
  <c r="O32" i="22" s="1"/>
  <c r="Q25" i="22"/>
  <c r="P27" i="22"/>
  <c r="Z36" i="22"/>
  <c r="M10" i="22"/>
  <c r="L11" i="22"/>
  <c r="ET6" i="22" l="1"/>
  <c r="M96" i="22"/>
  <c r="N95" i="22"/>
  <c r="N58" i="22"/>
  <c r="CQ12" i="22"/>
  <c r="BS38" i="22"/>
  <c r="BT38" i="22" s="1"/>
  <c r="BU38" i="22" s="1"/>
  <c r="BV38" i="22" s="1"/>
  <c r="BW38" i="22" s="1"/>
  <c r="BX38" i="22" s="1"/>
  <c r="BY38" i="22" s="1"/>
  <c r="BZ38" i="22" s="1"/>
  <c r="CA38" i="22" s="1"/>
  <c r="CB38" i="22" s="1"/>
  <c r="CC38" i="22" s="1"/>
  <c r="CD38" i="22" s="1"/>
  <c r="BS39" i="22"/>
  <c r="BT39" i="22" s="1"/>
  <c r="BU39" i="22" s="1"/>
  <c r="BV39" i="22" s="1"/>
  <c r="BW39" i="22" s="1"/>
  <c r="BX39" i="22" s="1"/>
  <c r="BY39" i="22" s="1"/>
  <c r="BZ39" i="22" s="1"/>
  <c r="CA39" i="22" s="1"/>
  <c r="CB39" i="22" s="1"/>
  <c r="CC39" i="22" s="1"/>
  <c r="CD39" i="22" s="1"/>
  <c r="CE41" i="22"/>
  <c r="CF41" i="22" s="1"/>
  <c r="CG41" i="22" s="1"/>
  <c r="CH41" i="22" s="1"/>
  <c r="CI41" i="22" s="1"/>
  <c r="CJ41" i="22" s="1"/>
  <c r="CK41" i="22" s="1"/>
  <c r="CL41" i="22" s="1"/>
  <c r="CM41" i="22" s="1"/>
  <c r="CN41" i="22" s="1"/>
  <c r="CO41" i="22" s="1"/>
  <c r="CP41" i="22" s="1"/>
  <c r="BS34" i="22"/>
  <c r="BT34" i="22" s="1"/>
  <c r="BU34" i="22" s="1"/>
  <c r="BV34" i="22" s="1"/>
  <c r="BW34" i="22" s="1"/>
  <c r="BX34" i="22" s="1"/>
  <c r="BY34" i="22" s="1"/>
  <c r="BZ34" i="22" s="1"/>
  <c r="CA34" i="22" s="1"/>
  <c r="CB34" i="22" s="1"/>
  <c r="CC34" i="22" s="1"/>
  <c r="CD34" i="22" s="1"/>
  <c r="O71" i="22"/>
  <c r="O73" i="22" s="1"/>
  <c r="O57" i="22"/>
  <c r="O58" i="22" s="1"/>
  <c r="P6" i="22"/>
  <c r="CE26" i="22"/>
  <c r="CF26" i="22" s="1"/>
  <c r="CG26" i="22" s="1"/>
  <c r="CH26" i="22" s="1"/>
  <c r="CI26" i="22" s="1"/>
  <c r="CJ26" i="22" s="1"/>
  <c r="CK26" i="22" s="1"/>
  <c r="CL26" i="22" s="1"/>
  <c r="CM26" i="22" s="1"/>
  <c r="CN26" i="22" s="1"/>
  <c r="CO26" i="22" s="1"/>
  <c r="CP26" i="22" s="1"/>
  <c r="BS33" i="22"/>
  <c r="BT33" i="22" s="1"/>
  <c r="BU33" i="22" s="1"/>
  <c r="BV33" i="22" s="1"/>
  <c r="BW33" i="22" s="1"/>
  <c r="BX33" i="22" s="1"/>
  <c r="BY33" i="22" s="1"/>
  <c r="BZ33" i="22" s="1"/>
  <c r="CA33" i="22" s="1"/>
  <c r="CB33" i="22" s="1"/>
  <c r="CC33" i="22" s="1"/>
  <c r="CD33" i="22" s="1"/>
  <c r="BS40" i="22"/>
  <c r="BT40" i="22" s="1"/>
  <c r="BU40" i="22" s="1"/>
  <c r="BV40" i="22" s="1"/>
  <c r="BW40" i="22" s="1"/>
  <c r="BX40" i="22" s="1"/>
  <c r="BY40" i="22" s="1"/>
  <c r="BZ40" i="22" s="1"/>
  <c r="CA40" i="22" s="1"/>
  <c r="CB40" i="22" s="1"/>
  <c r="CC40" i="22" s="1"/>
  <c r="CD40" i="22" s="1"/>
  <c r="BS35" i="22"/>
  <c r="BT35" i="22" s="1"/>
  <c r="BU35" i="22" s="1"/>
  <c r="BV35" i="22" s="1"/>
  <c r="BW35" i="22" s="1"/>
  <c r="BX35" i="22" s="1"/>
  <c r="BY35" i="22" s="1"/>
  <c r="BZ35" i="22" s="1"/>
  <c r="CA35" i="22" s="1"/>
  <c r="CB35" i="22" s="1"/>
  <c r="CC35" i="22" s="1"/>
  <c r="CD35" i="22" s="1"/>
  <c r="X72" i="22"/>
  <c r="DH4" i="22"/>
  <c r="DH12" i="22" s="1"/>
  <c r="DE4" i="22"/>
  <c r="DE12" i="22" s="1"/>
  <c r="DJ4" i="22"/>
  <c r="DJ12" i="22" s="1"/>
  <c r="DM4" i="22"/>
  <c r="DM12" i="22" s="1"/>
  <c r="DD4" i="22"/>
  <c r="DD12" i="22" s="1"/>
  <c r="DS4" i="22"/>
  <c r="DS12" i="22" s="1"/>
  <c r="DR4" i="22"/>
  <c r="DR12" i="22" s="1"/>
  <c r="DC4" i="22"/>
  <c r="DI4" i="22"/>
  <c r="DI12" i="22" s="1"/>
  <c r="DK4" i="22"/>
  <c r="DK12" i="22" s="1"/>
  <c r="DN4" i="22"/>
  <c r="DN12" i="22" s="1"/>
  <c r="DL4" i="22"/>
  <c r="DL12" i="22" s="1"/>
  <c r="P32" i="22"/>
  <c r="Q32" i="22" s="1"/>
  <c r="Q27" i="22"/>
  <c r="R25" i="22"/>
  <c r="AA36" i="22"/>
  <c r="N10" i="22"/>
  <c r="M11" i="22"/>
  <c r="EU6" i="22" l="1"/>
  <c r="N96" i="22"/>
  <c r="O96" i="22"/>
  <c r="O95" i="22"/>
  <c r="DC12" i="22"/>
  <c r="CE34" i="22"/>
  <c r="CF34" i="22" s="1"/>
  <c r="CG34" i="22" s="1"/>
  <c r="CH34" i="22" s="1"/>
  <c r="CI34" i="22" s="1"/>
  <c r="CJ34" i="22" s="1"/>
  <c r="CK34" i="22" s="1"/>
  <c r="CL34" i="22" s="1"/>
  <c r="CM34" i="22" s="1"/>
  <c r="CN34" i="22" s="1"/>
  <c r="CO34" i="22" s="1"/>
  <c r="CP34" i="22" s="1"/>
  <c r="CE40" i="22"/>
  <c r="CF40" i="22" s="1"/>
  <c r="CG40" i="22" s="1"/>
  <c r="CH40" i="22" s="1"/>
  <c r="CI40" i="22" s="1"/>
  <c r="CJ40" i="22" s="1"/>
  <c r="CK40" i="22" s="1"/>
  <c r="CL40" i="22" s="1"/>
  <c r="CM40" i="22" s="1"/>
  <c r="CN40" i="22" s="1"/>
  <c r="CO40" i="22" s="1"/>
  <c r="CP40" i="22" s="1"/>
  <c r="CQ41" i="22"/>
  <c r="CR41" i="22" s="1"/>
  <c r="CS41" i="22" s="1"/>
  <c r="CT41" i="22" s="1"/>
  <c r="CU41" i="22" s="1"/>
  <c r="CV41" i="22" s="1"/>
  <c r="CW41" i="22" s="1"/>
  <c r="CX41" i="22" s="1"/>
  <c r="CY41" i="22" s="1"/>
  <c r="CZ41" i="22" s="1"/>
  <c r="DA41" i="22" s="1"/>
  <c r="DB41" i="22" s="1"/>
  <c r="CQ26" i="22"/>
  <c r="CR26" i="22" s="1"/>
  <c r="CS26" i="22" s="1"/>
  <c r="CT26" i="22" s="1"/>
  <c r="CU26" i="22" s="1"/>
  <c r="CV26" i="22" s="1"/>
  <c r="CW26" i="22" s="1"/>
  <c r="CX26" i="22" s="1"/>
  <c r="CY26" i="22" s="1"/>
  <c r="CZ26" i="22" s="1"/>
  <c r="DA26" i="22" s="1"/>
  <c r="DB26" i="22" s="1"/>
  <c r="P71" i="22"/>
  <c r="P73" i="22" s="1"/>
  <c r="P57" i="22"/>
  <c r="P95" i="22" s="1"/>
  <c r="Q6" i="22"/>
  <c r="CE39" i="22"/>
  <c r="CF39" i="22" s="1"/>
  <c r="CG39" i="22" s="1"/>
  <c r="CH39" i="22" s="1"/>
  <c r="CI39" i="22" s="1"/>
  <c r="CJ39" i="22" s="1"/>
  <c r="CK39" i="22" s="1"/>
  <c r="CL39" i="22" s="1"/>
  <c r="CM39" i="22" s="1"/>
  <c r="CN39" i="22" s="1"/>
  <c r="CO39" i="22" s="1"/>
  <c r="CP39" i="22" s="1"/>
  <c r="CE35" i="22"/>
  <c r="CF35" i="22" s="1"/>
  <c r="CG35" i="22" s="1"/>
  <c r="CH35" i="22" s="1"/>
  <c r="CI35" i="22" s="1"/>
  <c r="CJ35" i="22" s="1"/>
  <c r="CK35" i="22" s="1"/>
  <c r="CL35" i="22" s="1"/>
  <c r="CM35" i="22" s="1"/>
  <c r="CN35" i="22" s="1"/>
  <c r="CO35" i="22" s="1"/>
  <c r="CP35" i="22" s="1"/>
  <c r="CE38" i="22"/>
  <c r="CF38" i="22" s="1"/>
  <c r="CG38" i="22" s="1"/>
  <c r="CH38" i="22" s="1"/>
  <c r="CI38" i="22" s="1"/>
  <c r="CJ38" i="22" s="1"/>
  <c r="CK38" i="22" s="1"/>
  <c r="CL38" i="22" s="1"/>
  <c r="CM38" i="22" s="1"/>
  <c r="CN38" i="22" s="1"/>
  <c r="CO38" i="22" s="1"/>
  <c r="CP38" i="22" s="1"/>
  <c r="CE33" i="22"/>
  <c r="CF33" i="22" s="1"/>
  <c r="CG33" i="22" s="1"/>
  <c r="CH33" i="22" s="1"/>
  <c r="CI33" i="22" s="1"/>
  <c r="CJ33" i="22" s="1"/>
  <c r="CK33" i="22" s="1"/>
  <c r="CL33" i="22" s="1"/>
  <c r="CM33" i="22" s="1"/>
  <c r="CN33" i="22" s="1"/>
  <c r="CO33" i="22" s="1"/>
  <c r="CP33" i="22" s="1"/>
  <c r="Y72" i="22"/>
  <c r="DT4" i="22"/>
  <c r="DT12" i="22" s="1"/>
  <c r="DU4" i="22"/>
  <c r="DU12" i="22" s="1"/>
  <c r="EE4" i="22"/>
  <c r="EE12" i="22" s="1"/>
  <c r="DX4" i="22"/>
  <c r="DX12" i="22" s="1"/>
  <c r="DO4" i="22"/>
  <c r="DZ4" i="22"/>
  <c r="DZ12" i="22" s="1"/>
  <c r="DP4" i="22"/>
  <c r="DP12" i="22" s="1"/>
  <c r="DV4" i="22"/>
  <c r="DV12" i="22" s="1"/>
  <c r="ED4" i="22"/>
  <c r="ED12" i="22" s="1"/>
  <c r="DQ4" i="22"/>
  <c r="DQ12" i="22" s="1"/>
  <c r="DW4" i="22"/>
  <c r="DW12" i="22" s="1"/>
  <c r="DY4" i="22"/>
  <c r="DY12" i="22" s="1"/>
  <c r="R32" i="22"/>
  <c r="S25" i="22"/>
  <c r="R27" i="22"/>
  <c r="AB36" i="22"/>
  <c r="O10" i="22"/>
  <c r="N11" i="22"/>
  <c r="EV6" i="22" l="1"/>
  <c r="P58" i="22"/>
  <c r="DO12" i="22"/>
  <c r="CQ35" i="22"/>
  <c r="CR35" i="22" s="1"/>
  <c r="CS35" i="22" s="1"/>
  <c r="CT35" i="22" s="1"/>
  <c r="CU35" i="22" s="1"/>
  <c r="CV35" i="22" s="1"/>
  <c r="CW35" i="22" s="1"/>
  <c r="CX35" i="22" s="1"/>
  <c r="CY35" i="22" s="1"/>
  <c r="CZ35" i="22" s="1"/>
  <c r="DA35" i="22" s="1"/>
  <c r="DB35" i="22" s="1"/>
  <c r="DC41" i="22"/>
  <c r="DD41" i="22" s="1"/>
  <c r="DE41" i="22" s="1"/>
  <c r="DF41" i="22" s="1"/>
  <c r="DG41" i="22" s="1"/>
  <c r="DH41" i="22" s="1"/>
  <c r="DI41" i="22" s="1"/>
  <c r="DJ41" i="22" s="1"/>
  <c r="DK41" i="22" s="1"/>
  <c r="DL41" i="22" s="1"/>
  <c r="DM41" i="22" s="1"/>
  <c r="DN41" i="22" s="1"/>
  <c r="CQ38" i="22"/>
  <c r="CR38" i="22" s="1"/>
  <c r="CS38" i="22" s="1"/>
  <c r="CT38" i="22" s="1"/>
  <c r="CU38" i="22" s="1"/>
  <c r="CV38" i="22" s="1"/>
  <c r="CW38" i="22" s="1"/>
  <c r="CX38" i="22" s="1"/>
  <c r="CY38" i="22" s="1"/>
  <c r="CZ38" i="22" s="1"/>
  <c r="DA38" i="22" s="1"/>
  <c r="DB38" i="22" s="1"/>
  <c r="CQ40" i="22"/>
  <c r="CR40" i="22" s="1"/>
  <c r="CS40" i="22" s="1"/>
  <c r="CT40" i="22" s="1"/>
  <c r="CU40" i="22" s="1"/>
  <c r="CV40" i="22" s="1"/>
  <c r="CW40" i="22" s="1"/>
  <c r="CX40" i="22" s="1"/>
  <c r="CY40" i="22" s="1"/>
  <c r="CZ40" i="22" s="1"/>
  <c r="DA40" i="22" s="1"/>
  <c r="DB40" i="22" s="1"/>
  <c r="Q71" i="22"/>
  <c r="Q73" i="22" s="1"/>
  <c r="R6" i="22"/>
  <c r="Q57" i="22"/>
  <c r="Q95" i="22" s="1"/>
  <c r="CQ39" i="22"/>
  <c r="CR39" i="22" s="1"/>
  <c r="CS39" i="22" s="1"/>
  <c r="CT39" i="22" s="1"/>
  <c r="CU39" i="22" s="1"/>
  <c r="CV39" i="22" s="1"/>
  <c r="CW39" i="22" s="1"/>
  <c r="CX39" i="22" s="1"/>
  <c r="CY39" i="22" s="1"/>
  <c r="CZ39" i="22" s="1"/>
  <c r="DA39" i="22" s="1"/>
  <c r="DB39" i="22" s="1"/>
  <c r="DC26" i="22"/>
  <c r="DD26" i="22" s="1"/>
  <c r="DE26" i="22" s="1"/>
  <c r="DF26" i="22" s="1"/>
  <c r="DG26" i="22" s="1"/>
  <c r="DH26" i="22" s="1"/>
  <c r="DI26" i="22" s="1"/>
  <c r="DJ26" i="22" s="1"/>
  <c r="DK26" i="22" s="1"/>
  <c r="DL26" i="22" s="1"/>
  <c r="DM26" i="22" s="1"/>
  <c r="DN26" i="22" s="1"/>
  <c r="CQ33" i="22"/>
  <c r="CR33" i="22" s="1"/>
  <c r="CS33" i="22" s="1"/>
  <c r="CT33" i="22" s="1"/>
  <c r="CU33" i="22" s="1"/>
  <c r="CV33" i="22" s="1"/>
  <c r="CW33" i="22" s="1"/>
  <c r="CX33" i="22" s="1"/>
  <c r="CY33" i="22" s="1"/>
  <c r="CZ33" i="22" s="1"/>
  <c r="DA33" i="22" s="1"/>
  <c r="DB33" i="22" s="1"/>
  <c r="CQ34" i="22"/>
  <c r="CR34" i="22" s="1"/>
  <c r="CS34" i="22" s="1"/>
  <c r="CT34" i="22" s="1"/>
  <c r="CU34" i="22" s="1"/>
  <c r="CV34" i="22" s="1"/>
  <c r="CW34" i="22" s="1"/>
  <c r="CX34" i="22" s="1"/>
  <c r="CY34" i="22" s="1"/>
  <c r="CZ34" i="22" s="1"/>
  <c r="DA34" i="22" s="1"/>
  <c r="DB34" i="22" s="1"/>
  <c r="EU41" i="22"/>
  <c r="Z72" i="22"/>
  <c r="EC4" i="22"/>
  <c r="EC12" i="22" s="1"/>
  <c r="EA4" i="22"/>
  <c r="EI4" i="22"/>
  <c r="EI12" i="22" s="1"/>
  <c r="EB4" i="22"/>
  <c r="EB12" i="22" s="1"/>
  <c r="EG4" i="22"/>
  <c r="EG12" i="22" s="1"/>
  <c r="EJ4" i="22"/>
  <c r="EJ12" i="22" s="1"/>
  <c r="EF4" i="22"/>
  <c r="EF12" i="22" s="1"/>
  <c r="EK4" i="22"/>
  <c r="EH4" i="22"/>
  <c r="EH12" i="22" s="1"/>
  <c r="T25" i="22"/>
  <c r="S27" i="22"/>
  <c r="S32" i="22"/>
  <c r="T32" i="22" s="1"/>
  <c r="AC36" i="22"/>
  <c r="P10" i="22"/>
  <c r="O11" i="22"/>
  <c r="EM15" i="22" l="1"/>
  <c r="EW6" i="22"/>
  <c r="P96" i="22"/>
  <c r="Q58" i="22"/>
  <c r="Q96" i="22" s="1"/>
  <c r="EO38" i="22"/>
  <c r="ET33" i="22"/>
  <c r="EO34" i="22"/>
  <c r="EM78" i="22"/>
  <c r="EM51" i="22"/>
  <c r="EM75" i="22"/>
  <c r="EM50" i="22"/>
  <c r="EM57" i="22"/>
  <c r="EM58" i="22"/>
  <c r="ER39" i="22"/>
  <c r="EQ35" i="22"/>
  <c r="ET40" i="22"/>
  <c r="EU26" i="22"/>
  <c r="EO26" i="22"/>
  <c r="EP40" i="22"/>
  <c r="EQ34" i="22"/>
  <c r="ES33" i="22"/>
  <c r="ET38" i="22"/>
  <c r="ET39" i="22"/>
  <c r="EQ26" i="22"/>
  <c r="EN34" i="22"/>
  <c r="EO39" i="22"/>
  <c r="ES41" i="22"/>
  <c r="ER26" i="22"/>
  <c r="ER41" i="22"/>
  <c r="ES35" i="22"/>
  <c r="ET26" i="22"/>
  <c r="EO33" i="22"/>
  <c r="EA12" i="22"/>
  <c r="ES40" i="22"/>
  <c r="EP33" i="22"/>
  <c r="EP35" i="22"/>
  <c r="ES34" i="22"/>
  <c r="ER38" i="22"/>
  <c r="ET35" i="22"/>
  <c r="ER35" i="22"/>
  <c r="EP38" i="22"/>
  <c r="EQ33" i="22"/>
  <c r="EQ38" i="22"/>
  <c r="ER34" i="22"/>
  <c r="ET34" i="22"/>
  <c r="EK12" i="22"/>
  <c r="EM35" i="22"/>
  <c r="EM17" i="22"/>
  <c r="EM16" i="22"/>
  <c r="EM38" i="22"/>
  <c r="EM32" i="22"/>
  <c r="EM33" i="22"/>
  <c r="EM39" i="22"/>
  <c r="EM37" i="22"/>
  <c r="EM18" i="22"/>
  <c r="EM36" i="22"/>
  <c r="EM26" i="22"/>
  <c r="EM40" i="22"/>
  <c r="EN41" i="22"/>
  <c r="EM41" i="22"/>
  <c r="EM34" i="22"/>
  <c r="EM25" i="22"/>
  <c r="EO41" i="22"/>
  <c r="EN26" i="22"/>
  <c r="EN40" i="22"/>
  <c r="EN36" i="22"/>
  <c r="EN38" i="22"/>
  <c r="EN39" i="22"/>
  <c r="EN33" i="22"/>
  <c r="EP26" i="22"/>
  <c r="EV41" i="22"/>
  <c r="ES39" i="22"/>
  <c r="EO40" i="22"/>
  <c r="EN35" i="22"/>
  <c r="EQ40" i="22"/>
  <c r="EP34" i="22"/>
  <c r="ER33" i="22"/>
  <c r="ET41" i="22"/>
  <c r="EP39" i="22"/>
  <c r="EP41" i="22"/>
  <c r="EO35" i="22"/>
  <c r="ES26" i="22"/>
  <c r="ER40" i="22"/>
  <c r="ES38" i="22"/>
  <c r="EQ39" i="22"/>
  <c r="EQ41" i="22"/>
  <c r="EV26" i="22"/>
  <c r="DC39" i="22"/>
  <c r="DD39" i="22" s="1"/>
  <c r="DE39" i="22" s="1"/>
  <c r="DF39" i="22" s="1"/>
  <c r="DG39" i="22" s="1"/>
  <c r="DH39" i="22" s="1"/>
  <c r="DI39" i="22" s="1"/>
  <c r="DJ39" i="22" s="1"/>
  <c r="DK39" i="22" s="1"/>
  <c r="DL39" i="22" s="1"/>
  <c r="DM39" i="22" s="1"/>
  <c r="DN39" i="22" s="1"/>
  <c r="EU40" i="22"/>
  <c r="EU34" i="22"/>
  <c r="DC40" i="22"/>
  <c r="DD40" i="22" s="1"/>
  <c r="DE40" i="22" s="1"/>
  <c r="DF40" i="22" s="1"/>
  <c r="DG40" i="22" s="1"/>
  <c r="DH40" i="22" s="1"/>
  <c r="DI40" i="22" s="1"/>
  <c r="DJ40" i="22" s="1"/>
  <c r="DK40" i="22" s="1"/>
  <c r="DL40" i="22" s="1"/>
  <c r="DM40" i="22" s="1"/>
  <c r="DN40" i="22" s="1"/>
  <c r="EU33" i="22"/>
  <c r="DO41" i="22"/>
  <c r="DP41" i="22" s="1"/>
  <c r="DQ41" i="22" s="1"/>
  <c r="DR41" i="22" s="1"/>
  <c r="DS41" i="22" s="1"/>
  <c r="DT41" i="22" s="1"/>
  <c r="DU41" i="22" s="1"/>
  <c r="DV41" i="22" s="1"/>
  <c r="DW41" i="22" s="1"/>
  <c r="DX41" i="22" s="1"/>
  <c r="DY41" i="22" s="1"/>
  <c r="DZ41" i="22" s="1"/>
  <c r="DC33" i="22"/>
  <c r="DD33" i="22" s="1"/>
  <c r="DE33" i="22" s="1"/>
  <c r="DF33" i="22" s="1"/>
  <c r="DG33" i="22" s="1"/>
  <c r="DH33" i="22" s="1"/>
  <c r="DI33" i="22" s="1"/>
  <c r="DJ33" i="22" s="1"/>
  <c r="DK33" i="22" s="1"/>
  <c r="DL33" i="22" s="1"/>
  <c r="DM33" i="22" s="1"/>
  <c r="DN33" i="22" s="1"/>
  <c r="DC35" i="22"/>
  <c r="DD35" i="22" s="1"/>
  <c r="DE35" i="22" s="1"/>
  <c r="DF35" i="22" s="1"/>
  <c r="DG35" i="22" s="1"/>
  <c r="DH35" i="22" s="1"/>
  <c r="DI35" i="22" s="1"/>
  <c r="DJ35" i="22" s="1"/>
  <c r="DK35" i="22" s="1"/>
  <c r="DL35" i="22" s="1"/>
  <c r="DM35" i="22" s="1"/>
  <c r="DN35" i="22" s="1"/>
  <c r="DO26" i="22"/>
  <c r="DP26" i="22" s="1"/>
  <c r="DQ26" i="22" s="1"/>
  <c r="DR26" i="22" s="1"/>
  <c r="DS26" i="22" s="1"/>
  <c r="DT26" i="22" s="1"/>
  <c r="DU26" i="22" s="1"/>
  <c r="DV26" i="22" s="1"/>
  <c r="DW26" i="22" s="1"/>
  <c r="DX26" i="22" s="1"/>
  <c r="DY26" i="22" s="1"/>
  <c r="DZ26" i="22" s="1"/>
  <c r="R71" i="22"/>
  <c r="R73" i="22" s="1"/>
  <c r="S6" i="22"/>
  <c r="R57" i="22"/>
  <c r="R95" i="22" s="1"/>
  <c r="DC38" i="22"/>
  <c r="DD38" i="22" s="1"/>
  <c r="DE38" i="22" s="1"/>
  <c r="DF38" i="22" s="1"/>
  <c r="DG38" i="22" s="1"/>
  <c r="DH38" i="22" s="1"/>
  <c r="DI38" i="22" s="1"/>
  <c r="DJ38" i="22" s="1"/>
  <c r="DK38" i="22" s="1"/>
  <c r="DL38" i="22" s="1"/>
  <c r="DM38" i="22" s="1"/>
  <c r="DN38" i="22" s="1"/>
  <c r="EU35" i="22"/>
  <c r="DC34" i="22"/>
  <c r="DD34" i="22" s="1"/>
  <c r="DE34" i="22" s="1"/>
  <c r="DF34" i="22" s="1"/>
  <c r="DG34" i="22" s="1"/>
  <c r="DH34" i="22" s="1"/>
  <c r="DI34" i="22" s="1"/>
  <c r="DJ34" i="22" s="1"/>
  <c r="DK34" i="22" s="1"/>
  <c r="DL34" i="22" s="1"/>
  <c r="DM34" i="22" s="1"/>
  <c r="DN34" i="22" s="1"/>
  <c r="EU39" i="22"/>
  <c r="EU38" i="22"/>
  <c r="AA72" i="22"/>
  <c r="U32" i="22"/>
  <c r="U25" i="22"/>
  <c r="T27" i="22"/>
  <c r="AD36" i="22"/>
  <c r="Q10" i="22"/>
  <c r="P11" i="22"/>
  <c r="EX6" i="22" l="1"/>
  <c r="EM52" i="22"/>
  <c r="R58" i="22"/>
  <c r="R96" i="22" s="1"/>
  <c r="EM27" i="22"/>
  <c r="EM42" i="22"/>
  <c r="EM19" i="22"/>
  <c r="EV40" i="22"/>
  <c r="EV33" i="22"/>
  <c r="DO33" i="22"/>
  <c r="DP33" i="22" s="1"/>
  <c r="DQ33" i="22" s="1"/>
  <c r="DR33" i="22" s="1"/>
  <c r="DS33" i="22" s="1"/>
  <c r="DT33" i="22" s="1"/>
  <c r="DU33" i="22" s="1"/>
  <c r="DV33" i="22" s="1"/>
  <c r="DW33" i="22" s="1"/>
  <c r="DX33" i="22" s="1"/>
  <c r="DY33" i="22" s="1"/>
  <c r="DZ33" i="22" s="1"/>
  <c r="EA41" i="22"/>
  <c r="EB41" i="22" s="1"/>
  <c r="EC41" i="22" s="1"/>
  <c r="ED41" i="22" s="1"/>
  <c r="EE41" i="22" s="1"/>
  <c r="EF41" i="22" s="1"/>
  <c r="EG41" i="22" s="1"/>
  <c r="EH41" i="22" s="1"/>
  <c r="EI41" i="22" s="1"/>
  <c r="EJ41" i="22" s="1"/>
  <c r="EK41" i="22" s="1"/>
  <c r="S71" i="22"/>
  <c r="S73" i="22" s="1"/>
  <c r="S57" i="22"/>
  <c r="S95" i="22" s="1"/>
  <c r="T6" i="22"/>
  <c r="DO40" i="22"/>
  <c r="DP40" i="22" s="1"/>
  <c r="DQ40" i="22" s="1"/>
  <c r="DR40" i="22" s="1"/>
  <c r="DS40" i="22" s="1"/>
  <c r="DT40" i="22" s="1"/>
  <c r="DU40" i="22" s="1"/>
  <c r="DV40" i="22" s="1"/>
  <c r="DW40" i="22" s="1"/>
  <c r="DX40" i="22" s="1"/>
  <c r="DY40" i="22" s="1"/>
  <c r="DZ40" i="22" s="1"/>
  <c r="EV34" i="22"/>
  <c r="DO34" i="22"/>
  <c r="DP34" i="22" s="1"/>
  <c r="DQ34" i="22" s="1"/>
  <c r="DR34" i="22" s="1"/>
  <c r="DS34" i="22" s="1"/>
  <c r="DT34" i="22" s="1"/>
  <c r="DU34" i="22" s="1"/>
  <c r="DV34" i="22" s="1"/>
  <c r="DW34" i="22" s="1"/>
  <c r="DX34" i="22" s="1"/>
  <c r="DY34" i="22" s="1"/>
  <c r="DZ34" i="22" s="1"/>
  <c r="EW26" i="22"/>
  <c r="EA26" i="22"/>
  <c r="EB26" i="22" s="1"/>
  <c r="EC26" i="22" s="1"/>
  <c r="ED26" i="22" s="1"/>
  <c r="EE26" i="22" s="1"/>
  <c r="EF26" i="22" s="1"/>
  <c r="EG26" i="22" s="1"/>
  <c r="EH26" i="22" s="1"/>
  <c r="EI26" i="22" s="1"/>
  <c r="EJ26" i="22" s="1"/>
  <c r="EK26" i="22" s="1"/>
  <c r="EX26" i="22" s="1"/>
  <c r="EV38" i="22"/>
  <c r="EV35" i="22"/>
  <c r="EV39" i="22"/>
  <c r="DO38" i="22"/>
  <c r="DP38" i="22" s="1"/>
  <c r="DQ38" i="22" s="1"/>
  <c r="DR38" i="22" s="1"/>
  <c r="DS38" i="22" s="1"/>
  <c r="DT38" i="22" s="1"/>
  <c r="DU38" i="22" s="1"/>
  <c r="DV38" i="22" s="1"/>
  <c r="DW38" i="22" s="1"/>
  <c r="DX38" i="22" s="1"/>
  <c r="DY38" i="22" s="1"/>
  <c r="DZ38" i="22" s="1"/>
  <c r="DO35" i="22"/>
  <c r="DP35" i="22" s="1"/>
  <c r="DQ35" i="22" s="1"/>
  <c r="DR35" i="22" s="1"/>
  <c r="DS35" i="22" s="1"/>
  <c r="DT35" i="22" s="1"/>
  <c r="DU35" i="22" s="1"/>
  <c r="DV35" i="22" s="1"/>
  <c r="DW35" i="22" s="1"/>
  <c r="DX35" i="22" s="1"/>
  <c r="DY35" i="22" s="1"/>
  <c r="DZ35" i="22" s="1"/>
  <c r="EW41" i="22"/>
  <c r="DO39" i="22"/>
  <c r="DP39" i="22" s="1"/>
  <c r="DQ39" i="22" s="1"/>
  <c r="DR39" i="22" s="1"/>
  <c r="DS39" i="22" s="1"/>
  <c r="DT39" i="22" s="1"/>
  <c r="DU39" i="22" s="1"/>
  <c r="DV39" i="22" s="1"/>
  <c r="DW39" i="22" s="1"/>
  <c r="DX39" i="22" s="1"/>
  <c r="DY39" i="22" s="1"/>
  <c r="DZ39" i="22" s="1"/>
  <c r="AB72" i="22"/>
  <c r="V25" i="22"/>
  <c r="U27" i="22"/>
  <c r="V32" i="22"/>
  <c r="AE36" i="22"/>
  <c r="R10" i="22"/>
  <c r="Q11" i="22"/>
  <c r="EM29" i="22" l="1"/>
  <c r="S58" i="22"/>
  <c r="S96" i="22" s="1"/>
  <c r="EX41" i="22"/>
  <c r="EM44" i="22"/>
  <c r="EW40" i="22"/>
  <c r="EA35" i="22"/>
  <c r="EB35" i="22" s="1"/>
  <c r="EC35" i="22" s="1"/>
  <c r="ED35" i="22" s="1"/>
  <c r="EE35" i="22" s="1"/>
  <c r="EF35" i="22" s="1"/>
  <c r="EG35" i="22" s="1"/>
  <c r="EH35" i="22" s="1"/>
  <c r="EI35" i="22" s="1"/>
  <c r="EJ35" i="22" s="1"/>
  <c r="EK35" i="22" s="1"/>
  <c r="EA40" i="22"/>
  <c r="EB40" i="22" s="1"/>
  <c r="EC40" i="22" s="1"/>
  <c r="ED40" i="22" s="1"/>
  <c r="EE40" i="22" s="1"/>
  <c r="EF40" i="22" s="1"/>
  <c r="EG40" i="22" s="1"/>
  <c r="EH40" i="22" s="1"/>
  <c r="EI40" i="22" s="1"/>
  <c r="EJ40" i="22" s="1"/>
  <c r="EK40" i="22" s="1"/>
  <c r="EW35" i="22"/>
  <c r="EA38" i="22"/>
  <c r="EB38" i="22" s="1"/>
  <c r="EC38" i="22" s="1"/>
  <c r="ED38" i="22" s="1"/>
  <c r="EE38" i="22" s="1"/>
  <c r="EF38" i="22" s="1"/>
  <c r="EG38" i="22" s="1"/>
  <c r="EH38" i="22" s="1"/>
  <c r="EI38" i="22" s="1"/>
  <c r="EJ38" i="22" s="1"/>
  <c r="EK38" i="22" s="1"/>
  <c r="EA39" i="22"/>
  <c r="EB39" i="22" s="1"/>
  <c r="EC39" i="22" s="1"/>
  <c r="ED39" i="22" s="1"/>
  <c r="EE39" i="22" s="1"/>
  <c r="EF39" i="22" s="1"/>
  <c r="EG39" i="22" s="1"/>
  <c r="EH39" i="22" s="1"/>
  <c r="EI39" i="22" s="1"/>
  <c r="EJ39" i="22" s="1"/>
  <c r="EK39" i="22" s="1"/>
  <c r="EX39" i="22" s="1"/>
  <c r="EW38" i="22"/>
  <c r="EW34" i="22"/>
  <c r="EA34" i="22"/>
  <c r="EB34" i="22" s="1"/>
  <c r="EC34" i="22" s="1"/>
  <c r="ED34" i="22" s="1"/>
  <c r="EE34" i="22" s="1"/>
  <c r="EF34" i="22" s="1"/>
  <c r="EG34" i="22" s="1"/>
  <c r="EH34" i="22" s="1"/>
  <c r="EI34" i="22" s="1"/>
  <c r="EJ34" i="22" s="1"/>
  <c r="EK34" i="22" s="1"/>
  <c r="EW33" i="22"/>
  <c r="EW39" i="22"/>
  <c r="T71" i="22"/>
  <c r="T73" i="22" s="1"/>
  <c r="T57" i="22"/>
  <c r="T95" i="22" s="1"/>
  <c r="U6" i="22"/>
  <c r="EA33" i="22"/>
  <c r="EB33" i="22" s="1"/>
  <c r="EC33" i="22" s="1"/>
  <c r="ED33" i="22" s="1"/>
  <c r="EE33" i="22" s="1"/>
  <c r="EF33" i="22" s="1"/>
  <c r="EG33" i="22" s="1"/>
  <c r="EH33" i="22" s="1"/>
  <c r="EI33" i="22" s="1"/>
  <c r="EJ33" i="22" s="1"/>
  <c r="EK33" i="22" s="1"/>
  <c r="EX33" i="22" s="1"/>
  <c r="AC72" i="22"/>
  <c r="V27" i="22"/>
  <c r="W25" i="22"/>
  <c r="W32" i="22"/>
  <c r="AF36" i="22"/>
  <c r="S10" i="22"/>
  <c r="R11" i="22"/>
  <c r="T58" i="22" l="1"/>
  <c r="T96" i="22" s="1"/>
  <c r="EX34" i="22"/>
  <c r="EX40" i="22"/>
  <c r="EX35" i="22"/>
  <c r="U71" i="22"/>
  <c r="U73" i="22" s="1"/>
  <c r="V6" i="22"/>
  <c r="U57" i="22"/>
  <c r="U95" i="22" s="1"/>
  <c r="EX38" i="22"/>
  <c r="AD72" i="22"/>
  <c r="W27" i="22"/>
  <c r="X25" i="22"/>
  <c r="X32" i="22"/>
  <c r="AG36" i="22"/>
  <c r="T10" i="22"/>
  <c r="S11" i="22"/>
  <c r="U58" i="22" l="1"/>
  <c r="U96" i="22" s="1"/>
  <c r="V71" i="22"/>
  <c r="V73" i="22" s="1"/>
  <c r="V57" i="22"/>
  <c r="V95" i="22" s="1"/>
  <c r="W6" i="22"/>
  <c r="AE72" i="22"/>
  <c r="Y32" i="22"/>
  <c r="X27" i="22"/>
  <c r="Y25" i="22"/>
  <c r="AH36" i="22"/>
  <c r="U10" i="22"/>
  <c r="T11" i="22"/>
  <c r="V58" i="22" l="1"/>
  <c r="V96" i="22" s="1"/>
  <c r="W71" i="22"/>
  <c r="W73" i="22" s="1"/>
  <c r="W57" i="22"/>
  <c r="W95" i="22" s="1"/>
  <c r="X6" i="22"/>
  <c r="AF72" i="22"/>
  <c r="Z25" i="22"/>
  <c r="Y27" i="22"/>
  <c r="Z32" i="22"/>
  <c r="AI36" i="22"/>
  <c r="V10" i="22"/>
  <c r="U11" i="22"/>
  <c r="W58" i="22" l="1"/>
  <c r="W96" i="22" s="1"/>
  <c r="X71" i="22"/>
  <c r="X73" i="22" s="1"/>
  <c r="X57" i="22"/>
  <c r="X95" i="22" s="1"/>
  <c r="Y6" i="22"/>
  <c r="AG72" i="22"/>
  <c r="AA25" i="22"/>
  <c r="Z27" i="22"/>
  <c r="AA32" i="22"/>
  <c r="AJ36" i="22"/>
  <c r="W10" i="22"/>
  <c r="V11" i="22"/>
  <c r="X58" i="22" l="1"/>
  <c r="X96" i="22" s="1"/>
  <c r="Y71" i="22"/>
  <c r="Y73" i="22" s="1"/>
  <c r="Y57" i="22"/>
  <c r="Y95" i="22" s="1"/>
  <c r="Z6" i="22"/>
  <c r="AH72" i="22"/>
  <c r="AB32" i="22"/>
  <c r="AB25" i="22"/>
  <c r="AA27" i="22"/>
  <c r="AK36" i="22"/>
  <c r="X10" i="22"/>
  <c r="W11" i="22"/>
  <c r="Y58" i="22" l="1"/>
  <c r="Y96" i="22" s="1"/>
  <c r="Z71" i="22"/>
  <c r="Z73" i="22" s="1"/>
  <c r="AA6" i="22"/>
  <c r="Z57" i="22"/>
  <c r="Z95" i="22" s="1"/>
  <c r="AI72" i="22"/>
  <c r="AC32" i="22"/>
  <c r="AC25" i="22"/>
  <c r="AB27" i="22"/>
  <c r="AL36" i="22"/>
  <c r="Y10" i="22"/>
  <c r="X11" i="22"/>
  <c r="Z58" i="22" l="1"/>
  <c r="Z96" i="22" s="1"/>
  <c r="AA71" i="22"/>
  <c r="AA73" i="22" s="1"/>
  <c r="AA57" i="22"/>
  <c r="AA95" i="22" s="1"/>
  <c r="AB6" i="22"/>
  <c r="AJ72" i="22"/>
  <c r="AD25" i="22"/>
  <c r="AC27" i="22"/>
  <c r="AD32" i="22"/>
  <c r="AM36" i="22"/>
  <c r="Z10" i="22"/>
  <c r="Y11" i="22"/>
  <c r="AA58" i="22" l="1"/>
  <c r="AA96" i="22" s="1"/>
  <c r="AB71" i="22"/>
  <c r="AB73" i="22" s="1"/>
  <c r="AC6" i="22"/>
  <c r="AB57" i="22"/>
  <c r="AB95" i="22" s="1"/>
  <c r="AK72" i="22"/>
  <c r="AD27" i="22"/>
  <c r="AE25" i="22"/>
  <c r="AE32" i="22"/>
  <c r="AN36" i="22"/>
  <c r="AA10" i="22"/>
  <c r="Z11" i="22"/>
  <c r="AB58" i="22" l="1"/>
  <c r="AB96" i="22" s="1"/>
  <c r="AC71" i="22"/>
  <c r="AC73" i="22" s="1"/>
  <c r="AD6" i="22"/>
  <c r="AC57" i="22"/>
  <c r="AC95" i="22" s="1"/>
  <c r="AL72" i="22"/>
  <c r="AF25" i="22"/>
  <c r="AE27" i="22"/>
  <c r="AF32" i="22"/>
  <c r="AO36" i="22"/>
  <c r="AB10" i="22"/>
  <c r="AA11" i="22"/>
  <c r="AC58" i="22" l="1"/>
  <c r="AC96" i="22" s="1"/>
  <c r="AD71" i="22"/>
  <c r="AD73" i="22" s="1"/>
  <c r="AD57" i="22"/>
  <c r="AD95" i="22" s="1"/>
  <c r="AE6" i="22"/>
  <c r="AM72" i="22"/>
  <c r="AG32" i="22"/>
  <c r="AG25" i="22"/>
  <c r="AF27" i="22"/>
  <c r="AP36" i="22"/>
  <c r="AC10" i="22"/>
  <c r="AB11" i="22"/>
  <c r="AD58" i="22" l="1"/>
  <c r="AD96" i="22" s="1"/>
  <c r="AE71" i="22"/>
  <c r="AE73" i="22" s="1"/>
  <c r="AF6" i="22"/>
  <c r="AE57" i="22"/>
  <c r="AE95" i="22" s="1"/>
  <c r="AN72" i="22"/>
  <c r="AG27" i="22"/>
  <c r="AH25" i="22"/>
  <c r="AH32" i="22"/>
  <c r="AQ36" i="22"/>
  <c r="AD10" i="22"/>
  <c r="AC11" i="22"/>
  <c r="AE58" i="22" l="1"/>
  <c r="AE96" i="22" s="1"/>
  <c r="AF71" i="22"/>
  <c r="AF73" i="22" s="1"/>
  <c r="AF57" i="22"/>
  <c r="AF95" i="22" s="1"/>
  <c r="AG6" i="22"/>
  <c r="AO72" i="22"/>
  <c r="AI32" i="22"/>
  <c r="AH27" i="22"/>
  <c r="AI25" i="22"/>
  <c r="AR36" i="22"/>
  <c r="AE10" i="22"/>
  <c r="AD11" i="22"/>
  <c r="AF58" i="22" l="1"/>
  <c r="AF96" i="22" s="1"/>
  <c r="AG71" i="22"/>
  <c r="AG73" i="22" s="1"/>
  <c r="AG57" i="22"/>
  <c r="AG95" i="22" s="1"/>
  <c r="AH6" i="22"/>
  <c r="AP72" i="22"/>
  <c r="AI27" i="22"/>
  <c r="AJ25" i="22"/>
  <c r="AJ32" i="22"/>
  <c r="AS36" i="22"/>
  <c r="AF10" i="22"/>
  <c r="AE11" i="22"/>
  <c r="AG58" i="22" l="1"/>
  <c r="AG96" i="22" s="1"/>
  <c r="AH71" i="22"/>
  <c r="AH73" i="22" s="1"/>
  <c r="AH57" i="22"/>
  <c r="AH95" i="22" s="1"/>
  <c r="AI6" i="22"/>
  <c r="AQ72" i="22"/>
  <c r="AK32" i="22"/>
  <c r="AJ27" i="22"/>
  <c r="AK25" i="22"/>
  <c r="AT36" i="22"/>
  <c r="AG10" i="22"/>
  <c r="AF11" i="22"/>
  <c r="AH58" i="22" l="1"/>
  <c r="AH96" i="22" s="1"/>
  <c r="AI71" i="22"/>
  <c r="AI73" i="22" s="1"/>
  <c r="AI57" i="22"/>
  <c r="AI95" i="22" s="1"/>
  <c r="AJ6" i="22"/>
  <c r="AR72" i="22"/>
  <c r="AK27" i="22"/>
  <c r="AL25" i="22"/>
  <c r="AL32" i="22"/>
  <c r="AU36" i="22"/>
  <c r="AG11" i="22"/>
  <c r="AH10" i="22"/>
  <c r="AI58" i="22" l="1"/>
  <c r="AI96" i="22" s="1"/>
  <c r="AJ71" i="22"/>
  <c r="AJ73" i="22" s="1"/>
  <c r="AK6" i="22"/>
  <c r="AJ57" i="22"/>
  <c r="AJ95" i="22" s="1"/>
  <c r="AS72" i="22"/>
  <c r="AM25" i="22"/>
  <c r="AL27" i="22"/>
  <c r="AM32" i="22"/>
  <c r="AV36" i="22"/>
  <c r="AH11" i="22"/>
  <c r="AI10" i="22"/>
  <c r="AJ58" i="22" l="1"/>
  <c r="AJ96" i="22" s="1"/>
  <c r="AK71" i="22"/>
  <c r="AK73" i="22" s="1"/>
  <c r="AK57" i="22"/>
  <c r="AK95" i="22" s="1"/>
  <c r="AL6" i="22"/>
  <c r="AT72" i="22"/>
  <c r="AI11" i="22"/>
  <c r="AJ10" i="22"/>
  <c r="AN32" i="22"/>
  <c r="AN25" i="22"/>
  <c r="AM27" i="22"/>
  <c r="AW36" i="22"/>
  <c r="AK58" i="22" l="1"/>
  <c r="AK96" i="22" s="1"/>
  <c r="AL71" i="22"/>
  <c r="AL73" i="22" s="1"/>
  <c r="AM6" i="22"/>
  <c r="AL57" i="22"/>
  <c r="AL95" i="22" s="1"/>
  <c r="AU72" i="22"/>
  <c r="AO32" i="22"/>
  <c r="AK10" i="22"/>
  <c r="AJ11" i="22"/>
  <c r="AN27" i="22"/>
  <c r="AO25" i="22"/>
  <c r="AX36" i="22"/>
  <c r="AL58" i="22" l="1"/>
  <c r="AL96" i="22" s="1"/>
  <c r="AM71" i="22"/>
  <c r="AM73" i="22" s="1"/>
  <c r="AN6" i="22"/>
  <c r="AM57" i="22"/>
  <c r="AM95" i="22" s="1"/>
  <c r="AV72" i="22"/>
  <c r="AL10" i="22"/>
  <c r="AK11" i="22"/>
  <c r="AP25" i="22"/>
  <c r="AO27" i="22"/>
  <c r="AP32" i="22"/>
  <c r="AY36" i="22"/>
  <c r="AM58" i="22" l="1"/>
  <c r="AM96" i="22" s="1"/>
  <c r="AN71" i="22"/>
  <c r="AN73" i="22" s="1"/>
  <c r="AN57" i="22"/>
  <c r="AN95" i="22" s="1"/>
  <c r="AO6" i="22"/>
  <c r="AW72" i="22"/>
  <c r="AQ25" i="22"/>
  <c r="AP27" i="22"/>
  <c r="AQ32" i="22"/>
  <c r="AM10" i="22"/>
  <c r="AL11" i="22"/>
  <c r="AZ36" i="22"/>
  <c r="AN58" i="22" l="1"/>
  <c r="AN96" i="22" s="1"/>
  <c r="AO71" i="22"/>
  <c r="AO73" i="22" s="1"/>
  <c r="AP6" i="22"/>
  <c r="AO57" i="22"/>
  <c r="AO95" i="22" s="1"/>
  <c r="AX72" i="22"/>
  <c r="AR32" i="22"/>
  <c r="AR25" i="22"/>
  <c r="AQ27" i="22"/>
  <c r="AM11" i="22"/>
  <c r="AN10" i="22"/>
  <c r="BA36" i="22"/>
  <c r="AO58" i="22" l="1"/>
  <c r="AO96" i="22" s="1"/>
  <c r="AP71" i="22"/>
  <c r="AP73" i="22" s="1"/>
  <c r="AQ6" i="22"/>
  <c r="AP57" i="22"/>
  <c r="AP95" i="22" s="1"/>
  <c r="AY72" i="22"/>
  <c r="AO10" i="22"/>
  <c r="AN11" i="22"/>
  <c r="AR27" i="22"/>
  <c r="AS25" i="22"/>
  <c r="AS32" i="22"/>
  <c r="BB36" i="22"/>
  <c r="AP58" i="22" l="1"/>
  <c r="AP96" i="22" s="1"/>
  <c r="AQ71" i="22"/>
  <c r="AQ73" i="22" s="1"/>
  <c r="AR6" i="22"/>
  <c r="AQ57" i="22"/>
  <c r="AQ95" i="22" s="1"/>
  <c r="AZ72" i="22"/>
  <c r="AP10" i="22"/>
  <c r="AO11" i="22"/>
  <c r="AT32" i="22"/>
  <c r="AT25" i="22"/>
  <c r="AS27" i="22"/>
  <c r="BC36" i="22"/>
  <c r="AQ58" i="22" l="1"/>
  <c r="AQ96" i="22" s="1"/>
  <c r="AR71" i="22"/>
  <c r="AR73" i="22" s="1"/>
  <c r="AS6" i="22"/>
  <c r="AR57" i="22"/>
  <c r="AR95" i="22" s="1"/>
  <c r="BA72" i="22"/>
  <c r="AU25" i="22"/>
  <c r="AT27" i="22"/>
  <c r="AU32" i="22"/>
  <c r="AP11" i="22"/>
  <c r="AQ10" i="22"/>
  <c r="BD36" i="22"/>
  <c r="AR58" i="22" l="1"/>
  <c r="AR96" i="22" s="1"/>
  <c r="AS71" i="22"/>
  <c r="AS73" i="22" s="1"/>
  <c r="AT6" i="22"/>
  <c r="AS57" i="22"/>
  <c r="AS95" i="22" s="1"/>
  <c r="BB72" i="22"/>
  <c r="AV32" i="22"/>
  <c r="AV25" i="22"/>
  <c r="AU27" i="22"/>
  <c r="AR10" i="22"/>
  <c r="AQ11" i="22"/>
  <c r="BE36" i="22"/>
  <c r="AS58" i="22" l="1"/>
  <c r="AS96" i="22" s="1"/>
  <c r="AT71" i="22"/>
  <c r="AT73" i="22" s="1"/>
  <c r="AU6" i="22"/>
  <c r="AT57" i="22"/>
  <c r="AT95" i="22" s="1"/>
  <c r="BC72" i="22"/>
  <c r="AS10" i="22"/>
  <c r="AR11" i="22"/>
  <c r="AW25" i="22"/>
  <c r="AV27" i="22"/>
  <c r="AW32" i="22"/>
  <c r="BF36" i="22"/>
  <c r="AT58" i="22" l="1"/>
  <c r="AT96" i="22" s="1"/>
  <c r="AU71" i="22"/>
  <c r="AU73" i="22" s="1"/>
  <c r="AV6" i="22"/>
  <c r="AU57" i="22"/>
  <c r="AU95" i="22" s="1"/>
  <c r="BD72" i="22"/>
  <c r="AX25" i="22"/>
  <c r="AW27" i="22"/>
  <c r="AS11" i="22"/>
  <c r="AT10" i="22"/>
  <c r="AX32" i="22"/>
  <c r="BG36" i="22"/>
  <c r="AU58" i="22" l="1"/>
  <c r="AU96" i="22" s="1"/>
  <c r="AV71" i="22"/>
  <c r="AV73" i="22" s="1"/>
  <c r="AV57" i="22"/>
  <c r="AV95" i="22" s="1"/>
  <c r="AW6" i="22"/>
  <c r="BE72" i="22"/>
  <c r="AY32" i="22"/>
  <c r="AT11" i="22"/>
  <c r="AU10" i="22"/>
  <c r="AX27" i="22"/>
  <c r="AY25" i="22"/>
  <c r="BH36" i="22"/>
  <c r="AV58" i="22" l="1"/>
  <c r="AV96" i="22" s="1"/>
  <c r="AW71" i="22"/>
  <c r="AW73" i="22" s="1"/>
  <c r="AX6" i="22"/>
  <c r="AW57" i="22"/>
  <c r="AW95" i="22" s="1"/>
  <c r="BF72" i="22"/>
  <c r="AU11" i="22"/>
  <c r="AV10" i="22"/>
  <c r="AZ32" i="22"/>
  <c r="AY27" i="22"/>
  <c r="AZ25" i="22"/>
  <c r="BI36" i="22"/>
  <c r="AW58" i="22" l="1"/>
  <c r="AW96" i="22" s="1"/>
  <c r="AX71" i="22"/>
  <c r="AX73" i="22" s="1"/>
  <c r="AX57" i="22"/>
  <c r="AX95" i="22" s="1"/>
  <c r="AY6" i="22"/>
  <c r="BG72" i="22"/>
  <c r="BA25" i="22"/>
  <c r="AZ27" i="22"/>
  <c r="BA32" i="22"/>
  <c r="AW10" i="22"/>
  <c r="AV11" i="22"/>
  <c r="BJ36" i="22"/>
  <c r="AX58" i="22" l="1"/>
  <c r="AX96" i="22" s="1"/>
  <c r="AY71" i="22"/>
  <c r="AY73" i="22" s="1"/>
  <c r="AZ6" i="22"/>
  <c r="AY57" i="22"/>
  <c r="AY95" i="22" s="1"/>
  <c r="BH72" i="22"/>
  <c r="BB32" i="22"/>
  <c r="BB25" i="22"/>
  <c r="BA27" i="22"/>
  <c r="AX10" i="22"/>
  <c r="AW11" i="22"/>
  <c r="BK36" i="22"/>
  <c r="AY58" i="22" l="1"/>
  <c r="AY96" i="22" s="1"/>
  <c r="AZ71" i="22"/>
  <c r="AZ73" i="22" s="1"/>
  <c r="AZ57" i="22"/>
  <c r="AZ95" i="22" s="1"/>
  <c r="BA6" i="22"/>
  <c r="BI72" i="22"/>
  <c r="AY10" i="22"/>
  <c r="AX11" i="22"/>
  <c r="BB27" i="22"/>
  <c r="BC25" i="22"/>
  <c r="BC32" i="22"/>
  <c r="BL36" i="22"/>
  <c r="AZ58" i="22" l="1"/>
  <c r="AZ96" i="22" s="1"/>
  <c r="BA71" i="22"/>
  <c r="BA73" i="22" s="1"/>
  <c r="BB6" i="22"/>
  <c r="BA57" i="22"/>
  <c r="BA95" i="22" s="1"/>
  <c r="BJ72" i="22"/>
  <c r="AZ10" i="22"/>
  <c r="AY11" i="22"/>
  <c r="BD32" i="22"/>
  <c r="BC27" i="22"/>
  <c r="BD25" i="22"/>
  <c r="BM36" i="22"/>
  <c r="BA58" i="22" l="1"/>
  <c r="BA96" i="22" s="1"/>
  <c r="BB71" i="22"/>
  <c r="BB73" i="22" s="1"/>
  <c r="BC6" i="22"/>
  <c r="BB57" i="22"/>
  <c r="BB95" i="22" s="1"/>
  <c r="BK72" i="22"/>
  <c r="BE32" i="22"/>
  <c r="BE25" i="22"/>
  <c r="BD27" i="22"/>
  <c r="AZ11" i="22"/>
  <c r="BA10" i="22"/>
  <c r="BN36" i="22"/>
  <c r="BB58" i="22" l="1"/>
  <c r="BB96" i="22" s="1"/>
  <c r="BC71" i="22"/>
  <c r="BC73" i="22" s="1"/>
  <c r="BD6" i="22"/>
  <c r="BC57" i="22"/>
  <c r="BC95" i="22" s="1"/>
  <c r="BL72" i="22"/>
  <c r="BF25" i="22"/>
  <c r="BE27" i="22"/>
  <c r="BF32" i="22"/>
  <c r="BA11" i="22"/>
  <c r="BB10" i="22"/>
  <c r="BO36" i="22"/>
  <c r="BC58" i="22" l="1"/>
  <c r="BC96" i="22" s="1"/>
  <c r="BD71" i="22"/>
  <c r="BD73" i="22" s="1"/>
  <c r="BE6" i="22"/>
  <c r="BD57" i="22"/>
  <c r="BD95" i="22" s="1"/>
  <c r="BM72" i="22"/>
  <c r="BC10" i="22"/>
  <c r="BB11" i="22"/>
  <c r="BG32" i="22"/>
  <c r="BF27" i="22"/>
  <c r="BG25" i="22"/>
  <c r="BP36" i="22"/>
  <c r="BD58" i="22" l="1"/>
  <c r="BD96" i="22" s="1"/>
  <c r="BE71" i="22"/>
  <c r="BE73" i="22" s="1"/>
  <c r="BF6" i="22"/>
  <c r="BE57" i="22"/>
  <c r="BE95" i="22" s="1"/>
  <c r="BN72" i="22"/>
  <c r="BH32" i="22"/>
  <c r="BD10" i="22"/>
  <c r="BC11" i="22"/>
  <c r="BG27" i="22"/>
  <c r="BH25" i="22"/>
  <c r="BQ36" i="22"/>
  <c r="BE58" i="22" l="1"/>
  <c r="BE96" i="22" s="1"/>
  <c r="BF71" i="22"/>
  <c r="BF73" i="22" s="1"/>
  <c r="BG6" i="22"/>
  <c r="BF57" i="22"/>
  <c r="BF95" i="22" s="1"/>
  <c r="BO72" i="22"/>
  <c r="BI25" i="22"/>
  <c r="BH27" i="22"/>
  <c r="BE10" i="22"/>
  <c r="BD11" i="22"/>
  <c r="BI32" i="22"/>
  <c r="BR36" i="22"/>
  <c r="BF58" i="22" l="1"/>
  <c r="BF96" i="22" s="1"/>
  <c r="BG71" i="22"/>
  <c r="BG73" i="22" s="1"/>
  <c r="BH6" i="22"/>
  <c r="BG57" i="22"/>
  <c r="BG95" i="22" s="1"/>
  <c r="BP72" i="22"/>
  <c r="BF10" i="22"/>
  <c r="BE11" i="22"/>
  <c r="BJ32" i="22"/>
  <c r="BJ25" i="22"/>
  <c r="BI27" i="22"/>
  <c r="BS36" i="22"/>
  <c r="BG58" i="22" l="1"/>
  <c r="BG96" i="22" s="1"/>
  <c r="BH71" i="22"/>
  <c r="BH73" i="22" s="1"/>
  <c r="BH57" i="22"/>
  <c r="BH95" i="22" s="1"/>
  <c r="BI6" i="22"/>
  <c r="BQ72" i="22"/>
  <c r="BK32" i="22"/>
  <c r="BG10" i="22"/>
  <c r="BF11" i="22"/>
  <c r="BJ27" i="22"/>
  <c r="BK25" i="22"/>
  <c r="BT36" i="22"/>
  <c r="BH58" i="22" l="1"/>
  <c r="BH96" i="22" s="1"/>
  <c r="BI71" i="22"/>
  <c r="BI73" i="22" s="1"/>
  <c r="BI57" i="22"/>
  <c r="BI95" i="22" s="1"/>
  <c r="BJ6" i="22"/>
  <c r="BR72" i="22"/>
  <c r="BL25" i="22"/>
  <c r="BK27" i="22"/>
  <c r="BH10" i="22"/>
  <c r="BG11" i="22"/>
  <c r="BL32" i="22"/>
  <c r="BU36" i="22"/>
  <c r="BI58" i="22" l="1"/>
  <c r="BI96" i="22" s="1"/>
  <c r="BJ71" i="22"/>
  <c r="BJ73" i="22" s="1"/>
  <c r="BK6" i="22"/>
  <c r="BJ57" i="22"/>
  <c r="BJ95" i="22" s="1"/>
  <c r="BS72" i="22"/>
  <c r="BH11" i="22"/>
  <c r="BI10" i="22"/>
  <c r="BM32" i="22"/>
  <c r="BL27" i="22"/>
  <c r="BM25" i="22"/>
  <c r="BV36" i="22"/>
  <c r="BJ58" i="22" l="1"/>
  <c r="BJ96" i="22" s="1"/>
  <c r="BK71" i="22"/>
  <c r="BK73" i="22" s="1"/>
  <c r="BL6" i="22"/>
  <c r="BK57" i="22"/>
  <c r="BK95" i="22" s="1"/>
  <c r="BT72" i="22"/>
  <c r="BN32" i="22"/>
  <c r="BJ10" i="22"/>
  <c r="BI11" i="22"/>
  <c r="BM27" i="22"/>
  <c r="BN25" i="22"/>
  <c r="BW36" i="22"/>
  <c r="BK58" i="22" l="1"/>
  <c r="BK96" i="22" s="1"/>
  <c r="BL71" i="22"/>
  <c r="BL73" i="22" s="1"/>
  <c r="BM6" i="22"/>
  <c r="BL57" i="22"/>
  <c r="BL95" i="22" s="1"/>
  <c r="BU72" i="22"/>
  <c r="BN27" i="22"/>
  <c r="BO25" i="22"/>
  <c r="BJ11" i="22"/>
  <c r="BK10" i="22"/>
  <c r="BO32" i="22"/>
  <c r="BX36" i="22"/>
  <c r="BL58" i="22" l="1"/>
  <c r="BL96" i="22" s="1"/>
  <c r="BM71" i="22"/>
  <c r="BM73" i="22" s="1"/>
  <c r="BN6" i="22"/>
  <c r="BM57" i="22"/>
  <c r="BM95" i="22" s="1"/>
  <c r="BV72" i="22"/>
  <c r="BL10" i="22"/>
  <c r="BK11" i="22"/>
  <c r="BP32" i="22"/>
  <c r="BP25" i="22"/>
  <c r="BO27" i="22"/>
  <c r="BY36" i="22"/>
  <c r="BM58" i="22" l="1"/>
  <c r="BM96" i="22" s="1"/>
  <c r="BN71" i="22"/>
  <c r="BN73" i="22" s="1"/>
  <c r="BO6" i="22"/>
  <c r="BN57" i="22"/>
  <c r="BN95" i="22" s="1"/>
  <c r="BW72" i="22"/>
  <c r="BQ32" i="22"/>
  <c r="BM10" i="22"/>
  <c r="BL11" i="22"/>
  <c r="BP27" i="22"/>
  <c r="BQ25" i="22"/>
  <c r="BZ36" i="22"/>
  <c r="BN58" i="22" l="1"/>
  <c r="BN96" i="22" s="1"/>
  <c r="BO71" i="22"/>
  <c r="BO73" i="22" s="1"/>
  <c r="BO57" i="22"/>
  <c r="BO95" i="22" s="1"/>
  <c r="BP6" i="22"/>
  <c r="BX72" i="22"/>
  <c r="BR25" i="22"/>
  <c r="BQ27" i="22"/>
  <c r="BM11" i="22"/>
  <c r="BN10" i="22"/>
  <c r="BR32" i="22"/>
  <c r="CA36" i="22"/>
  <c r="BO58" i="22" l="1"/>
  <c r="BO96" i="22" s="1"/>
  <c r="BP71" i="22"/>
  <c r="BP73" i="22" s="1"/>
  <c r="BQ6" i="22"/>
  <c r="BP57" i="22"/>
  <c r="BP95" i="22" s="1"/>
  <c r="BY72" i="22"/>
  <c r="BN11" i="22"/>
  <c r="BO10" i="22"/>
  <c r="BS32" i="22"/>
  <c r="BS25" i="22"/>
  <c r="BR27" i="22"/>
  <c r="CB36" i="22"/>
  <c r="BP58" i="22" l="1"/>
  <c r="BP96" i="22" s="1"/>
  <c r="BQ71" i="22"/>
  <c r="BQ73" i="22" s="1"/>
  <c r="BR6" i="22"/>
  <c r="BQ57" i="22"/>
  <c r="BQ95" i="22" s="1"/>
  <c r="BZ72" i="22"/>
  <c r="BP10" i="22"/>
  <c r="BO11" i="22"/>
  <c r="BT32" i="22"/>
  <c r="BS27" i="22"/>
  <c r="BT25" i="22"/>
  <c r="CC36" i="22"/>
  <c r="BQ58" i="22" l="1"/>
  <c r="BQ96" i="22" s="1"/>
  <c r="BR71" i="22"/>
  <c r="BR73" i="22" s="1"/>
  <c r="BS6" i="22"/>
  <c r="BR57" i="22"/>
  <c r="BR95" i="22" s="1"/>
  <c r="CA72" i="22"/>
  <c r="BU25" i="22"/>
  <c r="BT27" i="22"/>
  <c r="BU32" i="22"/>
  <c r="BQ10" i="22"/>
  <c r="BP11" i="22"/>
  <c r="CD36" i="22"/>
  <c r="BR58" i="22" l="1"/>
  <c r="BR96" i="22" s="1"/>
  <c r="BS71" i="22"/>
  <c r="BS73" i="22" s="1"/>
  <c r="BT6" i="22"/>
  <c r="BS57" i="22"/>
  <c r="BS95" i="22" s="1"/>
  <c r="CB72" i="22"/>
  <c r="BV32" i="22"/>
  <c r="BU27" i="22"/>
  <c r="BV25" i="22"/>
  <c r="BR10" i="22"/>
  <c r="BQ11" i="22"/>
  <c r="CE36" i="22"/>
  <c r="BS58" i="22" l="1"/>
  <c r="BS96" i="22" s="1"/>
  <c r="BT71" i="22"/>
  <c r="BT73" i="22" s="1"/>
  <c r="BT57" i="22"/>
  <c r="BT95" i="22" s="1"/>
  <c r="BU6" i="22"/>
  <c r="CC72" i="22"/>
  <c r="BR11" i="22"/>
  <c r="BS10" i="22"/>
  <c r="BW25" i="22"/>
  <c r="BV27" i="22"/>
  <c r="BW32" i="22"/>
  <c r="CF36" i="22"/>
  <c r="BT58" i="22" l="1"/>
  <c r="BT96" i="22" s="1"/>
  <c r="BU71" i="22"/>
  <c r="BU73" i="22" s="1"/>
  <c r="BV6" i="22"/>
  <c r="BU57" i="22"/>
  <c r="BU95" i="22" s="1"/>
  <c r="CD72" i="22"/>
  <c r="BT10" i="22"/>
  <c r="BS11" i="22"/>
  <c r="BW27" i="22"/>
  <c r="BX25" i="22"/>
  <c r="BX32" i="22"/>
  <c r="CG36" i="22"/>
  <c r="BU58" i="22" l="1"/>
  <c r="BU96" i="22" s="1"/>
  <c r="BV71" i="22"/>
  <c r="BV73" i="22" s="1"/>
  <c r="BW6" i="22"/>
  <c r="BV57" i="22"/>
  <c r="BV95" i="22" s="1"/>
  <c r="CE72" i="22"/>
  <c r="BY32" i="22"/>
  <c r="BX27" i="22"/>
  <c r="BY25" i="22"/>
  <c r="BU10" i="22"/>
  <c r="BT11" i="22"/>
  <c r="CH36" i="22"/>
  <c r="BV58" i="22" l="1"/>
  <c r="BV96" i="22" s="1"/>
  <c r="BW71" i="22"/>
  <c r="BW73" i="22" s="1"/>
  <c r="BX6" i="22"/>
  <c r="BW57" i="22"/>
  <c r="BW95" i="22" s="1"/>
  <c r="CF72" i="22"/>
  <c r="BZ25" i="22"/>
  <c r="BY27" i="22"/>
  <c r="BZ32" i="22"/>
  <c r="BV10" i="22"/>
  <c r="BU11" i="22"/>
  <c r="CI36" i="22"/>
  <c r="BW58" i="22" l="1"/>
  <c r="BW96" i="22" s="1"/>
  <c r="BX71" i="22"/>
  <c r="BX73" i="22" s="1"/>
  <c r="BX57" i="22"/>
  <c r="BX95" i="22" s="1"/>
  <c r="BY6" i="22"/>
  <c r="CG72" i="22"/>
  <c r="BV11" i="22"/>
  <c r="BW10" i="22"/>
  <c r="CA32" i="22"/>
  <c r="BZ27" i="22"/>
  <c r="CA25" i="22"/>
  <c r="CJ36" i="22"/>
  <c r="BX58" i="22" l="1"/>
  <c r="BX96" i="22" s="1"/>
  <c r="BY71" i="22"/>
  <c r="BY73" i="22" s="1"/>
  <c r="BZ6" i="22"/>
  <c r="BY57" i="22"/>
  <c r="BY95" i="22" s="1"/>
  <c r="CH72" i="22"/>
  <c r="BW11" i="22"/>
  <c r="BX10" i="22"/>
  <c r="CB32" i="22"/>
  <c r="CB25" i="22"/>
  <c r="CA27" i="22"/>
  <c r="CK36" i="22"/>
  <c r="BY58" i="22" l="1"/>
  <c r="BY96" i="22" s="1"/>
  <c r="BZ71" i="22"/>
  <c r="BZ73" i="22" s="1"/>
  <c r="CA6" i="22"/>
  <c r="BZ57" i="22"/>
  <c r="BZ95" i="22" s="1"/>
  <c r="CI72" i="22"/>
  <c r="CB27" i="22"/>
  <c r="CC25" i="22"/>
  <c r="CC32" i="22"/>
  <c r="BX11" i="22"/>
  <c r="BY10" i="22"/>
  <c r="CL36" i="22"/>
  <c r="BZ58" i="22" l="1"/>
  <c r="BZ96" i="22" s="1"/>
  <c r="CA71" i="22"/>
  <c r="CA73" i="22" s="1"/>
  <c r="CB6" i="22"/>
  <c r="CA57" i="22"/>
  <c r="CA95" i="22" s="1"/>
  <c r="CJ72" i="22"/>
  <c r="CC27" i="22"/>
  <c r="CD25" i="22"/>
  <c r="CD32" i="22"/>
  <c r="BY11" i="22"/>
  <c r="BZ10" i="22"/>
  <c r="CM36" i="22"/>
  <c r="CA58" i="22" l="1"/>
  <c r="CA96" i="22" s="1"/>
  <c r="CB71" i="22"/>
  <c r="CB73" i="22" s="1"/>
  <c r="CC6" i="22"/>
  <c r="CB57" i="22"/>
  <c r="CB95" i="22" s="1"/>
  <c r="CK72" i="22"/>
  <c r="BZ11" i="22"/>
  <c r="CA10" i="22"/>
  <c r="CE32" i="22"/>
  <c r="CD27" i="22"/>
  <c r="CE25" i="22"/>
  <c r="CN36" i="22"/>
  <c r="CB58" i="22" l="1"/>
  <c r="CB96" i="22" s="1"/>
  <c r="CC71" i="22"/>
  <c r="CC73" i="22" s="1"/>
  <c r="CD6" i="22"/>
  <c r="CC57" i="22"/>
  <c r="CC95" i="22" s="1"/>
  <c r="CL72" i="22"/>
  <c r="CB10" i="22"/>
  <c r="CA11" i="22"/>
  <c r="CF32" i="22"/>
  <c r="CE27" i="22"/>
  <c r="CF25" i="22"/>
  <c r="CO36" i="22"/>
  <c r="CC58" i="22" l="1"/>
  <c r="CC96" i="22" s="1"/>
  <c r="CD71" i="22"/>
  <c r="CD73" i="22" s="1"/>
  <c r="CD57" i="22"/>
  <c r="CD95" i="22" s="1"/>
  <c r="CE6" i="22"/>
  <c r="CM72" i="22"/>
  <c r="CG25" i="22"/>
  <c r="CF27" i="22"/>
  <c r="CG32" i="22"/>
  <c r="CC10" i="22"/>
  <c r="CB11" i="22"/>
  <c r="CP36" i="22"/>
  <c r="CD58" i="22" l="1"/>
  <c r="CD96" i="22" s="1"/>
  <c r="CE71" i="22"/>
  <c r="CE73" i="22" s="1"/>
  <c r="CE57" i="22"/>
  <c r="CE95" i="22" s="1"/>
  <c r="CF6" i="22"/>
  <c r="CN72" i="22"/>
  <c r="CH32" i="22"/>
  <c r="CH25" i="22"/>
  <c r="CG27" i="22"/>
  <c r="CD10" i="22"/>
  <c r="CC11" i="22"/>
  <c r="CQ36" i="22"/>
  <c r="CE58" i="22" l="1"/>
  <c r="CE96" i="22" s="1"/>
  <c r="CF71" i="22"/>
  <c r="CF73" i="22" s="1"/>
  <c r="CF57" i="22"/>
  <c r="CF95" i="22" s="1"/>
  <c r="CG6" i="22"/>
  <c r="CO72" i="22"/>
  <c r="CD11" i="22"/>
  <c r="CE10" i="22"/>
  <c r="CH27" i="22"/>
  <c r="CI25" i="22"/>
  <c r="CI32" i="22"/>
  <c r="CR36" i="22"/>
  <c r="CF58" i="22" l="1"/>
  <c r="CF96" i="22" s="1"/>
  <c r="CG71" i="22"/>
  <c r="CG73" i="22" s="1"/>
  <c r="CH6" i="22"/>
  <c r="CG57" i="22"/>
  <c r="CG95" i="22" s="1"/>
  <c r="CP72" i="22"/>
  <c r="CI27" i="22"/>
  <c r="CJ25" i="22"/>
  <c r="CJ32" i="22"/>
  <c r="CE11" i="22"/>
  <c r="CF10" i="22"/>
  <c r="CS36" i="22"/>
  <c r="CG58" i="22" l="1"/>
  <c r="CG96" i="22" s="1"/>
  <c r="CH71" i="22"/>
  <c r="CH73" i="22" s="1"/>
  <c r="CI6" i="22"/>
  <c r="CH57" i="22"/>
  <c r="CH95" i="22" s="1"/>
  <c r="CQ72" i="22"/>
  <c r="CK32" i="22"/>
  <c r="CG10" i="22"/>
  <c r="CF11" i="22"/>
  <c r="CK25" i="22"/>
  <c r="CJ27" i="22"/>
  <c r="CT36" i="22"/>
  <c r="CH58" i="22" l="1"/>
  <c r="CH96" i="22" s="1"/>
  <c r="CI71" i="22"/>
  <c r="CI73" i="22" s="1"/>
  <c r="CJ6" i="22"/>
  <c r="CI57" i="22"/>
  <c r="CI95" i="22" s="1"/>
  <c r="CR72" i="22"/>
  <c r="CG11" i="22"/>
  <c r="CH10" i="22"/>
  <c r="CK27" i="22"/>
  <c r="CL25" i="22"/>
  <c r="CL32" i="22"/>
  <c r="CU36" i="22"/>
  <c r="CI58" i="22" l="1"/>
  <c r="CI96" i="22" s="1"/>
  <c r="CJ71" i="22"/>
  <c r="CJ73" i="22" s="1"/>
  <c r="CK6" i="22"/>
  <c r="CJ57" i="22"/>
  <c r="CJ95" i="22" s="1"/>
  <c r="CS72" i="22"/>
  <c r="CH11" i="22"/>
  <c r="CI10" i="22"/>
  <c r="CM32" i="22"/>
  <c r="CL27" i="22"/>
  <c r="CM25" i="22"/>
  <c r="CV36" i="22"/>
  <c r="CJ58" i="22" l="1"/>
  <c r="CJ96" i="22" s="1"/>
  <c r="CK71" i="22"/>
  <c r="CK73" i="22" s="1"/>
  <c r="CK57" i="22"/>
  <c r="CK95" i="22" s="1"/>
  <c r="CL6" i="22"/>
  <c r="CT72" i="22"/>
  <c r="CM27" i="22"/>
  <c r="CN25" i="22"/>
  <c r="CN32" i="22"/>
  <c r="CI11" i="22"/>
  <c r="CJ10" i="22"/>
  <c r="CW36" i="22"/>
  <c r="CK58" i="22" l="1"/>
  <c r="CK96" i="22" s="1"/>
  <c r="CL71" i="22"/>
  <c r="CL73" i="22" s="1"/>
  <c r="CM6" i="22"/>
  <c r="CL57" i="22"/>
  <c r="CL95" i="22" s="1"/>
  <c r="CU72" i="22"/>
  <c r="CO32" i="22"/>
  <c r="CK10" i="22"/>
  <c r="CJ11" i="22"/>
  <c r="CO25" i="22"/>
  <c r="CN27" i="22"/>
  <c r="CX36" i="22"/>
  <c r="CL58" i="22" l="1"/>
  <c r="CL96" i="22" s="1"/>
  <c r="CM71" i="22"/>
  <c r="CM73" i="22" s="1"/>
  <c r="CN6" i="22"/>
  <c r="CM57" i="22"/>
  <c r="CM95" i="22" s="1"/>
  <c r="CV72" i="22"/>
  <c r="CP25" i="22"/>
  <c r="CO27" i="22"/>
  <c r="CL10" i="22"/>
  <c r="CK11" i="22"/>
  <c r="CP32" i="22"/>
  <c r="CY36" i="22"/>
  <c r="CM58" i="22" l="1"/>
  <c r="CM96" i="22" s="1"/>
  <c r="CN71" i="22"/>
  <c r="CN73" i="22" s="1"/>
  <c r="CO6" i="22"/>
  <c r="CN57" i="22"/>
  <c r="CN95" i="22" s="1"/>
  <c r="CW72" i="22"/>
  <c r="CM10" i="22"/>
  <c r="CL11" i="22"/>
  <c r="CQ32" i="22"/>
  <c r="CP27" i="22"/>
  <c r="CQ25" i="22"/>
  <c r="CZ36" i="22"/>
  <c r="CN58" i="22" l="1"/>
  <c r="CN96" i="22" s="1"/>
  <c r="CO71" i="22"/>
  <c r="CO73" i="22" s="1"/>
  <c r="CP6" i="22"/>
  <c r="CO57" i="22"/>
  <c r="CO95" i="22" s="1"/>
  <c r="CX72" i="22"/>
  <c r="CN10" i="22"/>
  <c r="CM11" i="22"/>
  <c r="CR32" i="22"/>
  <c r="CQ27" i="22"/>
  <c r="CR25" i="22"/>
  <c r="DA36" i="22"/>
  <c r="CO58" i="22" l="1"/>
  <c r="CO96" i="22" s="1"/>
  <c r="CP71" i="22"/>
  <c r="CP73" i="22" s="1"/>
  <c r="CQ6" i="22"/>
  <c r="CP57" i="22"/>
  <c r="CP95" i="22" s="1"/>
  <c r="CY72" i="22"/>
  <c r="CS25" i="22"/>
  <c r="CR27" i="22"/>
  <c r="CS32" i="22"/>
  <c r="CO10" i="22"/>
  <c r="CN11" i="22"/>
  <c r="DB36" i="22"/>
  <c r="CP58" i="22" l="1"/>
  <c r="CP96" i="22" s="1"/>
  <c r="CQ71" i="22"/>
  <c r="CQ73" i="22" s="1"/>
  <c r="CQ57" i="22"/>
  <c r="CQ95" i="22" s="1"/>
  <c r="CR6" i="22"/>
  <c r="CZ72" i="22"/>
  <c r="CT25" i="22"/>
  <c r="CS27" i="22"/>
  <c r="CT32" i="22"/>
  <c r="CO11" i="22"/>
  <c r="CP10" i="22"/>
  <c r="DC36" i="22"/>
  <c r="CQ58" i="22" l="1"/>
  <c r="CQ96" i="22" s="1"/>
  <c r="CR71" i="22"/>
  <c r="CR73" i="22" s="1"/>
  <c r="CR57" i="22"/>
  <c r="CR95" i="22" s="1"/>
  <c r="CS6" i="22"/>
  <c r="DA72" i="22"/>
  <c r="CQ10" i="22"/>
  <c r="CP11" i="22"/>
  <c r="CU32" i="22"/>
  <c r="CT27" i="22"/>
  <c r="CU25" i="22"/>
  <c r="DD36" i="22"/>
  <c r="CR58" i="22" l="1"/>
  <c r="CR96" i="22" s="1"/>
  <c r="CS71" i="22"/>
  <c r="CS73" i="22" s="1"/>
  <c r="CS57" i="22"/>
  <c r="CS95" i="22" s="1"/>
  <c r="CT6" i="22"/>
  <c r="DB72" i="22"/>
  <c r="CV25" i="22"/>
  <c r="CU27" i="22"/>
  <c r="CV32" i="22"/>
  <c r="CR10" i="22"/>
  <c r="CQ11" i="22"/>
  <c r="DE36" i="22"/>
  <c r="CS58" i="22" l="1"/>
  <c r="CS96" i="22" s="1"/>
  <c r="CT71" i="22"/>
  <c r="CT73" i="22" s="1"/>
  <c r="CT57" i="22"/>
  <c r="CT95" i="22" s="1"/>
  <c r="CU6" i="22"/>
  <c r="DC72" i="22"/>
  <c r="CW32" i="22"/>
  <c r="CR11" i="22"/>
  <c r="CS10" i="22"/>
  <c r="CW25" i="22"/>
  <c r="CV27" i="22"/>
  <c r="DF36" i="22"/>
  <c r="CT58" i="22" l="1"/>
  <c r="CT96" i="22" s="1"/>
  <c r="CU71" i="22"/>
  <c r="CU73" i="22" s="1"/>
  <c r="CV6" i="22"/>
  <c r="CU57" i="22"/>
  <c r="CU95" i="22" s="1"/>
  <c r="DD72" i="22"/>
  <c r="CT10" i="22"/>
  <c r="CS11" i="22"/>
  <c r="CW27" i="22"/>
  <c r="CX25" i="22"/>
  <c r="CX32" i="22"/>
  <c r="DG36" i="22"/>
  <c r="CU58" i="22" l="1"/>
  <c r="CU96" i="22" s="1"/>
  <c r="CV71" i="22"/>
  <c r="CV73" i="22" s="1"/>
  <c r="CW6" i="22"/>
  <c r="CV57" i="22"/>
  <c r="CV95" i="22" s="1"/>
  <c r="DE72" i="22"/>
  <c r="CY32" i="22"/>
  <c r="CY25" i="22"/>
  <c r="CX27" i="22"/>
  <c r="CT11" i="22"/>
  <c r="CU10" i="22"/>
  <c r="DH36" i="22"/>
  <c r="CV58" i="22" l="1"/>
  <c r="CV96" i="22" s="1"/>
  <c r="CW71" i="22"/>
  <c r="CW73" i="22" s="1"/>
  <c r="CX6" i="22"/>
  <c r="CW57" i="22"/>
  <c r="CW95" i="22" s="1"/>
  <c r="DF72" i="22"/>
  <c r="CZ32" i="22"/>
  <c r="CV10" i="22"/>
  <c r="CU11" i="22"/>
  <c r="CZ25" i="22"/>
  <c r="CY27" i="22"/>
  <c r="DI36" i="22"/>
  <c r="CW58" i="22" l="1"/>
  <c r="CW96" i="22" s="1"/>
  <c r="CX71" i="22"/>
  <c r="CX73" i="22" s="1"/>
  <c r="CX57" i="22"/>
  <c r="CX95" i="22" s="1"/>
  <c r="CY6" i="22"/>
  <c r="DG72" i="22"/>
  <c r="CV11" i="22"/>
  <c r="CW10" i="22"/>
  <c r="CZ27" i="22"/>
  <c r="DA25" i="22"/>
  <c r="DA32" i="22"/>
  <c r="DJ36" i="22"/>
  <c r="CX58" i="22" l="1"/>
  <c r="CX96" i="22" s="1"/>
  <c r="CY71" i="22"/>
  <c r="CY73" i="22" s="1"/>
  <c r="CZ6" i="22"/>
  <c r="CY57" i="22"/>
  <c r="CY95" i="22" s="1"/>
  <c r="DH72" i="22"/>
  <c r="CX10" i="22"/>
  <c r="CW11" i="22"/>
  <c r="DB32" i="22"/>
  <c r="DA27" i="22"/>
  <c r="DB25" i="22"/>
  <c r="DK36" i="22"/>
  <c r="CY58" i="22" l="1"/>
  <c r="CY96" i="22" s="1"/>
  <c r="CZ71" i="22"/>
  <c r="CZ73" i="22" s="1"/>
  <c r="CZ57" i="22"/>
  <c r="CZ95" i="22" s="1"/>
  <c r="DA6" i="22"/>
  <c r="DI72" i="22"/>
  <c r="DB27" i="22"/>
  <c r="DC25" i="22"/>
  <c r="DC32" i="22"/>
  <c r="CX11" i="22"/>
  <c r="CY10" i="22"/>
  <c r="DL36" i="22"/>
  <c r="CZ58" i="22" l="1"/>
  <c r="CZ96" i="22" s="1"/>
  <c r="DA71" i="22"/>
  <c r="DA73" i="22" s="1"/>
  <c r="DA57" i="22"/>
  <c r="DA95" i="22" s="1"/>
  <c r="DB6" i="22"/>
  <c r="DJ72" i="22"/>
  <c r="DD32" i="22"/>
  <c r="CY11" i="22"/>
  <c r="CZ10" i="22"/>
  <c r="DD25" i="22"/>
  <c r="DC27" i="22"/>
  <c r="DM36" i="22"/>
  <c r="DA58" i="22" l="1"/>
  <c r="DA96" i="22" s="1"/>
  <c r="DB71" i="22"/>
  <c r="DB73" i="22" s="1"/>
  <c r="DC6" i="22"/>
  <c r="DB57" i="22"/>
  <c r="DB95" i="22" s="1"/>
  <c r="DK72" i="22"/>
  <c r="DE25" i="22"/>
  <c r="DD27" i="22"/>
  <c r="CZ11" i="22"/>
  <c r="DA10" i="22"/>
  <c r="DE32" i="22"/>
  <c r="DN36" i="22"/>
  <c r="DB58" i="22" l="1"/>
  <c r="DB96" i="22" s="1"/>
  <c r="DC71" i="22"/>
  <c r="DC73" i="22" s="1"/>
  <c r="DD6" i="22"/>
  <c r="DC57" i="22"/>
  <c r="DC95" i="22" s="1"/>
  <c r="DL72" i="22"/>
  <c r="DB10" i="22"/>
  <c r="DA11" i="22"/>
  <c r="DF32" i="22"/>
  <c r="DF25" i="22"/>
  <c r="DE27" i="22"/>
  <c r="DO36" i="22"/>
  <c r="DC58" i="22" l="1"/>
  <c r="DC96" i="22" s="1"/>
  <c r="DD71" i="22"/>
  <c r="DD73" i="22" s="1"/>
  <c r="DD57" i="22"/>
  <c r="DD95" i="22" s="1"/>
  <c r="DE6" i="22"/>
  <c r="DM72" i="22"/>
  <c r="DG32" i="22"/>
  <c r="DC10" i="22"/>
  <c r="DB11" i="22"/>
  <c r="DF27" i="22"/>
  <c r="DG25" i="22"/>
  <c r="DP36" i="22"/>
  <c r="DD58" i="22" l="1"/>
  <c r="DD96" i="22" s="1"/>
  <c r="DE71" i="22"/>
  <c r="DE73" i="22" s="1"/>
  <c r="DF6" i="22"/>
  <c r="DE57" i="22"/>
  <c r="DE95" i="22" s="1"/>
  <c r="DN72" i="22"/>
  <c r="DH25" i="22"/>
  <c r="DG27" i="22"/>
  <c r="DD10" i="22"/>
  <c r="DC11" i="22"/>
  <c r="DH32" i="22"/>
  <c r="DQ36" i="22"/>
  <c r="DE58" i="22" l="1"/>
  <c r="DE96" i="22" s="1"/>
  <c r="DF71" i="22"/>
  <c r="DF73" i="22" s="1"/>
  <c r="DG6" i="22"/>
  <c r="DF57" i="22"/>
  <c r="DF95" i="22" s="1"/>
  <c r="DO72" i="22"/>
  <c r="DE10" i="22"/>
  <c r="DD11" i="22"/>
  <c r="DH27" i="22"/>
  <c r="DI25" i="22"/>
  <c r="DI32" i="22"/>
  <c r="DR36" i="22"/>
  <c r="DF58" i="22" l="1"/>
  <c r="DF96" i="22" s="1"/>
  <c r="DG71" i="22"/>
  <c r="DG73" i="22" s="1"/>
  <c r="DH6" i="22"/>
  <c r="DG57" i="22"/>
  <c r="DG95" i="22" s="1"/>
  <c r="DP72" i="22"/>
  <c r="DJ32" i="22"/>
  <c r="DI27" i="22"/>
  <c r="DJ25" i="22"/>
  <c r="DE11" i="22"/>
  <c r="DF10" i="22"/>
  <c r="DS36" i="22"/>
  <c r="DG58" i="22" l="1"/>
  <c r="DG96" i="22" s="1"/>
  <c r="DH71" i="22"/>
  <c r="DH73" i="22" s="1"/>
  <c r="DI6" i="22"/>
  <c r="DH57" i="22"/>
  <c r="DH95" i="22" s="1"/>
  <c r="DQ72" i="22"/>
  <c r="DF11" i="22"/>
  <c r="DG10" i="22"/>
  <c r="DK32" i="22"/>
  <c r="DJ27" i="22"/>
  <c r="DK25" i="22"/>
  <c r="DT36" i="22"/>
  <c r="DH58" i="22" l="1"/>
  <c r="DH96" i="22" s="1"/>
  <c r="DI71" i="22"/>
  <c r="DI73" i="22" s="1"/>
  <c r="DI57" i="22"/>
  <c r="DI95" i="22" s="1"/>
  <c r="DJ6" i="22"/>
  <c r="DR72" i="22"/>
  <c r="DL32" i="22"/>
  <c r="DL25" i="22"/>
  <c r="DK27" i="22"/>
  <c r="DH10" i="22"/>
  <c r="DG11" i="22"/>
  <c r="DU36" i="22"/>
  <c r="DI58" i="22" l="1"/>
  <c r="DI96" i="22" s="1"/>
  <c r="DJ71" i="22"/>
  <c r="DJ73" i="22" s="1"/>
  <c r="DJ57" i="22"/>
  <c r="DJ95" i="22" s="1"/>
  <c r="DK6" i="22"/>
  <c r="DS72" i="22"/>
  <c r="DI10" i="22"/>
  <c r="DH11" i="22"/>
  <c r="DM25" i="22"/>
  <c r="DL27" i="22"/>
  <c r="DM32" i="22"/>
  <c r="DV36" i="22"/>
  <c r="DJ58" i="22" l="1"/>
  <c r="DJ96" i="22" s="1"/>
  <c r="DK71" i="22"/>
  <c r="DK73" i="22" s="1"/>
  <c r="DK57" i="22"/>
  <c r="DK95" i="22" s="1"/>
  <c r="DL6" i="22"/>
  <c r="DT72" i="22"/>
  <c r="DN25" i="22"/>
  <c r="DM27" i="22"/>
  <c r="DN32" i="22"/>
  <c r="DJ10" i="22"/>
  <c r="DI11" i="22"/>
  <c r="DW36" i="22"/>
  <c r="DK58" i="22" l="1"/>
  <c r="DK96" i="22" s="1"/>
  <c r="DL71" i="22"/>
  <c r="DL73" i="22" s="1"/>
  <c r="DL57" i="22"/>
  <c r="DL95" i="22" s="1"/>
  <c r="DM6" i="22"/>
  <c r="DU72" i="22"/>
  <c r="DO32" i="22"/>
  <c r="DO25" i="22"/>
  <c r="DN27" i="22"/>
  <c r="DK10" i="22"/>
  <c r="DJ11" i="22"/>
  <c r="DX36" i="22"/>
  <c r="DL58" i="22" l="1"/>
  <c r="DL96" i="22" s="1"/>
  <c r="DM71" i="22"/>
  <c r="DM73" i="22" s="1"/>
  <c r="DM57" i="22"/>
  <c r="DM95" i="22" s="1"/>
  <c r="DN6" i="22"/>
  <c r="DV72" i="22"/>
  <c r="DO27" i="22"/>
  <c r="DP25" i="22"/>
  <c r="DK11" i="22"/>
  <c r="DL10" i="22"/>
  <c r="DP32" i="22"/>
  <c r="DY36" i="22"/>
  <c r="DM58" i="22" l="1"/>
  <c r="DM96" i="22" s="1"/>
  <c r="DN71" i="22"/>
  <c r="DN73" i="22" s="1"/>
  <c r="DO6" i="22"/>
  <c r="DN57" i="22"/>
  <c r="DN95" i="22" s="1"/>
  <c r="DW72" i="22"/>
  <c r="DP27" i="22"/>
  <c r="DQ25" i="22"/>
  <c r="DQ32" i="22"/>
  <c r="DM10" i="22"/>
  <c r="DL11" i="22"/>
  <c r="DZ36" i="22"/>
  <c r="DN58" i="22" l="1"/>
  <c r="DN96" i="22" s="1"/>
  <c r="DO71" i="22"/>
  <c r="DO73" i="22" s="1"/>
  <c r="DP6" i="22"/>
  <c r="DO57" i="22"/>
  <c r="DO95" i="22" s="1"/>
  <c r="DX72" i="22"/>
  <c r="DN10" i="22"/>
  <c r="DM11" i="22"/>
  <c r="DR32" i="22"/>
  <c r="DQ27" i="22"/>
  <c r="DR25" i="22"/>
  <c r="EA36" i="22"/>
  <c r="DO58" i="22" l="1"/>
  <c r="DO96" i="22" s="1"/>
  <c r="DP71" i="22"/>
  <c r="DP73" i="22" s="1"/>
  <c r="DQ6" i="22"/>
  <c r="DP57" i="22"/>
  <c r="DP95" i="22" s="1"/>
  <c r="DY72" i="22"/>
  <c r="DR27" i="22"/>
  <c r="DS25" i="22"/>
  <c r="DS32" i="22"/>
  <c r="DN11" i="22"/>
  <c r="DO10" i="22"/>
  <c r="EB36" i="22"/>
  <c r="DP58" i="22" l="1"/>
  <c r="DP96" i="22" s="1"/>
  <c r="DQ71" i="22"/>
  <c r="DQ73" i="22" s="1"/>
  <c r="DR6" i="22"/>
  <c r="DQ57" i="22"/>
  <c r="DQ95" i="22" s="1"/>
  <c r="DZ72" i="22"/>
  <c r="DT32" i="22"/>
  <c r="DP10" i="22"/>
  <c r="DO11" i="22"/>
  <c r="DS27" i="22"/>
  <c r="DT25" i="22"/>
  <c r="EC36" i="22"/>
  <c r="DQ58" i="22" l="1"/>
  <c r="DQ96" i="22" s="1"/>
  <c r="DR71" i="22"/>
  <c r="DR73" i="22" s="1"/>
  <c r="DS6" i="22"/>
  <c r="DR57" i="22"/>
  <c r="DR95" i="22" s="1"/>
  <c r="EA72" i="22"/>
  <c r="DT27" i="22"/>
  <c r="DU25" i="22"/>
  <c r="DQ10" i="22"/>
  <c r="DP11" i="22"/>
  <c r="DU32" i="22"/>
  <c r="ED36" i="22"/>
  <c r="DR58" i="22" l="1"/>
  <c r="DR96" i="22" s="1"/>
  <c r="DS71" i="22"/>
  <c r="DS73" i="22" s="1"/>
  <c r="DS57" i="22"/>
  <c r="DS95" i="22" s="1"/>
  <c r="DT6" i="22"/>
  <c r="EB72" i="22"/>
  <c r="DU27" i="22"/>
  <c r="DV25" i="22"/>
  <c r="DQ11" i="22"/>
  <c r="DR10" i="22"/>
  <c r="DV32" i="22"/>
  <c r="EE36" i="22"/>
  <c r="DS58" i="22" l="1"/>
  <c r="DS96" i="22" s="1"/>
  <c r="DT71" i="22"/>
  <c r="DT73" i="22" s="1"/>
  <c r="DU6" i="22"/>
  <c r="DT57" i="22"/>
  <c r="DT95" i="22" s="1"/>
  <c r="EC72" i="22"/>
  <c r="DW32" i="22"/>
  <c r="DR11" i="22"/>
  <c r="DS10" i="22"/>
  <c r="DV27" i="22"/>
  <c r="DW25" i="22"/>
  <c r="EF36" i="22"/>
  <c r="DT58" i="22" l="1"/>
  <c r="DT96" i="22" s="1"/>
  <c r="DU71" i="22"/>
  <c r="DU73" i="22" s="1"/>
  <c r="DU57" i="22"/>
  <c r="DU95" i="22" s="1"/>
  <c r="DV6" i="22"/>
  <c r="ED72" i="22"/>
  <c r="DX32" i="22"/>
  <c r="DT10" i="22"/>
  <c r="DS11" i="22"/>
  <c r="DX25" i="22"/>
  <c r="DW27" i="22"/>
  <c r="EG36" i="22"/>
  <c r="DU58" i="22" l="1"/>
  <c r="DU96" i="22" s="1"/>
  <c r="DV71" i="22"/>
  <c r="DV73" i="22" s="1"/>
  <c r="DW6" i="22"/>
  <c r="DV57" i="22"/>
  <c r="DV95" i="22" s="1"/>
  <c r="EE72" i="22"/>
  <c r="DX27" i="22"/>
  <c r="DY25" i="22"/>
  <c r="DU10" i="22"/>
  <c r="DT11" i="22"/>
  <c r="DY32" i="22"/>
  <c r="EH36" i="22"/>
  <c r="DV58" i="22" l="1"/>
  <c r="DV96" i="22" s="1"/>
  <c r="DW71" i="22"/>
  <c r="DW73" i="22" s="1"/>
  <c r="DX6" i="22"/>
  <c r="DW57" i="22"/>
  <c r="DW95" i="22" s="1"/>
  <c r="EF72" i="22"/>
  <c r="DY27" i="22"/>
  <c r="DZ25" i="22"/>
  <c r="DU11" i="22"/>
  <c r="DV10" i="22"/>
  <c r="DZ32" i="22"/>
  <c r="EI36" i="22"/>
  <c r="DW58" i="22" l="1"/>
  <c r="DW96" i="22" s="1"/>
  <c r="DX71" i="22"/>
  <c r="DX73" i="22" s="1"/>
  <c r="DX57" i="22"/>
  <c r="DX95" i="22" s="1"/>
  <c r="DY6" i="22"/>
  <c r="EG72" i="22"/>
  <c r="EA25" i="22"/>
  <c r="DZ27" i="22"/>
  <c r="EA32" i="22"/>
  <c r="DV11" i="22"/>
  <c r="DW10" i="22"/>
  <c r="EJ36" i="22"/>
  <c r="DX58" i="22" l="1"/>
  <c r="DX96" i="22" s="1"/>
  <c r="DY71" i="22"/>
  <c r="DY73" i="22" s="1"/>
  <c r="DY57" i="22"/>
  <c r="DY95" i="22" s="1"/>
  <c r="DZ6" i="22"/>
  <c r="EH72" i="22"/>
  <c r="EB25" i="22"/>
  <c r="EA27" i="22"/>
  <c r="EB32" i="22"/>
  <c r="DX10" i="22"/>
  <c r="DW11" i="22"/>
  <c r="EK36" i="22"/>
  <c r="DY58" i="22" l="1"/>
  <c r="DY96" i="22" s="1"/>
  <c r="DZ71" i="22"/>
  <c r="DZ73" i="22" s="1"/>
  <c r="DZ57" i="22"/>
  <c r="DZ95" i="22" s="1"/>
  <c r="EA6" i="22"/>
  <c r="EO36" i="22"/>
  <c r="EP36" i="22"/>
  <c r="EQ36" i="22"/>
  <c r="ER36" i="22"/>
  <c r="ES36" i="22"/>
  <c r="ET36" i="22"/>
  <c r="EU36" i="22"/>
  <c r="EV36" i="22"/>
  <c r="EW36" i="22"/>
  <c r="EX36" i="22"/>
  <c r="EI72" i="22"/>
  <c r="DY10" i="22"/>
  <c r="DX11" i="22"/>
  <c r="EC32" i="22"/>
  <c r="EC25" i="22"/>
  <c r="EB27" i="22"/>
  <c r="DZ58" i="22" l="1"/>
  <c r="DZ96" i="22" s="1"/>
  <c r="EA71" i="22"/>
  <c r="EA73" i="22" s="1"/>
  <c r="EB6" i="22"/>
  <c r="EA57" i="22"/>
  <c r="EA95" i="22" s="1"/>
  <c r="EJ72" i="22"/>
  <c r="ED25" i="22"/>
  <c r="EC27" i="22"/>
  <c r="ED32" i="22"/>
  <c r="DZ10" i="22"/>
  <c r="DY11" i="22"/>
  <c r="EA58" i="22" l="1"/>
  <c r="EA96" i="22" s="1"/>
  <c r="EB71" i="22"/>
  <c r="EB73" i="22" s="1"/>
  <c r="EB57" i="22"/>
  <c r="EB95" i="22" s="1"/>
  <c r="EC6" i="22"/>
  <c r="EK72" i="22"/>
  <c r="EE32" i="22"/>
  <c r="EA10" i="22"/>
  <c r="DZ11" i="22"/>
  <c r="EE25" i="22"/>
  <c r="ED27" i="22"/>
  <c r="EB58" i="22" l="1"/>
  <c r="EB96" i="22" s="1"/>
  <c r="EC71" i="22"/>
  <c r="EC73" i="22" s="1"/>
  <c r="ED6" i="22"/>
  <c r="EC57" i="22"/>
  <c r="EC95" i="22" s="1"/>
  <c r="EE27" i="22"/>
  <c r="EF25" i="22"/>
  <c r="EA11" i="22"/>
  <c r="EB10" i="22"/>
  <c r="EF32" i="22"/>
  <c r="EC58" i="22" l="1"/>
  <c r="EC96" i="22" s="1"/>
  <c r="ED71" i="22"/>
  <c r="ED73" i="22" s="1"/>
  <c r="EE6" i="22"/>
  <c r="ED57" i="22"/>
  <c r="ED95" i="22" s="1"/>
  <c r="EC10" i="22"/>
  <c r="EB11" i="22"/>
  <c r="EG25" i="22"/>
  <c r="EF27" i="22"/>
  <c r="EG32" i="22"/>
  <c r="ED58" i="22" l="1"/>
  <c r="ED96" i="22" s="1"/>
  <c r="EE71" i="22"/>
  <c r="EE73" i="22" s="1"/>
  <c r="EF6" i="22"/>
  <c r="EE57" i="22"/>
  <c r="EE95" i="22" s="1"/>
  <c r="EG27" i="22"/>
  <c r="EH25" i="22"/>
  <c r="ED10" i="22"/>
  <c r="EC11" i="22"/>
  <c r="EH32" i="22"/>
  <c r="EE58" i="22" l="1"/>
  <c r="EE96" i="22" s="1"/>
  <c r="EF71" i="22"/>
  <c r="EF73" i="22" s="1"/>
  <c r="EG6" i="22"/>
  <c r="EF57" i="22"/>
  <c r="EF95" i="22" s="1"/>
  <c r="EI32" i="22"/>
  <c r="ED11" i="22"/>
  <c r="EE10" i="22"/>
  <c r="EI25" i="22"/>
  <c r="EH27" i="22"/>
  <c r="EF58" i="22" l="1"/>
  <c r="EF96" i="22" s="1"/>
  <c r="EG71" i="22"/>
  <c r="EG73" i="22" s="1"/>
  <c r="EG57" i="22"/>
  <c r="EG95" i="22" s="1"/>
  <c r="EH6" i="22"/>
  <c r="EE11" i="22"/>
  <c r="EF10" i="22"/>
  <c r="EJ25" i="22"/>
  <c r="EI27" i="22"/>
  <c r="EJ32" i="22"/>
  <c r="EG58" i="22" l="1"/>
  <c r="EG96" i="22" s="1"/>
  <c r="EH71" i="22"/>
  <c r="EH73" i="22" s="1"/>
  <c r="EI6" i="22"/>
  <c r="EH57" i="22"/>
  <c r="EH95" i="22" s="1"/>
  <c r="EK25" i="22"/>
  <c r="EJ27" i="22"/>
  <c r="EG10" i="22"/>
  <c r="EF11" i="22"/>
  <c r="EK32" i="22"/>
  <c r="EH58" i="22" l="1"/>
  <c r="EH96" i="22" s="1"/>
  <c r="EN32" i="22"/>
  <c r="EO32" i="22"/>
  <c r="EP32" i="22"/>
  <c r="EQ32" i="22"/>
  <c r="ER32" i="22"/>
  <c r="ES32" i="22"/>
  <c r="ET32" i="22"/>
  <c r="EU32" i="22"/>
  <c r="EV32" i="22"/>
  <c r="EW32" i="22"/>
  <c r="EX32" i="22"/>
  <c r="EI71" i="22"/>
  <c r="EI73" i="22" s="1"/>
  <c r="EI57" i="22"/>
  <c r="EI95" i="22" s="1"/>
  <c r="EJ6" i="22"/>
  <c r="EK27" i="22"/>
  <c r="EN25" i="22"/>
  <c r="EN27" i="22" s="1"/>
  <c r="EO25" i="22"/>
  <c r="EO27" i="22" s="1"/>
  <c r="EP25" i="22"/>
  <c r="EP27" i="22" s="1"/>
  <c r="EQ25" i="22"/>
  <c r="EQ27" i="22" s="1"/>
  <c r="ER25" i="22"/>
  <c r="ER27" i="22" s="1"/>
  <c r="ES25" i="22"/>
  <c r="ES27" i="22" s="1"/>
  <c r="ET25" i="22"/>
  <c r="ET27" i="22" s="1"/>
  <c r="EU25" i="22"/>
  <c r="EU27" i="22" s="1"/>
  <c r="EV25" i="22"/>
  <c r="EV27" i="22" s="1"/>
  <c r="EW25" i="22"/>
  <c r="EW27" i="22" s="1"/>
  <c r="EX25" i="22"/>
  <c r="EX27" i="22" s="1"/>
  <c r="EH10" i="22"/>
  <c r="EG11" i="22"/>
  <c r="EI58" i="22" l="1"/>
  <c r="EI96" i="22" s="1"/>
  <c r="EJ71" i="22"/>
  <c r="EJ73" i="22" s="1"/>
  <c r="EJ57" i="22"/>
  <c r="EJ95" i="22" s="1"/>
  <c r="EK6" i="22"/>
  <c r="EI10" i="22"/>
  <c r="EH11" i="22"/>
  <c r="EM9" i="22" l="1"/>
  <c r="EM8" i="22"/>
  <c r="EM11" i="22"/>
  <c r="EM10" i="22"/>
  <c r="EM95" i="22"/>
  <c r="EN95" i="22"/>
  <c r="EN10" i="22"/>
  <c r="EN11" i="22"/>
  <c r="EO95" i="22"/>
  <c r="EO11" i="22"/>
  <c r="EO10" i="22"/>
  <c r="EP95" i="22"/>
  <c r="EP10" i="22"/>
  <c r="EP11" i="22"/>
  <c r="EQ95" i="22"/>
  <c r="EQ10" i="22"/>
  <c r="EQ11" i="22"/>
  <c r="ER95" i="22"/>
  <c r="ER10" i="22"/>
  <c r="ER11" i="22"/>
  <c r="ES95" i="22"/>
  <c r="ES10" i="22"/>
  <c r="ES11" i="22"/>
  <c r="ET95" i="22"/>
  <c r="ET10" i="22"/>
  <c r="ET11" i="22"/>
  <c r="EU95" i="22"/>
  <c r="EU11" i="22"/>
  <c r="EU10" i="22"/>
  <c r="EV10" i="22"/>
  <c r="EV95" i="22"/>
  <c r="EV11" i="22"/>
  <c r="EW95" i="22"/>
  <c r="EW10" i="22"/>
  <c r="EW11" i="22"/>
  <c r="EM97" i="22"/>
  <c r="EN96" i="22"/>
  <c r="EO96" i="22"/>
  <c r="EP96" i="22"/>
  <c r="EM96" i="22"/>
  <c r="EQ96" i="22"/>
  <c r="ET96" i="22"/>
  <c r="ER96" i="22"/>
  <c r="ES96" i="22"/>
  <c r="EU96" i="22"/>
  <c r="EV96" i="22"/>
  <c r="EW96" i="22"/>
  <c r="EJ58" i="22"/>
  <c r="EJ96" i="22" s="1"/>
  <c r="EK71" i="22"/>
  <c r="EK73" i="22" s="1"/>
  <c r="EK57" i="22"/>
  <c r="EK95" i="22" s="1"/>
  <c r="EJ10" i="22"/>
  <c r="EI11" i="22"/>
  <c r="EX95" i="22" l="1"/>
  <c r="EK58" i="22"/>
  <c r="EN57" i="22"/>
  <c r="EO57" i="22"/>
  <c r="EP57" i="22"/>
  <c r="EQ57" i="22"/>
  <c r="ER57" i="22"/>
  <c r="ES57" i="22"/>
  <c r="ET57" i="22"/>
  <c r="EU57" i="22"/>
  <c r="EV57" i="22"/>
  <c r="EW57" i="22"/>
  <c r="EX57" i="22"/>
  <c r="EK10" i="22"/>
  <c r="EX10" i="22" s="1"/>
  <c r="EJ11" i="22"/>
  <c r="EK96" i="22" l="1"/>
  <c r="EN58" i="22"/>
  <c r="EO58" i="22"/>
  <c r="EP58" i="22"/>
  <c r="EQ58" i="22"/>
  <c r="ER58" i="22"/>
  <c r="ES58" i="22"/>
  <c r="ET58" i="22"/>
  <c r="EU58" i="22"/>
  <c r="EV58" i="22"/>
  <c r="EW58" i="22"/>
  <c r="EX58" i="22"/>
  <c r="EK11" i="22"/>
  <c r="EX11" i="22" s="1"/>
  <c r="EX96" i="22" l="1"/>
  <c r="J22" i="21"/>
  <c r="J39" i="48" s="1"/>
  <c r="J19" i="21"/>
  <c r="E21" i="21"/>
  <c r="E22" i="21" s="1"/>
  <c r="D67" i="21"/>
  <c r="D68" i="21"/>
  <c r="J9" i="22" s="1"/>
  <c r="E25" i="21"/>
  <c r="E26" i="21" s="1"/>
  <c r="E27" i="21" s="1"/>
  <c r="D20" i="21"/>
  <c r="J10" i="21"/>
  <c r="I10" i="21" s="1"/>
  <c r="J13" i="21"/>
  <c r="J21" i="21" l="1"/>
  <c r="J44" i="48" s="1"/>
  <c r="Q5" i="21"/>
  <c r="Q6" i="21" s="1"/>
  <c r="Q7" i="21" s="1"/>
  <c r="Q8" i="21" s="1"/>
  <c r="Q9" i="21" s="1"/>
  <c r="Q10" i="21" s="1"/>
  <c r="Q11" i="21" s="1"/>
  <c r="Q12" i="21" s="1"/>
  <c r="Q13" i="21" s="1"/>
  <c r="Q14" i="21" s="1"/>
  <c r="Q15" i="21" s="1"/>
  <c r="Q16" i="21" s="1"/>
  <c r="Q17" i="21" s="1"/>
  <c r="Q18" i="21" s="1"/>
  <c r="Q19" i="21" s="1"/>
  <c r="Q20" i="21" s="1"/>
  <c r="Q21" i="21" s="1"/>
  <c r="Q22" i="21" s="1"/>
  <c r="Q23" i="21" s="1"/>
  <c r="Q24" i="21" s="1"/>
  <c r="Q25" i="21" s="1"/>
  <c r="Q26" i="21" s="1"/>
  <c r="Q27" i="21" s="1"/>
  <c r="Q28" i="21" s="1"/>
  <c r="Q29" i="21" s="1"/>
  <c r="Q30" i="21" s="1"/>
  <c r="Q31" i="21" s="1"/>
  <c r="Q32" i="21" s="1"/>
  <c r="Q33" i="21" s="1"/>
  <c r="Q34" i="21" s="1"/>
  <c r="Q35" i="21" s="1"/>
  <c r="Q36" i="21" s="1"/>
  <c r="Q37" i="21" s="1"/>
  <c r="Q38" i="21" s="1"/>
  <c r="Q39" i="21" s="1"/>
  <c r="Q40" i="21" s="1"/>
  <c r="Q41" i="21" s="1"/>
  <c r="Q42" i="21" s="1"/>
  <c r="Q43" i="21" s="1"/>
  <c r="Q44" i="21" s="1"/>
  <c r="Q45" i="21" s="1"/>
  <c r="Q46" i="21" s="1"/>
  <c r="Q47" i="21" s="1"/>
  <c r="Q48" i="21" s="1"/>
  <c r="Q49" i="21" s="1"/>
  <c r="Q50" i="21" s="1"/>
  <c r="Q51" i="21" s="1"/>
  <c r="Q52" i="21" s="1"/>
  <c r="Q53" i="21" s="1"/>
  <c r="Q54" i="21" s="1"/>
  <c r="Q55" i="21" s="1"/>
  <c r="Q56" i="21" s="1"/>
  <c r="Q57" i="21" s="1"/>
  <c r="Q58" i="21" s="1"/>
  <c r="Q59" i="21" s="1"/>
  <c r="Q60" i="21" s="1"/>
  <c r="Q61" i="21" s="1"/>
  <c r="Q62" i="21" s="1"/>
  <c r="Q63" i="21" s="1"/>
  <c r="Q64" i="21" s="1"/>
  <c r="Q65" i="21" s="1"/>
  <c r="Q66" i="21" s="1"/>
  <c r="Q67" i="21" s="1"/>
  <c r="Q68" i="21" s="1"/>
  <c r="Q69" i="21" s="1"/>
  <c r="Q70" i="21" s="1"/>
  <c r="Q71" i="21" s="1"/>
  <c r="Q72" i="21" s="1"/>
  <c r="Q73" i="21" s="1"/>
  <c r="Q74" i="21" s="1"/>
  <c r="Q75" i="21" s="1"/>
  <c r="Q76" i="21" s="1"/>
  <c r="Q77" i="21" s="1"/>
  <c r="Q78" i="21" s="1"/>
  <c r="Q79" i="21" s="1"/>
  <c r="Q80" i="21" s="1"/>
  <c r="Q81" i="21" s="1"/>
  <c r="Q82" i="21" s="1"/>
  <c r="Q83" i="21" s="1"/>
  <c r="Q84" i="21" s="1"/>
  <c r="Q85" i="21" s="1"/>
  <c r="Q86" i="21" s="1"/>
  <c r="Q87" i="21" s="1"/>
  <c r="Q88" i="21" s="1"/>
  <c r="Q89" i="21" s="1"/>
  <c r="Q90" i="21" s="1"/>
  <c r="Q91" i="21" s="1"/>
  <c r="Q92" i="21" s="1"/>
  <c r="Q93" i="21" s="1"/>
  <c r="Q94" i="21" s="1"/>
  <c r="Q95" i="21" s="1"/>
  <c r="Q96" i="21" s="1"/>
  <c r="Q97" i="21" s="1"/>
  <c r="Q98" i="21" s="1"/>
  <c r="Q99" i="21" s="1"/>
  <c r="Q100" i="21" s="1"/>
  <c r="Q101" i="21" s="1"/>
  <c r="Q102" i="21" s="1"/>
  <c r="Q103" i="21" s="1"/>
  <c r="Q104" i="21" s="1"/>
  <c r="Q105" i="21" s="1"/>
  <c r="Q106" i="21" s="1"/>
  <c r="Q107" i="21" s="1"/>
  <c r="Q108" i="21" s="1"/>
  <c r="Q109" i="21" s="1"/>
  <c r="Q110" i="21" s="1"/>
  <c r="Q111" i="21" s="1"/>
  <c r="Q112" i="21" s="1"/>
  <c r="Q113" i="21" s="1"/>
  <c r="Q114" i="21" s="1"/>
  <c r="Q115" i="21" s="1"/>
  <c r="Q116" i="21" s="1"/>
  <c r="Q117" i="21" s="1"/>
  <c r="Q118" i="21" s="1"/>
  <c r="Q119" i="21" s="1"/>
  <c r="Q120" i="21" s="1"/>
  <c r="Q121" i="21" s="1"/>
  <c r="Q122" i="21" s="1"/>
  <c r="Q123" i="21" s="1"/>
  <c r="Q124" i="21" s="1"/>
  <c r="Q125" i="21" s="1"/>
  <c r="Q126" i="21" s="1"/>
  <c r="Q127" i="21" s="1"/>
  <c r="Q128" i="21" s="1"/>
  <c r="Q129" i="21" s="1"/>
  <c r="Q130" i="21" s="1"/>
  <c r="Q131" i="21" s="1"/>
  <c r="Q132" i="21" s="1"/>
  <c r="Q133" i="21" s="1"/>
  <c r="Q134" i="21" s="1"/>
  <c r="Q135" i="21" s="1"/>
  <c r="Q136" i="21" s="1"/>
  <c r="Q137" i="21" s="1"/>
  <c r="Q138" i="21" s="1"/>
  <c r="Q139" i="21" s="1"/>
  <c r="Q140" i="21" s="1"/>
  <c r="Q141" i="21" s="1"/>
  <c r="Q142" i="21" s="1"/>
  <c r="Q143" i="21" s="1"/>
  <c r="Q144" i="21" s="1"/>
  <c r="Q145" i="21" s="1"/>
  <c r="Q146" i="21" s="1"/>
  <c r="Q147" i="21" s="1"/>
  <c r="Q148" i="21" s="1"/>
  <c r="Q149" i="21" s="1"/>
  <c r="Q150" i="21" s="1"/>
  <c r="Q151" i="21" s="1"/>
  <c r="Q152" i="21" s="1"/>
  <c r="Q153" i="21" s="1"/>
  <c r="Q154" i="21" s="1"/>
  <c r="Q155" i="21" s="1"/>
  <c r="Q156" i="21" s="1"/>
  <c r="Q157" i="21" s="1"/>
  <c r="Q158" i="21" s="1"/>
  <c r="Q159" i="21" s="1"/>
  <c r="Q160" i="21" s="1"/>
  <c r="Q161" i="21" s="1"/>
  <c r="Q162" i="21" s="1"/>
  <c r="Q163" i="21" s="1"/>
  <c r="Q164" i="21" s="1"/>
  <c r="Q165" i="21" s="1"/>
  <c r="Q166" i="21" s="1"/>
  <c r="Q167" i="21" s="1"/>
  <c r="Q168" i="21" s="1"/>
  <c r="Q169" i="21" s="1"/>
  <c r="Q170" i="21" s="1"/>
  <c r="Q171" i="21" s="1"/>
  <c r="Q172" i="21" s="1"/>
  <c r="Q173" i="21" s="1"/>
  <c r="Q174" i="21" s="1"/>
  <c r="Q175" i="21" s="1"/>
  <c r="Q176" i="21" s="1"/>
  <c r="Q177" i="21" s="1"/>
  <c r="Q178" i="21" s="1"/>
  <c r="Q179" i="21" s="1"/>
  <c r="Q180" i="21" s="1"/>
  <c r="Q181" i="21" s="1"/>
  <c r="Q182" i="21" s="1"/>
  <c r="Q183" i="21" s="1"/>
  <c r="Q184" i="21" s="1"/>
  <c r="Q185" i="21" s="1"/>
  <c r="Q186" i="21" s="1"/>
  <c r="Q187" i="21" s="1"/>
  <c r="Q188" i="21" s="1"/>
  <c r="Q189" i="21" s="1"/>
  <c r="Q190" i="21" s="1"/>
  <c r="Q191" i="21" s="1"/>
  <c r="Q192" i="21" s="1"/>
  <c r="Q193" i="21" s="1"/>
  <c r="Q194" i="21" s="1"/>
  <c r="Q195" i="21" s="1"/>
  <c r="Q196" i="21" s="1"/>
  <c r="Q197" i="21" s="1"/>
  <c r="Q198" i="21" s="1"/>
  <c r="Q199" i="21" s="1"/>
  <c r="Q200" i="21" s="1"/>
  <c r="Q201" i="21" s="1"/>
  <c r="Q202" i="21" s="1"/>
  <c r="Q203" i="21" s="1"/>
  <c r="Q204" i="21" s="1"/>
  <c r="Q205" i="21" s="1"/>
  <c r="Q206" i="21" s="1"/>
  <c r="Q207" i="21" s="1"/>
  <c r="Q208" i="21" s="1"/>
  <c r="Q209" i="21" s="1"/>
  <c r="Q210" i="21" s="1"/>
  <c r="Q211" i="21" s="1"/>
  <c r="Q212" i="21" s="1"/>
  <c r="Q213" i="21" s="1"/>
  <c r="Q214" i="21" s="1"/>
  <c r="Q215" i="21" s="1"/>
  <c r="Q216" i="21" s="1"/>
  <c r="Q217" i="21" s="1"/>
  <c r="Q218" i="21" s="1"/>
  <c r="Q219" i="21" s="1"/>
  <c r="Q220" i="21" s="1"/>
  <c r="Q221" i="21" s="1"/>
  <c r="Q222" i="21" s="1"/>
  <c r="Q223" i="21" s="1"/>
  <c r="Q224" i="21" s="1"/>
  <c r="Q225" i="21" s="1"/>
  <c r="Q226" i="21" s="1"/>
  <c r="Q227" i="21" s="1"/>
  <c r="Q228" i="21" s="1"/>
  <c r="Q229" i="21" s="1"/>
  <c r="Q230" i="21" s="1"/>
  <c r="Q231" i="21" s="1"/>
  <c r="Q232" i="21" s="1"/>
  <c r="Q233" i="21" s="1"/>
  <c r="Q234" i="21" s="1"/>
  <c r="Q235" i="21" s="1"/>
  <c r="Q236" i="21" s="1"/>
  <c r="Q237" i="21" s="1"/>
  <c r="Q238" i="21" s="1"/>
  <c r="Q239" i="21" s="1"/>
  <c r="Q240" i="21" s="1"/>
  <c r="Q241" i="21" s="1"/>
  <c r="Q242" i="21" s="1"/>
  <c r="Q243" i="21" s="1"/>
  <c r="Q244" i="21" s="1"/>
  <c r="Q245" i="21" s="1"/>
  <c r="Q246" i="21" s="1"/>
  <c r="Q247" i="21" s="1"/>
  <c r="Q248" i="21" s="1"/>
  <c r="Q249" i="21" s="1"/>
  <c r="Q250" i="21" s="1"/>
  <c r="Q251" i="21" s="1"/>
  <c r="Q252" i="21" s="1"/>
  <c r="Q253" i="21" s="1"/>
  <c r="Q254" i="21" s="1"/>
  <c r="Q255" i="21" s="1"/>
  <c r="Q256" i="21" s="1"/>
  <c r="Q257" i="21" s="1"/>
  <c r="Q258" i="21" s="1"/>
  <c r="Q259" i="21" s="1"/>
  <c r="Q260" i="21" s="1"/>
  <c r="Q261" i="21" s="1"/>
  <c r="Q262" i="21" s="1"/>
  <c r="Q263" i="21" s="1"/>
  <c r="Q264" i="21" s="1"/>
  <c r="Q265" i="21" s="1"/>
  <c r="Q266" i="21" s="1"/>
  <c r="Q267" i="21" s="1"/>
  <c r="Q268" i="21" s="1"/>
  <c r="Q269" i="21" s="1"/>
  <c r="Q270" i="21" s="1"/>
  <c r="Q271" i="21" s="1"/>
  <c r="Q272" i="21" s="1"/>
  <c r="Q273" i="21" s="1"/>
  <c r="Q274" i="21" s="1"/>
  <c r="Q275" i="21" s="1"/>
  <c r="Q276" i="21" s="1"/>
  <c r="Q277" i="21" s="1"/>
  <c r="Q278" i="21" s="1"/>
  <c r="Q279" i="21" s="1"/>
  <c r="Q280" i="21" s="1"/>
  <c r="Q281" i="21" s="1"/>
  <c r="Q282" i="21" s="1"/>
  <c r="Q283" i="21" s="1"/>
  <c r="Q284" i="21" s="1"/>
  <c r="Q285" i="21" s="1"/>
  <c r="Q286" i="21" s="1"/>
  <c r="Q287" i="21" s="1"/>
  <c r="Q288" i="21" s="1"/>
  <c r="Q289" i="21" s="1"/>
  <c r="Q290" i="21" s="1"/>
  <c r="Q291" i="21" s="1"/>
  <c r="Q292" i="21" s="1"/>
  <c r="Q293" i="21" s="1"/>
  <c r="Q294" i="21" s="1"/>
  <c r="Q295" i="21" s="1"/>
  <c r="Q296" i="21" s="1"/>
  <c r="Q297" i="21" s="1"/>
  <c r="Q298" i="21" s="1"/>
  <c r="Q299" i="21" s="1"/>
  <c r="Q300" i="21" s="1"/>
  <c r="Q301" i="21" s="1"/>
  <c r="Q302" i="21" s="1"/>
  <c r="Q303" i="21" s="1"/>
  <c r="Q304" i="21" s="1"/>
  <c r="Q305" i="21" s="1"/>
  <c r="Q306" i="21" s="1"/>
  <c r="Q307" i="21" s="1"/>
  <c r="Q308" i="21" s="1"/>
  <c r="Q309" i="21" s="1"/>
  <c r="Q310" i="21" s="1"/>
  <c r="Q311" i="21" s="1"/>
  <c r="Q312" i="21" s="1"/>
  <c r="Q313" i="21" s="1"/>
  <c r="Q314" i="21" s="1"/>
  <c r="Q315" i="21" s="1"/>
  <c r="Q316" i="21" s="1"/>
  <c r="Q317" i="21" s="1"/>
  <c r="Q318" i="21" s="1"/>
  <c r="Q319" i="21" s="1"/>
  <c r="Q320" i="21" s="1"/>
  <c r="Q321" i="21" s="1"/>
  <c r="Q322" i="21" s="1"/>
  <c r="Q323" i="21" s="1"/>
  <c r="Q324" i="21" s="1"/>
  <c r="Q325" i="21" s="1"/>
  <c r="Q326" i="21" s="1"/>
  <c r="Q327" i="21" s="1"/>
  <c r="Q328" i="21" s="1"/>
  <c r="Q329" i="21" s="1"/>
  <c r="Q330" i="21" s="1"/>
  <c r="Q331" i="21" s="1"/>
  <c r="Q332" i="21" s="1"/>
  <c r="Q333" i="21" s="1"/>
  <c r="Q334" i="21" s="1"/>
  <c r="Q335" i="21" s="1"/>
  <c r="Q336" i="21" s="1"/>
  <c r="Q337" i="21" s="1"/>
  <c r="Q338" i="21" s="1"/>
  <c r="Q339" i="21" s="1"/>
  <c r="Q340" i="21" s="1"/>
  <c r="Q341" i="21" s="1"/>
  <c r="Q342" i="21" s="1"/>
  <c r="Q343" i="21" s="1"/>
  <c r="Q344" i="21" s="1"/>
  <c r="Q345" i="21" s="1"/>
  <c r="Q346" i="21" s="1"/>
  <c r="Q347" i="21" s="1"/>
  <c r="Q348" i="21" s="1"/>
  <c r="Q349" i="21" s="1"/>
  <c r="Q350" i="21" s="1"/>
  <c r="Q351" i="21" s="1"/>
  <c r="Q352" i="21" s="1"/>
  <c r="Q353" i="21" s="1"/>
  <c r="Q354" i="21" s="1"/>
  <c r="Q355" i="21" s="1"/>
  <c r="Q356" i="21" s="1"/>
  <c r="Q357" i="21" s="1"/>
  <c r="Q358" i="21" s="1"/>
  <c r="Q359" i="21" s="1"/>
  <c r="Q360" i="21" s="1"/>
  <c r="Q361" i="21" s="1"/>
  <c r="Q362" i="21" s="1"/>
  <c r="Q363" i="21" s="1"/>
  <c r="Q364" i="21" s="1"/>
  <c r="Q365" i="21" s="1"/>
  <c r="J25" i="48"/>
  <c r="J26" i="48" s="1"/>
  <c r="E21" i="22"/>
  <c r="F21" i="22"/>
  <c r="EI51" i="22"/>
  <c r="EA51" i="22"/>
  <c r="DS51" i="22"/>
  <c r="DK51" i="22"/>
  <c r="DC51" i="22"/>
  <c r="CU51" i="22"/>
  <c r="CM51" i="22"/>
  <c r="CE51" i="22"/>
  <c r="BW51" i="22"/>
  <c r="BO51" i="22"/>
  <c r="BG51" i="22"/>
  <c r="AY51" i="22"/>
  <c r="AQ51" i="22"/>
  <c r="AI51" i="22"/>
  <c r="AA51" i="22"/>
  <c r="S51" i="22"/>
  <c r="K51" i="22"/>
  <c r="BS51" i="22"/>
  <c r="EJ51" i="22"/>
  <c r="CN51" i="22"/>
  <c r="AJ51" i="22"/>
  <c r="EH51" i="22"/>
  <c r="DZ51" i="22"/>
  <c r="DR51" i="22"/>
  <c r="DJ51" i="22"/>
  <c r="DB51" i="22"/>
  <c r="CT51" i="22"/>
  <c r="CL51" i="22"/>
  <c r="CD51" i="22"/>
  <c r="BV51" i="22"/>
  <c r="BN51" i="22"/>
  <c r="BF51" i="22"/>
  <c r="AX51" i="22"/>
  <c r="AP51" i="22"/>
  <c r="AH51" i="22"/>
  <c r="Z51" i="22"/>
  <c r="R51" i="22"/>
  <c r="J51" i="22"/>
  <c r="DW51" i="22"/>
  <c r="CY51" i="22"/>
  <c r="CQ51" i="22"/>
  <c r="CA51" i="22"/>
  <c r="BK51" i="22"/>
  <c r="AM51" i="22"/>
  <c r="W51" i="22"/>
  <c r="CV51" i="22"/>
  <c r="BH51" i="22"/>
  <c r="L51" i="22"/>
  <c r="EG51" i="22"/>
  <c r="DY51" i="22"/>
  <c r="DQ51" i="22"/>
  <c r="DI51" i="22"/>
  <c r="DA51" i="22"/>
  <c r="CS51" i="22"/>
  <c r="CK51" i="22"/>
  <c r="CC51" i="22"/>
  <c r="BU51" i="22"/>
  <c r="BM51" i="22"/>
  <c r="BE51" i="22"/>
  <c r="AW51" i="22"/>
  <c r="AO51" i="22"/>
  <c r="AG51" i="22"/>
  <c r="Y51" i="22"/>
  <c r="Q51" i="22"/>
  <c r="F41" i="48"/>
  <c r="E41" i="48" s="1"/>
  <c r="DO51" i="22"/>
  <c r="AU51" i="22"/>
  <c r="U51" i="22"/>
  <c r="DT51" i="22"/>
  <c r="BX51" i="22"/>
  <c r="T51" i="22"/>
  <c r="EF51" i="22"/>
  <c r="DX51" i="22"/>
  <c r="DP51" i="22"/>
  <c r="DH51" i="22"/>
  <c r="CZ51" i="22"/>
  <c r="CR51" i="22"/>
  <c r="CJ51" i="22"/>
  <c r="CB51" i="22"/>
  <c r="BT51" i="22"/>
  <c r="BL51" i="22"/>
  <c r="BD51" i="22"/>
  <c r="AV51" i="22"/>
  <c r="AN51" i="22"/>
  <c r="AF51" i="22"/>
  <c r="X51" i="22"/>
  <c r="P51" i="22"/>
  <c r="EE51" i="22"/>
  <c r="DG51" i="22"/>
  <c r="CI51" i="22"/>
  <c r="BC51" i="22"/>
  <c r="AE51" i="22"/>
  <c r="O51" i="22"/>
  <c r="DD51" i="22"/>
  <c r="BP51" i="22"/>
  <c r="AB51" i="22"/>
  <c r="ED51" i="22"/>
  <c r="DV51" i="22"/>
  <c r="DN51" i="22"/>
  <c r="DF51" i="22"/>
  <c r="CX51" i="22"/>
  <c r="CP51" i="22"/>
  <c r="CH51" i="22"/>
  <c r="BZ51" i="22"/>
  <c r="BR51" i="22"/>
  <c r="BJ51" i="22"/>
  <c r="BB51" i="22"/>
  <c r="AT51" i="22"/>
  <c r="AL51" i="22"/>
  <c r="AD51" i="22"/>
  <c r="V51" i="22"/>
  <c r="N51" i="22"/>
  <c r="DE51" i="22"/>
  <c r="BQ51" i="22"/>
  <c r="BA51" i="22"/>
  <c r="AK51" i="22"/>
  <c r="M51" i="22"/>
  <c r="DL51" i="22"/>
  <c r="CF51" i="22"/>
  <c r="AR51" i="22"/>
  <c r="EK51" i="22"/>
  <c r="EC51" i="22"/>
  <c r="DU51" i="22"/>
  <c r="DM51" i="22"/>
  <c r="CW51" i="22"/>
  <c r="CO51" i="22"/>
  <c r="CG51" i="22"/>
  <c r="BY51" i="22"/>
  <c r="BI51" i="22"/>
  <c r="AS51" i="22"/>
  <c r="AC51" i="22"/>
  <c r="EB51" i="22"/>
  <c r="AZ51" i="22"/>
  <c r="F40" i="48"/>
  <c r="J50" i="22"/>
  <c r="K50" i="22"/>
  <c r="K52" i="22" s="1"/>
  <c r="L50" i="22"/>
  <c r="M50" i="22"/>
  <c r="N50" i="22"/>
  <c r="O50" i="22"/>
  <c r="P50" i="22"/>
  <c r="Q50" i="22"/>
  <c r="R50" i="22"/>
  <c r="S50" i="22"/>
  <c r="S52" i="22" s="1"/>
  <c r="T50" i="22"/>
  <c r="U50" i="22"/>
  <c r="U52" i="22" s="1"/>
  <c r="V50" i="22"/>
  <c r="W50" i="22"/>
  <c r="X50" i="22"/>
  <c r="X52" i="22" s="1"/>
  <c r="Y50" i="22"/>
  <c r="Z50" i="22"/>
  <c r="Z52" i="22" s="1"/>
  <c r="AA50" i="22"/>
  <c r="AB50" i="22"/>
  <c r="AC50" i="22"/>
  <c r="AD50" i="22"/>
  <c r="AD52" i="22" s="1"/>
  <c r="AE50" i="22"/>
  <c r="AE52" i="22" s="1"/>
  <c r="AF50" i="22"/>
  <c r="AF52" i="22" s="1"/>
  <c r="AG50" i="22"/>
  <c r="AG52" i="22" s="1"/>
  <c r="AH50" i="22"/>
  <c r="AI50" i="22"/>
  <c r="AI52" i="22" s="1"/>
  <c r="AJ50" i="22"/>
  <c r="AK50" i="22"/>
  <c r="AL50" i="22"/>
  <c r="AL52" i="22" s="1"/>
  <c r="AM50" i="22"/>
  <c r="AM52" i="22" s="1"/>
  <c r="AN50" i="22"/>
  <c r="AN52" i="22" s="1"/>
  <c r="AO50" i="22"/>
  <c r="AP50" i="22"/>
  <c r="AQ50" i="22"/>
  <c r="AR50" i="22"/>
  <c r="AS50" i="22"/>
  <c r="AS52" i="22" s="1"/>
  <c r="AT50" i="22"/>
  <c r="AU50" i="22"/>
  <c r="AV50" i="22"/>
  <c r="AW50" i="22"/>
  <c r="AW52" i="22" s="1"/>
  <c r="AX50" i="22"/>
  <c r="AX52" i="22" s="1"/>
  <c r="AY50" i="22"/>
  <c r="AY52" i="22" s="1"/>
  <c r="AZ50" i="22"/>
  <c r="BA50" i="22"/>
  <c r="BB50" i="22"/>
  <c r="BB52" i="22" s="1"/>
  <c r="BC50" i="22"/>
  <c r="BD50" i="22"/>
  <c r="BD52" i="22" s="1"/>
  <c r="BE50" i="22"/>
  <c r="BF50" i="22"/>
  <c r="BG50" i="22"/>
  <c r="BH50" i="22"/>
  <c r="BI50" i="22"/>
  <c r="BJ50" i="22"/>
  <c r="BJ52" i="22" s="1"/>
  <c r="BK50" i="22"/>
  <c r="BL50" i="22"/>
  <c r="BL52" i="22" s="1"/>
  <c r="BM50" i="22"/>
  <c r="BN50" i="22"/>
  <c r="BN52" i="22" s="1"/>
  <c r="BO50" i="22"/>
  <c r="BP50" i="22"/>
  <c r="BQ50" i="22"/>
  <c r="BQ52" i="22" s="1"/>
  <c r="BR50" i="22"/>
  <c r="BS50" i="22"/>
  <c r="BT50" i="22"/>
  <c r="BU50" i="22"/>
  <c r="BU52" i="22" s="1"/>
  <c r="BV50" i="22"/>
  <c r="BV52" i="22" s="1"/>
  <c r="BW50" i="22"/>
  <c r="BW52" i="22" s="1"/>
  <c r="BX50" i="22"/>
  <c r="BX52" i="22" s="1"/>
  <c r="BY50" i="22"/>
  <c r="BZ50" i="22"/>
  <c r="CA50" i="22"/>
  <c r="CB50" i="22"/>
  <c r="CC50" i="22"/>
  <c r="CD50" i="22"/>
  <c r="CE50" i="22"/>
  <c r="CE52" i="22" s="1"/>
  <c r="CF50" i="22"/>
  <c r="CG50" i="22"/>
  <c r="CH50" i="22"/>
  <c r="CI50" i="22"/>
  <c r="CJ50" i="22"/>
  <c r="CJ52" i="22" s="1"/>
  <c r="CK50" i="22"/>
  <c r="CL50" i="22"/>
  <c r="CL52" i="22" s="1"/>
  <c r="CM50" i="22"/>
  <c r="CN50" i="22"/>
  <c r="CN52" i="22" s="1"/>
  <c r="CO50" i="22"/>
  <c r="CO52" i="22" s="1"/>
  <c r="CP50" i="22"/>
  <c r="CQ50" i="22"/>
  <c r="CQ52" i="22" s="1"/>
  <c r="CR50" i="22"/>
  <c r="CR52" i="22" s="1"/>
  <c r="CS50" i="22"/>
  <c r="CS52" i="22" s="1"/>
  <c r="CT50" i="22"/>
  <c r="CU50" i="22"/>
  <c r="CU52" i="22" s="1"/>
  <c r="CV50" i="22"/>
  <c r="CV52" i="22" s="1"/>
  <c r="CW50" i="22"/>
  <c r="CX50" i="22"/>
  <c r="CX52" i="22" s="1"/>
  <c r="CY50" i="22"/>
  <c r="CZ50" i="22"/>
  <c r="CZ52" i="22" s="1"/>
  <c r="DA50" i="22"/>
  <c r="DB50" i="22"/>
  <c r="DC50" i="22"/>
  <c r="DD50" i="22"/>
  <c r="DD52" i="22" s="1"/>
  <c r="DE50" i="22"/>
  <c r="DE52" i="22" s="1"/>
  <c r="DF50" i="22"/>
  <c r="DF52" i="22" s="1"/>
  <c r="DG50" i="22"/>
  <c r="DG52" i="22" s="1"/>
  <c r="DH50" i="22"/>
  <c r="DH52" i="22" s="1"/>
  <c r="DI50" i="22"/>
  <c r="DI52" i="22" s="1"/>
  <c r="DJ50" i="22"/>
  <c r="DJ52" i="22" s="1"/>
  <c r="DK50" i="22"/>
  <c r="DK52" i="22" s="1"/>
  <c r="DL50" i="22"/>
  <c r="DL52" i="22" s="1"/>
  <c r="DM50" i="22"/>
  <c r="DM52" i="22" s="1"/>
  <c r="DN50" i="22"/>
  <c r="DO50" i="22"/>
  <c r="DP50" i="22"/>
  <c r="DP52" i="22" s="1"/>
  <c r="DQ50" i="22"/>
  <c r="DR50" i="22"/>
  <c r="DS50" i="22"/>
  <c r="DT50" i="22"/>
  <c r="DU50" i="22"/>
  <c r="DV50" i="22"/>
  <c r="DV52" i="22" s="1"/>
  <c r="DW50" i="22"/>
  <c r="DX50" i="22"/>
  <c r="DX52" i="22" s="1"/>
  <c r="DY50" i="22"/>
  <c r="DZ50" i="22"/>
  <c r="EA50" i="22"/>
  <c r="EB50" i="22"/>
  <c r="EB52" i="22" s="1"/>
  <c r="EC50" i="22"/>
  <c r="EC52" i="22" s="1"/>
  <c r="ED50" i="22"/>
  <c r="ED52" i="22" s="1"/>
  <c r="EE50" i="22"/>
  <c r="EF50" i="22"/>
  <c r="EG50" i="22"/>
  <c r="EG52" i="22" s="1"/>
  <c r="EH50" i="22"/>
  <c r="EH52" i="22" s="1"/>
  <c r="EI50" i="22"/>
  <c r="EI52" i="22" s="1"/>
  <c r="EJ50" i="22"/>
  <c r="EK50" i="22"/>
  <c r="EK52" i="22" s="1"/>
  <c r="S5" i="21"/>
  <c r="T5" i="21"/>
  <c r="I79" i="22"/>
  <c r="J79" i="22"/>
  <c r="K79" i="22"/>
  <c r="L79" i="22"/>
  <c r="M79" i="22"/>
  <c r="N79" i="22"/>
  <c r="O79" i="22"/>
  <c r="P79" i="22"/>
  <c r="Q79" i="22"/>
  <c r="R79" i="22"/>
  <c r="S79" i="22"/>
  <c r="T79" i="22"/>
  <c r="U79" i="22"/>
  <c r="V79" i="22"/>
  <c r="W79" i="22"/>
  <c r="X79" i="22"/>
  <c r="Y79" i="22"/>
  <c r="Z79" i="22"/>
  <c r="AA79" i="22"/>
  <c r="AB79" i="22"/>
  <c r="AC79" i="22"/>
  <c r="AD79" i="22"/>
  <c r="AE79" i="22"/>
  <c r="AE77" i="22" s="1"/>
  <c r="AF79" i="22"/>
  <c r="AG79" i="22"/>
  <c r="AH79" i="22"/>
  <c r="AI79" i="22"/>
  <c r="AJ79" i="22"/>
  <c r="AK79" i="22"/>
  <c r="AL79" i="22"/>
  <c r="AM79" i="22"/>
  <c r="AN79" i="22"/>
  <c r="AO79" i="22"/>
  <c r="AP79" i="22"/>
  <c r="AQ79" i="22"/>
  <c r="AR79" i="22"/>
  <c r="AS79" i="22"/>
  <c r="AT79" i="22"/>
  <c r="AU79" i="22"/>
  <c r="AV79" i="22"/>
  <c r="AW79" i="22"/>
  <c r="AX79" i="22"/>
  <c r="AY79" i="22"/>
  <c r="AZ79" i="22"/>
  <c r="BA79" i="22"/>
  <c r="BB79" i="22"/>
  <c r="BC79" i="22"/>
  <c r="BD79" i="22"/>
  <c r="BE79" i="22"/>
  <c r="BF79" i="22"/>
  <c r="BG79" i="22"/>
  <c r="BH79" i="22"/>
  <c r="BI79" i="22"/>
  <c r="BJ79" i="22"/>
  <c r="BK79" i="22"/>
  <c r="BL79" i="22"/>
  <c r="BM79" i="22"/>
  <c r="BN79" i="22"/>
  <c r="BO79" i="22"/>
  <c r="BP79" i="22"/>
  <c r="BQ79" i="22"/>
  <c r="BR79" i="22"/>
  <c r="BS79" i="22"/>
  <c r="BT79" i="22"/>
  <c r="BU79" i="22"/>
  <c r="BV79" i="22"/>
  <c r="BW79" i="22"/>
  <c r="BX79" i="22"/>
  <c r="BY79" i="22"/>
  <c r="BZ79" i="22"/>
  <c r="CA79" i="22"/>
  <c r="CB79" i="22"/>
  <c r="CC79" i="22"/>
  <c r="CD79" i="22"/>
  <c r="CE79" i="22"/>
  <c r="CF79" i="22"/>
  <c r="CG79" i="22"/>
  <c r="CH79" i="22"/>
  <c r="CI79" i="22"/>
  <c r="CJ79" i="22"/>
  <c r="CK79" i="22"/>
  <c r="CL79" i="22"/>
  <c r="CM79" i="22"/>
  <c r="CN79" i="22"/>
  <c r="CO79" i="22"/>
  <c r="CP79" i="22"/>
  <c r="CQ79" i="22"/>
  <c r="CR79" i="22"/>
  <c r="CS79" i="22"/>
  <c r="CT79" i="22"/>
  <c r="CU79" i="22"/>
  <c r="CV79" i="22"/>
  <c r="CW79" i="22"/>
  <c r="CX79" i="22"/>
  <c r="CY79" i="22"/>
  <c r="CZ79" i="22"/>
  <c r="DA79" i="22"/>
  <c r="DB79" i="22"/>
  <c r="DC79" i="22"/>
  <c r="DD79" i="22"/>
  <c r="DE79" i="22"/>
  <c r="DF79" i="22"/>
  <c r="DG79" i="22"/>
  <c r="DH79" i="22"/>
  <c r="DI79" i="22"/>
  <c r="DJ79" i="22"/>
  <c r="DK79" i="22"/>
  <c r="DL79" i="22"/>
  <c r="DM79" i="22"/>
  <c r="DN79" i="22"/>
  <c r="DO79" i="22"/>
  <c r="DP79" i="22"/>
  <c r="DQ79" i="22"/>
  <c r="DR79" i="22"/>
  <c r="DS79" i="22"/>
  <c r="DT79" i="22"/>
  <c r="DU79" i="22"/>
  <c r="DV79" i="22"/>
  <c r="DW79" i="22"/>
  <c r="DX79" i="22"/>
  <c r="DY79" i="22"/>
  <c r="DZ79" i="22"/>
  <c r="EA79" i="22"/>
  <c r="EB79" i="22"/>
  <c r="EC79" i="22"/>
  <c r="ED79" i="22"/>
  <c r="EE79" i="22"/>
  <c r="EF79" i="22"/>
  <c r="EG79" i="22"/>
  <c r="EH79" i="22"/>
  <c r="EI79" i="22"/>
  <c r="EJ79" i="22"/>
  <c r="EK79" i="22"/>
  <c r="C5" i="22"/>
  <c r="I59" i="22"/>
  <c r="EM59" i="22" s="1"/>
  <c r="J8" i="22"/>
  <c r="J15" i="22" s="1"/>
  <c r="K9" i="22"/>
  <c r="E28" i="21"/>
  <c r="EJ52" i="22" l="1"/>
  <c r="DT52" i="22"/>
  <c r="AJ52" i="22"/>
  <c r="F43" i="48"/>
  <c r="E43" i="48" s="1"/>
  <c r="F95" i="22"/>
  <c r="H8" i="48" s="1"/>
  <c r="J8" i="48" s="1"/>
  <c r="F96" i="22"/>
  <c r="H9" i="48" s="1"/>
  <c r="J9" i="48" s="1"/>
  <c r="EA52" i="22"/>
  <c r="DS52" i="22"/>
  <c r="DC52" i="22"/>
  <c r="BO52" i="22"/>
  <c r="BG52" i="22"/>
  <c r="AQ52" i="22"/>
  <c r="CW52" i="22"/>
  <c r="CT52" i="22"/>
  <c r="AP52" i="22"/>
  <c r="R52" i="22"/>
  <c r="DU52" i="22"/>
  <c r="BA52" i="22"/>
  <c r="DY52" i="22"/>
  <c r="DQ52" i="22"/>
  <c r="DA52" i="22"/>
  <c r="BM52" i="22"/>
  <c r="BE52" i="22"/>
  <c r="AO52" i="22"/>
  <c r="AV52" i="22"/>
  <c r="DO52" i="22"/>
  <c r="CI52" i="22"/>
  <c r="CA52" i="22"/>
  <c r="BS52" i="22"/>
  <c r="BK52" i="22"/>
  <c r="BC52" i="22"/>
  <c r="AU52" i="22"/>
  <c r="W52" i="22"/>
  <c r="AK52" i="22"/>
  <c r="CM52" i="22"/>
  <c r="AA52" i="22"/>
  <c r="ER51" i="22"/>
  <c r="CK52" i="22"/>
  <c r="Y52" i="22"/>
  <c r="P52" i="22"/>
  <c r="CB52" i="22"/>
  <c r="DW52" i="22"/>
  <c r="CH52" i="22"/>
  <c r="CG52" i="22"/>
  <c r="M52" i="22"/>
  <c r="CF52" i="22"/>
  <c r="BP52" i="22"/>
  <c r="BH52" i="22"/>
  <c r="AZ52" i="22"/>
  <c r="T52" i="22"/>
  <c r="DR52" i="22"/>
  <c r="EO51" i="22"/>
  <c r="EX51" i="22"/>
  <c r="CC52" i="22"/>
  <c r="Q52" i="22"/>
  <c r="EU51" i="22"/>
  <c r="EN51" i="22"/>
  <c r="EF52" i="22"/>
  <c r="BT52" i="22"/>
  <c r="ET51" i="22"/>
  <c r="EE52" i="22"/>
  <c r="CY52" i="22"/>
  <c r="O52" i="22"/>
  <c r="EQ51" i="22"/>
  <c r="BZ52" i="22"/>
  <c r="N52" i="22"/>
  <c r="EW51" i="22"/>
  <c r="EP51" i="22"/>
  <c r="BY52" i="22"/>
  <c r="BI52" i="22"/>
  <c r="AC52" i="22"/>
  <c r="EV51" i="22"/>
  <c r="AR52" i="22"/>
  <c r="AB52" i="22"/>
  <c r="L52" i="22"/>
  <c r="ES51" i="22"/>
  <c r="CP52" i="22"/>
  <c r="EU50" i="22"/>
  <c r="BR52" i="22"/>
  <c r="ES50" i="22"/>
  <c r="AT52" i="22"/>
  <c r="EQ50" i="22"/>
  <c r="V52" i="22"/>
  <c r="EO50" i="22"/>
  <c r="EO52" i="22" s="1"/>
  <c r="DN52" i="22"/>
  <c r="EW50" i="22"/>
  <c r="DZ52" i="22"/>
  <c r="EX50" i="22"/>
  <c r="EX52" i="22" s="1"/>
  <c r="DB52" i="22"/>
  <c r="EV50" i="22"/>
  <c r="CD52" i="22"/>
  <c r="ET50" i="22"/>
  <c r="ET52" i="22" s="1"/>
  <c r="BF52" i="22"/>
  <c r="ER50" i="22"/>
  <c r="AH52" i="22"/>
  <c r="EP50" i="22"/>
  <c r="EP52" i="22" s="1"/>
  <c r="Q97" i="22"/>
  <c r="Y97" i="22"/>
  <c r="AG97" i="22"/>
  <c r="EO97" i="22" s="1"/>
  <c r="AO97" i="22"/>
  <c r="AW97" i="22"/>
  <c r="BE97" i="22"/>
  <c r="EQ97" i="22" s="1"/>
  <c r="BM97" i="22"/>
  <c r="BU97" i="22"/>
  <c r="CC97" i="22"/>
  <c r="ES97" i="22" s="1"/>
  <c r="CK97" i="22"/>
  <c r="CS97" i="22"/>
  <c r="DA97" i="22"/>
  <c r="EU97" i="22" s="1"/>
  <c r="DI97" i="22"/>
  <c r="DQ97" i="22"/>
  <c r="DY97" i="22"/>
  <c r="EW97" i="22" s="1"/>
  <c r="EG97" i="22"/>
  <c r="CE97" i="22"/>
  <c r="EA97" i="22"/>
  <c r="EK97" i="22"/>
  <c r="EX97" i="22" s="1"/>
  <c r="V97" i="22"/>
  <c r="CH97" i="22"/>
  <c r="ED97" i="22"/>
  <c r="BK97" i="22"/>
  <c r="DO97" i="22"/>
  <c r="R97" i="22"/>
  <c r="Z97" i="22"/>
  <c r="AH97" i="22"/>
  <c r="AP97" i="22"/>
  <c r="AX97" i="22"/>
  <c r="BF97" i="22"/>
  <c r="BN97" i="22"/>
  <c r="BV97" i="22"/>
  <c r="CD97" i="22"/>
  <c r="CL97" i="22"/>
  <c r="CT97" i="22"/>
  <c r="DB97" i="22"/>
  <c r="DJ97" i="22"/>
  <c r="DR97" i="22"/>
  <c r="DZ97" i="22"/>
  <c r="EH97" i="22"/>
  <c r="CU97" i="22"/>
  <c r="DS97" i="22"/>
  <c r="AL97" i="22"/>
  <c r="BZ97" i="22"/>
  <c r="DV97" i="22"/>
  <c r="BS97" i="22"/>
  <c r="DG97" i="22"/>
  <c r="K97" i="22"/>
  <c r="S97" i="22"/>
  <c r="AA97" i="22"/>
  <c r="AI97" i="22"/>
  <c r="AQ97" i="22"/>
  <c r="AY97" i="22"/>
  <c r="BG97" i="22"/>
  <c r="BO97" i="22"/>
  <c r="BW97" i="22"/>
  <c r="CM97" i="22"/>
  <c r="DK97" i="22"/>
  <c r="AD97" i="22"/>
  <c r="BJ97" i="22"/>
  <c r="CX97" i="22"/>
  <c r="O97" i="22"/>
  <c r="AE97" i="22"/>
  <c r="AM97" i="22"/>
  <c r="CA97" i="22"/>
  <c r="L97" i="22"/>
  <c r="T97" i="22"/>
  <c r="AB97" i="22"/>
  <c r="AJ97" i="22"/>
  <c r="AR97" i="22"/>
  <c r="AZ97" i="22"/>
  <c r="BH97" i="22"/>
  <c r="BP97" i="22"/>
  <c r="BX97" i="22"/>
  <c r="CF97" i="22"/>
  <c r="CN97" i="22"/>
  <c r="CV97" i="22"/>
  <c r="DD97" i="22"/>
  <c r="DL97" i="22"/>
  <c r="DT97" i="22"/>
  <c r="EB97" i="22"/>
  <c r="EJ97" i="22"/>
  <c r="BQ97" i="22"/>
  <c r="ER97" i="22" s="1"/>
  <c r="CO97" i="22"/>
  <c r="ET97" i="22" s="1"/>
  <c r="DE97" i="22"/>
  <c r="DM97" i="22"/>
  <c r="EV97" i="22" s="1"/>
  <c r="EC97" i="22"/>
  <c r="N97" i="22"/>
  <c r="BR97" i="22"/>
  <c r="DN97" i="22"/>
  <c r="BC97" i="22"/>
  <c r="CQ97" i="22"/>
  <c r="DW97" i="22"/>
  <c r="M97" i="22"/>
  <c r="U97" i="22"/>
  <c r="EN97" i="22" s="1"/>
  <c r="AC97" i="22"/>
  <c r="AK97" i="22"/>
  <c r="AS97" i="22"/>
  <c r="EP97" i="22" s="1"/>
  <c r="BA97" i="22"/>
  <c r="BI97" i="22"/>
  <c r="BY97" i="22"/>
  <c r="CG97" i="22"/>
  <c r="CW97" i="22"/>
  <c r="DU97" i="22"/>
  <c r="AT97" i="22"/>
  <c r="CP97" i="22"/>
  <c r="J97" i="22"/>
  <c r="W97" i="22"/>
  <c r="CY97" i="22"/>
  <c r="P97" i="22"/>
  <c r="X97" i="22"/>
  <c r="AF97" i="22"/>
  <c r="AN97" i="22"/>
  <c r="AV97" i="22"/>
  <c r="BD97" i="22"/>
  <c r="BL97" i="22"/>
  <c r="BT97" i="22"/>
  <c r="CB97" i="22"/>
  <c r="CJ97" i="22"/>
  <c r="CR97" i="22"/>
  <c r="CZ97" i="22"/>
  <c r="DH97" i="22"/>
  <c r="DP97" i="22"/>
  <c r="DX97" i="22"/>
  <c r="EF97" i="22"/>
  <c r="DC97" i="22"/>
  <c r="EI97" i="22"/>
  <c r="BB97" i="22"/>
  <c r="DF97" i="22"/>
  <c r="AU97" i="22"/>
  <c r="CI97" i="22"/>
  <c r="EE97" i="22"/>
  <c r="J52" i="22"/>
  <c r="EN50" i="22"/>
  <c r="F42" i="48"/>
  <c r="E42" i="48" s="1"/>
  <c r="E40" i="48"/>
  <c r="Q103" i="22"/>
  <c r="Y103" i="22"/>
  <c r="AG103" i="22"/>
  <c r="AO103" i="22"/>
  <c r="AW103" i="22"/>
  <c r="BE103" i="22"/>
  <c r="BU103" i="22"/>
  <c r="CC103" i="22"/>
  <c r="CS103" i="22"/>
  <c r="DI103" i="22"/>
  <c r="EG103" i="22"/>
  <c r="S103" i="22"/>
  <c r="AY103" i="22"/>
  <c r="BW103" i="22"/>
  <c r="DC103" i="22"/>
  <c r="DS103" i="22"/>
  <c r="DL103" i="22"/>
  <c r="EB103" i="22"/>
  <c r="O103" i="22"/>
  <c r="CA103" i="22"/>
  <c r="R103" i="22"/>
  <c r="Z103" i="22"/>
  <c r="AH103" i="22"/>
  <c r="AP103" i="22"/>
  <c r="AX103" i="22"/>
  <c r="BF103" i="22"/>
  <c r="BN103" i="22"/>
  <c r="BV103" i="22"/>
  <c r="CD103" i="22"/>
  <c r="CL103" i="22"/>
  <c r="CT103" i="22"/>
  <c r="DB103" i="22"/>
  <c r="DJ103" i="22"/>
  <c r="DR103" i="22"/>
  <c r="DZ103" i="22"/>
  <c r="EH103" i="22"/>
  <c r="CE103" i="22"/>
  <c r="W103" i="22"/>
  <c r="DO103" i="22"/>
  <c r="K103" i="22"/>
  <c r="AA103" i="22"/>
  <c r="AQ103" i="22"/>
  <c r="BG103" i="22"/>
  <c r="BO103" i="22"/>
  <c r="CU103" i="22"/>
  <c r="EA103" i="22"/>
  <c r="BS103" i="22"/>
  <c r="EE103" i="22"/>
  <c r="L103" i="22"/>
  <c r="T103" i="22"/>
  <c r="AB103" i="22"/>
  <c r="AJ103" i="22"/>
  <c r="AR103" i="22"/>
  <c r="AZ103" i="22"/>
  <c r="BH103" i="22"/>
  <c r="BP103" i="22"/>
  <c r="BX103" i="22"/>
  <c r="CF103" i="22"/>
  <c r="CN103" i="22"/>
  <c r="CV103" i="22"/>
  <c r="DT103" i="22"/>
  <c r="EJ103" i="22"/>
  <c r="AU103" i="22"/>
  <c r="CQ103" i="22"/>
  <c r="M103" i="22"/>
  <c r="U103" i="22"/>
  <c r="AC103" i="22"/>
  <c r="AK103" i="22"/>
  <c r="AS103" i="22"/>
  <c r="BA103" i="22"/>
  <c r="BI103" i="22"/>
  <c r="BQ103" i="22"/>
  <c r="BY103" i="22"/>
  <c r="CG103" i="22"/>
  <c r="CO103" i="22"/>
  <c r="CW103" i="22"/>
  <c r="DE103" i="22"/>
  <c r="DM103" i="22"/>
  <c r="DU103" i="22"/>
  <c r="EC103" i="22"/>
  <c r="EK103" i="22"/>
  <c r="AM103" i="22"/>
  <c r="CI103" i="22"/>
  <c r="DW103" i="22"/>
  <c r="N103" i="22"/>
  <c r="V103" i="22"/>
  <c r="AD103" i="22"/>
  <c r="AL103" i="22"/>
  <c r="AT103" i="22"/>
  <c r="BB103" i="22"/>
  <c r="BJ103" i="22"/>
  <c r="BR103" i="22"/>
  <c r="BZ103" i="22"/>
  <c r="CH103" i="22"/>
  <c r="CP103" i="22"/>
  <c r="CX103" i="22"/>
  <c r="DF103" i="22"/>
  <c r="DN103" i="22"/>
  <c r="DV103" i="22"/>
  <c r="ED103" i="22"/>
  <c r="AE103" i="22"/>
  <c r="BC103" i="22"/>
  <c r="CY103" i="22"/>
  <c r="P103" i="22"/>
  <c r="X103" i="22"/>
  <c r="AF103" i="22"/>
  <c r="AN103" i="22"/>
  <c r="AV103" i="22"/>
  <c r="BD103" i="22"/>
  <c r="BL103" i="22"/>
  <c r="BT103" i="22"/>
  <c r="CB103" i="22"/>
  <c r="CJ103" i="22"/>
  <c r="CR103" i="22"/>
  <c r="CZ103" i="22"/>
  <c r="DH103" i="22"/>
  <c r="DP103" i="22"/>
  <c r="DX103" i="22"/>
  <c r="EF103" i="22"/>
  <c r="J103" i="22"/>
  <c r="BM103" i="22"/>
  <c r="CK103" i="22"/>
  <c r="DA103" i="22"/>
  <c r="DQ103" i="22"/>
  <c r="DY103" i="22"/>
  <c r="I103" i="22"/>
  <c r="AI103" i="22"/>
  <c r="CM103" i="22"/>
  <c r="DK103" i="22"/>
  <c r="EI103" i="22"/>
  <c r="DD103" i="22"/>
  <c r="BK103" i="22"/>
  <c r="DG103" i="22"/>
  <c r="DO77" i="22"/>
  <c r="CI77" i="22"/>
  <c r="CA77" i="22"/>
  <c r="AU77" i="22"/>
  <c r="O77" i="22"/>
  <c r="ED77" i="22"/>
  <c r="DV77" i="22"/>
  <c r="DN77" i="22"/>
  <c r="EW79" i="22"/>
  <c r="DF77" i="22"/>
  <c r="CX77" i="22"/>
  <c r="CP77" i="22"/>
  <c r="EU79" i="22"/>
  <c r="CH77" i="22"/>
  <c r="BZ77" i="22"/>
  <c r="BR77" i="22"/>
  <c r="ES79" i="22"/>
  <c r="BJ77" i="22"/>
  <c r="BB77" i="22"/>
  <c r="AT77" i="22"/>
  <c r="EQ79" i="22"/>
  <c r="AL77" i="22"/>
  <c r="AD77" i="22"/>
  <c r="V77" i="22"/>
  <c r="EO79" i="22"/>
  <c r="N77" i="22"/>
  <c r="EE77" i="22"/>
  <c r="BS77" i="22"/>
  <c r="EK77" i="22"/>
  <c r="DU77" i="22"/>
  <c r="DE77" i="22"/>
  <c r="CW77" i="22"/>
  <c r="CO77" i="22"/>
  <c r="CG77" i="22"/>
  <c r="BY77" i="22"/>
  <c r="BQ77" i="22"/>
  <c r="BI77" i="22"/>
  <c r="BA77" i="22"/>
  <c r="AS77" i="22"/>
  <c r="AK77" i="22"/>
  <c r="AC77" i="22"/>
  <c r="U77" i="22"/>
  <c r="M77" i="22"/>
  <c r="CQ77" i="22"/>
  <c r="AM77" i="22"/>
  <c r="DM77" i="22"/>
  <c r="EJ77" i="22"/>
  <c r="EB77" i="22"/>
  <c r="DT77" i="22"/>
  <c r="DL77" i="22"/>
  <c r="DD77" i="22"/>
  <c r="CV77" i="22"/>
  <c r="CN77" i="22"/>
  <c r="CF77" i="22"/>
  <c r="BX77" i="22"/>
  <c r="BP77" i="22"/>
  <c r="BH77" i="22"/>
  <c r="AZ77" i="22"/>
  <c r="AR77" i="22"/>
  <c r="AJ77" i="22"/>
  <c r="AB77" i="22"/>
  <c r="T77" i="22"/>
  <c r="L77" i="22"/>
  <c r="CY77" i="22"/>
  <c r="BC77" i="22"/>
  <c r="EI77" i="22"/>
  <c r="DC77" i="22"/>
  <c r="CE77" i="22"/>
  <c r="BO77" i="22"/>
  <c r="BG77" i="22"/>
  <c r="AY77" i="22"/>
  <c r="AQ77" i="22"/>
  <c r="AI77" i="22"/>
  <c r="AA77" i="22"/>
  <c r="S77" i="22"/>
  <c r="K77" i="22"/>
  <c r="DK77" i="22"/>
  <c r="BW77" i="22"/>
  <c r="EH77" i="22"/>
  <c r="DZ77" i="22"/>
  <c r="EX79" i="22"/>
  <c r="DR77" i="22"/>
  <c r="DJ77" i="22"/>
  <c r="DB77" i="22"/>
  <c r="EV79" i="22"/>
  <c r="CT77" i="22"/>
  <c r="CL77" i="22"/>
  <c r="CD77" i="22"/>
  <c r="ET79" i="22"/>
  <c r="BV77" i="22"/>
  <c r="BN77" i="22"/>
  <c r="BF77" i="22"/>
  <c r="ER79" i="22"/>
  <c r="AX77" i="22"/>
  <c r="AP77" i="22"/>
  <c r="AH77" i="22"/>
  <c r="EP79" i="22"/>
  <c r="Z77" i="22"/>
  <c r="R77" i="22"/>
  <c r="J77" i="22"/>
  <c r="EN79" i="22"/>
  <c r="DW77" i="22"/>
  <c r="BK77" i="22"/>
  <c r="EC77" i="22"/>
  <c r="EA77" i="22"/>
  <c r="CU77" i="22"/>
  <c r="EG77" i="22"/>
  <c r="DY77" i="22"/>
  <c r="DQ77" i="22"/>
  <c r="DI77" i="22"/>
  <c r="DA77" i="22"/>
  <c r="CS77" i="22"/>
  <c r="CK77" i="22"/>
  <c r="CC77" i="22"/>
  <c r="BU77" i="22"/>
  <c r="BM77" i="22"/>
  <c r="BE77" i="22"/>
  <c r="AW77" i="22"/>
  <c r="AO77" i="22"/>
  <c r="AG77" i="22"/>
  <c r="Y77" i="22"/>
  <c r="Q77" i="22"/>
  <c r="I77" i="22"/>
  <c r="EM79" i="22"/>
  <c r="DG77" i="22"/>
  <c r="W77" i="22"/>
  <c r="DS77" i="22"/>
  <c r="CM77" i="22"/>
  <c r="EF77" i="22"/>
  <c r="DX77" i="22"/>
  <c r="DP77" i="22"/>
  <c r="DH77" i="22"/>
  <c r="CZ77" i="22"/>
  <c r="CR77" i="22"/>
  <c r="CJ77" i="22"/>
  <c r="CB77" i="22"/>
  <c r="BT77" i="22"/>
  <c r="BL77" i="22"/>
  <c r="BD77" i="22"/>
  <c r="AV77" i="22"/>
  <c r="AN77" i="22"/>
  <c r="AF77" i="22"/>
  <c r="X77" i="22"/>
  <c r="P77" i="22"/>
  <c r="U5" i="21"/>
  <c r="W5" i="21" s="1"/>
  <c r="T6" i="21" s="1"/>
  <c r="S6" i="21"/>
  <c r="EM54" i="22"/>
  <c r="J16" i="22"/>
  <c r="J22" i="22" s="1"/>
  <c r="I60" i="22"/>
  <c r="EM60" i="22" s="1"/>
  <c r="EM61" i="22" s="1"/>
  <c r="L9" i="22"/>
  <c r="K8" i="22"/>
  <c r="K15" i="22" s="1"/>
  <c r="J20" i="22"/>
  <c r="J21" i="22" s="1"/>
  <c r="J17" i="22"/>
  <c r="J18" i="22"/>
  <c r="EN52" i="22" l="1"/>
  <c r="EV52" i="22"/>
  <c r="EQ52" i="22"/>
  <c r="ER52" i="22"/>
  <c r="ES52" i="22"/>
  <c r="F97" i="22"/>
  <c r="H10" i="48" s="1"/>
  <c r="J10" i="48" s="1"/>
  <c r="EW52" i="22"/>
  <c r="EU52" i="22"/>
  <c r="M98" i="22"/>
  <c r="M99" i="22" s="1"/>
  <c r="U98" i="22"/>
  <c r="U99" i="22" s="1"/>
  <c r="AC98" i="22"/>
  <c r="AC99" i="22" s="1"/>
  <c r="AK98" i="22"/>
  <c r="AK99" i="22" s="1"/>
  <c r="AS98" i="22"/>
  <c r="AS99" i="22" s="1"/>
  <c r="BA98" i="22"/>
  <c r="BA99" i="22" s="1"/>
  <c r="BI98" i="22"/>
  <c r="BI99" i="22" s="1"/>
  <c r="BQ98" i="22"/>
  <c r="BQ99" i="22" s="1"/>
  <c r="BY98" i="22"/>
  <c r="BY99" i="22" s="1"/>
  <c r="CG98" i="22"/>
  <c r="CG99" i="22" s="1"/>
  <c r="CO98" i="22"/>
  <c r="CO99" i="22" s="1"/>
  <c r="CW98" i="22"/>
  <c r="CW99" i="22" s="1"/>
  <c r="DE98" i="22"/>
  <c r="DE99" i="22" s="1"/>
  <c r="DM98" i="22"/>
  <c r="DM99" i="22" s="1"/>
  <c r="DU98" i="22"/>
  <c r="DU99" i="22" s="1"/>
  <c r="EC98" i="22"/>
  <c r="EC99" i="22" s="1"/>
  <c r="EK98" i="22"/>
  <c r="EK99" i="22" s="1"/>
  <c r="N98" i="22"/>
  <c r="N99" i="22" s="1"/>
  <c r="V98" i="22"/>
  <c r="V99" i="22" s="1"/>
  <c r="AD98" i="22"/>
  <c r="AD99" i="22" s="1"/>
  <c r="AL98" i="22"/>
  <c r="AL99" i="22" s="1"/>
  <c r="AT98" i="22"/>
  <c r="AT99" i="22" s="1"/>
  <c r="BB98" i="22"/>
  <c r="BB99" i="22" s="1"/>
  <c r="BJ98" i="22"/>
  <c r="BJ99" i="22" s="1"/>
  <c r="BR98" i="22"/>
  <c r="BR99" i="22" s="1"/>
  <c r="BZ98" i="22"/>
  <c r="BZ99" i="22" s="1"/>
  <c r="CH98" i="22"/>
  <c r="CH99" i="22" s="1"/>
  <c r="CP98" i="22"/>
  <c r="CP99" i="22" s="1"/>
  <c r="CX98" i="22"/>
  <c r="CX99" i="22" s="1"/>
  <c r="DF98" i="22"/>
  <c r="DF99" i="22" s="1"/>
  <c r="DN98" i="22"/>
  <c r="DN99" i="22" s="1"/>
  <c r="DV98" i="22"/>
  <c r="DV99" i="22" s="1"/>
  <c r="ED98" i="22"/>
  <c r="ED99" i="22" s="1"/>
  <c r="J98" i="22"/>
  <c r="J99" i="22" s="1"/>
  <c r="O98" i="22"/>
  <c r="O99" i="22" s="1"/>
  <c r="W98" i="22"/>
  <c r="W99" i="22" s="1"/>
  <c r="AE98" i="22"/>
  <c r="AE99" i="22" s="1"/>
  <c r="AM98" i="22"/>
  <c r="AM99" i="22" s="1"/>
  <c r="AU98" i="22"/>
  <c r="AU99" i="22" s="1"/>
  <c r="BC98" i="22"/>
  <c r="BC99" i="22" s="1"/>
  <c r="BK98" i="22"/>
  <c r="BK99" i="22" s="1"/>
  <c r="BS98" i="22"/>
  <c r="BS99" i="22" s="1"/>
  <c r="CA98" i="22"/>
  <c r="CA99" i="22" s="1"/>
  <c r="CI98" i="22"/>
  <c r="CI99" i="22" s="1"/>
  <c r="CQ98" i="22"/>
  <c r="CQ99" i="22" s="1"/>
  <c r="CY98" i="22"/>
  <c r="CY99" i="22" s="1"/>
  <c r="DG98" i="22"/>
  <c r="DG99" i="22" s="1"/>
  <c r="DO98" i="22"/>
  <c r="DO99" i="22" s="1"/>
  <c r="DW98" i="22"/>
  <c r="DW99" i="22" s="1"/>
  <c r="EE98" i="22"/>
  <c r="EE99" i="22" s="1"/>
  <c r="I98" i="22"/>
  <c r="P98" i="22"/>
  <c r="P99" i="22" s="1"/>
  <c r="X98" i="22"/>
  <c r="X99" i="22" s="1"/>
  <c r="AF98" i="22"/>
  <c r="AF99" i="22" s="1"/>
  <c r="AN98" i="22"/>
  <c r="AN99" i="22" s="1"/>
  <c r="AV98" i="22"/>
  <c r="AV99" i="22" s="1"/>
  <c r="BD98" i="22"/>
  <c r="BD99" i="22" s="1"/>
  <c r="BL98" i="22"/>
  <c r="BL99" i="22" s="1"/>
  <c r="BT98" i="22"/>
  <c r="BT99" i="22" s="1"/>
  <c r="CB98" i="22"/>
  <c r="CB99" i="22" s="1"/>
  <c r="CJ98" i="22"/>
  <c r="CJ99" i="22" s="1"/>
  <c r="CR98" i="22"/>
  <c r="CR99" i="22" s="1"/>
  <c r="CZ98" i="22"/>
  <c r="CZ99" i="22" s="1"/>
  <c r="DH98" i="22"/>
  <c r="DH99" i="22" s="1"/>
  <c r="DP98" i="22"/>
  <c r="DP99" i="22" s="1"/>
  <c r="DX98" i="22"/>
  <c r="DX99" i="22" s="1"/>
  <c r="EF98" i="22"/>
  <c r="EF99" i="22" s="1"/>
  <c r="Q98" i="22"/>
  <c r="Q99" i="22" s="1"/>
  <c r="Y98" i="22"/>
  <c r="Y99" i="22" s="1"/>
  <c r="AG98" i="22"/>
  <c r="AG99" i="22" s="1"/>
  <c r="AO98" i="22"/>
  <c r="AO99" i="22" s="1"/>
  <c r="AW98" i="22"/>
  <c r="AW99" i="22" s="1"/>
  <c r="BE98" i="22"/>
  <c r="BE99" i="22" s="1"/>
  <c r="BM98" i="22"/>
  <c r="BM99" i="22" s="1"/>
  <c r="BU98" i="22"/>
  <c r="BU99" i="22" s="1"/>
  <c r="CC98" i="22"/>
  <c r="CC99" i="22" s="1"/>
  <c r="CK98" i="22"/>
  <c r="CK99" i="22" s="1"/>
  <c r="CS98" i="22"/>
  <c r="CS99" i="22" s="1"/>
  <c r="DA98" i="22"/>
  <c r="DA99" i="22" s="1"/>
  <c r="DI98" i="22"/>
  <c r="DI99" i="22" s="1"/>
  <c r="DQ98" i="22"/>
  <c r="DQ99" i="22" s="1"/>
  <c r="DY98" i="22"/>
  <c r="DY99" i="22" s="1"/>
  <c r="EG98" i="22"/>
  <c r="EG99" i="22" s="1"/>
  <c r="S98" i="22"/>
  <c r="S99" i="22" s="1"/>
  <c r="EI98" i="22"/>
  <c r="EI99" i="22" s="1"/>
  <c r="R98" i="22"/>
  <c r="R99" i="22" s="1"/>
  <c r="Z98" i="22"/>
  <c r="Z99" i="22" s="1"/>
  <c r="AH98" i="22"/>
  <c r="AH99" i="22" s="1"/>
  <c r="AP98" i="22"/>
  <c r="AP99" i="22" s="1"/>
  <c r="AX98" i="22"/>
  <c r="AX99" i="22" s="1"/>
  <c r="BF98" i="22"/>
  <c r="BF99" i="22" s="1"/>
  <c r="BN98" i="22"/>
  <c r="BN99" i="22" s="1"/>
  <c r="BV98" i="22"/>
  <c r="BV99" i="22" s="1"/>
  <c r="CD98" i="22"/>
  <c r="CD99" i="22" s="1"/>
  <c r="CL98" i="22"/>
  <c r="CL99" i="22" s="1"/>
  <c r="CT98" i="22"/>
  <c r="CT99" i="22" s="1"/>
  <c r="DB98" i="22"/>
  <c r="DB99" i="22" s="1"/>
  <c r="DJ98" i="22"/>
  <c r="DJ99" i="22" s="1"/>
  <c r="DR98" i="22"/>
  <c r="DR99" i="22" s="1"/>
  <c r="DZ98" i="22"/>
  <c r="DZ99" i="22" s="1"/>
  <c r="EH98" i="22"/>
  <c r="EH99" i="22" s="1"/>
  <c r="K98" i="22"/>
  <c r="K99" i="22" s="1"/>
  <c r="AA98" i="22"/>
  <c r="AA99" i="22" s="1"/>
  <c r="AI98" i="22"/>
  <c r="AI99" i="22" s="1"/>
  <c r="AQ98" i="22"/>
  <c r="AQ99" i="22" s="1"/>
  <c r="AY98" i="22"/>
  <c r="AY99" i="22" s="1"/>
  <c r="BG98" i="22"/>
  <c r="BG99" i="22" s="1"/>
  <c r="BO98" i="22"/>
  <c r="BO99" i="22" s="1"/>
  <c r="BW98" i="22"/>
  <c r="BW99" i="22" s="1"/>
  <c r="CE98" i="22"/>
  <c r="CE99" i="22" s="1"/>
  <c r="CM98" i="22"/>
  <c r="CM99" i="22" s="1"/>
  <c r="CU98" i="22"/>
  <c r="CU99" i="22" s="1"/>
  <c r="DC98" i="22"/>
  <c r="DC99" i="22" s="1"/>
  <c r="DK98" i="22"/>
  <c r="DK99" i="22" s="1"/>
  <c r="DS98" i="22"/>
  <c r="DS99" i="22" s="1"/>
  <c r="EA98" i="22"/>
  <c r="EA99" i="22" s="1"/>
  <c r="L98" i="22"/>
  <c r="L99" i="22" s="1"/>
  <c r="T98" i="22"/>
  <c r="T99" i="22" s="1"/>
  <c r="AB98" i="22"/>
  <c r="AB99" i="22" s="1"/>
  <c r="AJ98" i="22"/>
  <c r="AJ99" i="22" s="1"/>
  <c r="AR98" i="22"/>
  <c r="AR99" i="22" s="1"/>
  <c r="AZ98" i="22"/>
  <c r="AZ99" i="22" s="1"/>
  <c r="BH98" i="22"/>
  <c r="BH99" i="22" s="1"/>
  <c r="BP98" i="22"/>
  <c r="BP99" i="22" s="1"/>
  <c r="BX98" i="22"/>
  <c r="BX99" i="22" s="1"/>
  <c r="CF98" i="22"/>
  <c r="CF99" i="22" s="1"/>
  <c r="CN98" i="22"/>
  <c r="CN99" i="22" s="1"/>
  <c r="CV98" i="22"/>
  <c r="CV99" i="22" s="1"/>
  <c r="DD98" i="22"/>
  <c r="DD99" i="22" s="1"/>
  <c r="DL98" i="22"/>
  <c r="DL99" i="22" s="1"/>
  <c r="DT98" i="22"/>
  <c r="DT99" i="22" s="1"/>
  <c r="EB98" i="22"/>
  <c r="EB99" i="22" s="1"/>
  <c r="EJ98" i="22"/>
  <c r="EJ99" i="22" s="1"/>
  <c r="F103" i="22"/>
  <c r="H16" i="48" s="1"/>
  <c r="J16" i="48" s="1"/>
  <c r="E103" i="22"/>
  <c r="D16" i="48" s="1"/>
  <c r="EM63" i="22"/>
  <c r="I80" i="22"/>
  <c r="I83" i="22" s="1"/>
  <c r="S7" i="21"/>
  <c r="S8" i="21" s="1"/>
  <c r="S9" i="21" s="1"/>
  <c r="S10" i="21" s="1"/>
  <c r="S11" i="21" s="1"/>
  <c r="S12" i="21" s="1"/>
  <c r="S13" i="21" s="1"/>
  <c r="S14" i="21" s="1"/>
  <c r="S15" i="21" s="1"/>
  <c r="S16" i="21" s="1"/>
  <c r="S17" i="21" s="1"/>
  <c r="S18" i="21" s="1"/>
  <c r="S19" i="21" s="1"/>
  <c r="S20" i="21" s="1"/>
  <c r="S21" i="21" s="1"/>
  <c r="S22" i="21" s="1"/>
  <c r="S23" i="21" s="1"/>
  <c r="S24" i="21" s="1"/>
  <c r="S25" i="21" s="1"/>
  <c r="S26" i="21" s="1"/>
  <c r="S27" i="21" s="1"/>
  <c r="S28" i="21" s="1"/>
  <c r="S29" i="21" s="1"/>
  <c r="S30" i="21" s="1"/>
  <c r="S31" i="21" s="1"/>
  <c r="S32" i="21" s="1"/>
  <c r="S33" i="21" s="1"/>
  <c r="S34" i="21" s="1"/>
  <c r="S35" i="21" s="1"/>
  <c r="S36" i="21" s="1"/>
  <c r="S37" i="21" s="1"/>
  <c r="S38" i="21" s="1"/>
  <c r="S39" i="21" s="1"/>
  <c r="S40" i="21" s="1"/>
  <c r="S41" i="21" s="1"/>
  <c r="S42" i="21" s="1"/>
  <c r="S43" i="21" s="1"/>
  <c r="S44" i="21" s="1"/>
  <c r="S45" i="21" s="1"/>
  <c r="S46" i="21" s="1"/>
  <c r="S47" i="21" s="1"/>
  <c r="S48" i="21" s="1"/>
  <c r="S49" i="21" s="1"/>
  <c r="S50" i="21" s="1"/>
  <c r="S51" i="21" s="1"/>
  <c r="S52" i="21" s="1"/>
  <c r="S53" i="21" s="1"/>
  <c r="S54" i="21" s="1"/>
  <c r="S55" i="21" s="1"/>
  <c r="S56" i="21" s="1"/>
  <c r="S57" i="21" s="1"/>
  <c r="S58" i="21" s="1"/>
  <c r="S59" i="21" s="1"/>
  <c r="S60" i="21" s="1"/>
  <c r="S61" i="21" s="1"/>
  <c r="S62" i="21" s="1"/>
  <c r="S63" i="21" s="1"/>
  <c r="S64" i="21" s="1"/>
  <c r="S65" i="21" s="1"/>
  <c r="S66" i="21" s="1"/>
  <c r="S67" i="21" s="1"/>
  <c r="S68" i="21" s="1"/>
  <c r="S69" i="21" s="1"/>
  <c r="S70" i="21" s="1"/>
  <c r="S71" i="21" s="1"/>
  <c r="S72" i="21" s="1"/>
  <c r="S73" i="21" s="1"/>
  <c r="S74" i="21" s="1"/>
  <c r="S75" i="21" s="1"/>
  <c r="S76" i="21" s="1"/>
  <c r="S77" i="21" s="1"/>
  <c r="S78" i="21" s="1"/>
  <c r="S79" i="21" s="1"/>
  <c r="S80" i="21" s="1"/>
  <c r="S81" i="21" s="1"/>
  <c r="S82" i="21" s="1"/>
  <c r="S83" i="21" s="1"/>
  <c r="S84" i="21" s="1"/>
  <c r="S85" i="21" s="1"/>
  <c r="S86" i="21" s="1"/>
  <c r="S87" i="21" s="1"/>
  <c r="S88" i="21" s="1"/>
  <c r="S89" i="21" s="1"/>
  <c r="S90" i="21" s="1"/>
  <c r="S91" i="21" s="1"/>
  <c r="S92" i="21" s="1"/>
  <c r="S93" i="21" s="1"/>
  <c r="S94" i="21" s="1"/>
  <c r="S95" i="21" s="1"/>
  <c r="S96" i="21" s="1"/>
  <c r="S97" i="21" s="1"/>
  <c r="S98" i="21" s="1"/>
  <c r="S99" i="21" s="1"/>
  <c r="S100" i="21" s="1"/>
  <c r="S101" i="21" s="1"/>
  <c r="S102" i="21" s="1"/>
  <c r="S103" i="21" s="1"/>
  <c r="S104" i="21" s="1"/>
  <c r="S105" i="21" s="1"/>
  <c r="S106" i="21" s="1"/>
  <c r="S107" i="21" s="1"/>
  <c r="S108" i="21" s="1"/>
  <c r="S109" i="21" s="1"/>
  <c r="S110" i="21" s="1"/>
  <c r="S111" i="21" s="1"/>
  <c r="S112" i="21" s="1"/>
  <c r="S113" i="21" s="1"/>
  <c r="S114" i="21" s="1"/>
  <c r="S115" i="21" s="1"/>
  <c r="S116" i="21" s="1"/>
  <c r="S117" i="21" s="1"/>
  <c r="S118" i="21" s="1"/>
  <c r="S119" i="21" s="1"/>
  <c r="S120" i="21" s="1"/>
  <c r="S121" i="21" s="1"/>
  <c r="S122" i="21" s="1"/>
  <c r="S123" i="21" s="1"/>
  <c r="S124" i="21" s="1"/>
  <c r="S125" i="21" s="1"/>
  <c r="S126" i="21" s="1"/>
  <c r="S127" i="21" s="1"/>
  <c r="S128" i="21" s="1"/>
  <c r="S129" i="21" s="1"/>
  <c r="S130" i="21" s="1"/>
  <c r="S131" i="21" s="1"/>
  <c r="S132" i="21" s="1"/>
  <c r="S133" i="21" s="1"/>
  <c r="S134" i="21" s="1"/>
  <c r="S135" i="21" s="1"/>
  <c r="S136" i="21" s="1"/>
  <c r="S137" i="21" s="1"/>
  <c r="S138" i="21" s="1"/>
  <c r="S139" i="21" s="1"/>
  <c r="S140" i="21" s="1"/>
  <c r="S141" i="21" s="1"/>
  <c r="S142" i="21" s="1"/>
  <c r="S143" i="21" s="1"/>
  <c r="S144" i="21" s="1"/>
  <c r="S145" i="21" s="1"/>
  <c r="S146" i="21" s="1"/>
  <c r="S147" i="21" s="1"/>
  <c r="S148" i="21" s="1"/>
  <c r="S149" i="21" s="1"/>
  <c r="S150" i="21" s="1"/>
  <c r="S151" i="21" s="1"/>
  <c r="S152" i="21" s="1"/>
  <c r="S153" i="21" s="1"/>
  <c r="S154" i="21" s="1"/>
  <c r="S155" i="21" s="1"/>
  <c r="S156" i="21" s="1"/>
  <c r="S157" i="21" s="1"/>
  <c r="S158" i="21" s="1"/>
  <c r="S159" i="21" s="1"/>
  <c r="S160" i="21" s="1"/>
  <c r="S161" i="21" s="1"/>
  <c r="S162" i="21" s="1"/>
  <c r="S163" i="21" s="1"/>
  <c r="S164" i="21" s="1"/>
  <c r="S165" i="21" s="1"/>
  <c r="S166" i="21" s="1"/>
  <c r="S167" i="21" s="1"/>
  <c r="S168" i="21" s="1"/>
  <c r="S169" i="21" s="1"/>
  <c r="S170" i="21" s="1"/>
  <c r="S171" i="21" s="1"/>
  <c r="S172" i="21" s="1"/>
  <c r="S173" i="21" s="1"/>
  <c r="S174" i="21" s="1"/>
  <c r="S175" i="21" s="1"/>
  <c r="S176" i="21" s="1"/>
  <c r="S177" i="21" s="1"/>
  <c r="S178" i="21" s="1"/>
  <c r="S179" i="21" s="1"/>
  <c r="S180" i="21" s="1"/>
  <c r="S181" i="21" s="1"/>
  <c r="S182" i="21" s="1"/>
  <c r="S183" i="21" s="1"/>
  <c r="S184" i="21" s="1"/>
  <c r="S185" i="21" s="1"/>
  <c r="S186" i="21" s="1"/>
  <c r="S187" i="21" s="1"/>
  <c r="S188" i="21" s="1"/>
  <c r="S189" i="21" s="1"/>
  <c r="S190" i="21" s="1"/>
  <c r="S191" i="21" s="1"/>
  <c r="S192" i="21" s="1"/>
  <c r="S193" i="21" s="1"/>
  <c r="S194" i="21" s="1"/>
  <c r="S195" i="21" s="1"/>
  <c r="S196" i="21" s="1"/>
  <c r="S197" i="21" s="1"/>
  <c r="S198" i="21" s="1"/>
  <c r="S199" i="21" s="1"/>
  <c r="S200" i="21" s="1"/>
  <c r="S201" i="21" s="1"/>
  <c r="S202" i="21" s="1"/>
  <c r="S203" i="21" s="1"/>
  <c r="S204" i="21" s="1"/>
  <c r="S205" i="21" s="1"/>
  <c r="S206" i="21" s="1"/>
  <c r="S207" i="21" s="1"/>
  <c r="S208" i="21" s="1"/>
  <c r="S209" i="21" s="1"/>
  <c r="S210" i="21" s="1"/>
  <c r="S211" i="21" s="1"/>
  <c r="S212" i="21" s="1"/>
  <c r="S213" i="21" s="1"/>
  <c r="S214" i="21" s="1"/>
  <c r="S215" i="21" s="1"/>
  <c r="S216" i="21" s="1"/>
  <c r="S217" i="21" s="1"/>
  <c r="S218" i="21" s="1"/>
  <c r="S219" i="21" s="1"/>
  <c r="S220" i="21" s="1"/>
  <c r="S221" i="21" s="1"/>
  <c r="S222" i="21" s="1"/>
  <c r="S223" i="21" s="1"/>
  <c r="S224" i="21" s="1"/>
  <c r="S225" i="21" s="1"/>
  <c r="S226" i="21" s="1"/>
  <c r="S227" i="21" s="1"/>
  <c r="S228" i="21" s="1"/>
  <c r="S229" i="21" s="1"/>
  <c r="S230" i="21" s="1"/>
  <c r="S231" i="21" s="1"/>
  <c r="S232" i="21" s="1"/>
  <c r="S233" i="21" s="1"/>
  <c r="S234" i="21" s="1"/>
  <c r="S235" i="21" s="1"/>
  <c r="S236" i="21" s="1"/>
  <c r="S237" i="21" s="1"/>
  <c r="S238" i="21" s="1"/>
  <c r="S239" i="21" s="1"/>
  <c r="S240" i="21" s="1"/>
  <c r="S241" i="21" s="1"/>
  <c r="S242" i="21" s="1"/>
  <c r="S243" i="21" s="1"/>
  <c r="S244" i="21" s="1"/>
  <c r="S245" i="21" s="1"/>
  <c r="S246" i="21" s="1"/>
  <c r="S247" i="21" s="1"/>
  <c r="S248" i="21" s="1"/>
  <c r="S249" i="21" s="1"/>
  <c r="S250" i="21" s="1"/>
  <c r="S251" i="21" s="1"/>
  <c r="S252" i="21" s="1"/>
  <c r="S253" i="21" s="1"/>
  <c r="S254" i="21" s="1"/>
  <c r="S255" i="21" s="1"/>
  <c r="S256" i="21" s="1"/>
  <c r="S257" i="21" s="1"/>
  <c r="S258" i="21" s="1"/>
  <c r="S259" i="21" s="1"/>
  <c r="S260" i="21" s="1"/>
  <c r="S261" i="21" s="1"/>
  <c r="S262" i="21" s="1"/>
  <c r="S263" i="21" s="1"/>
  <c r="S264" i="21" s="1"/>
  <c r="S265" i="21" s="1"/>
  <c r="S266" i="21" s="1"/>
  <c r="S267" i="21" s="1"/>
  <c r="S268" i="21" s="1"/>
  <c r="S269" i="21" s="1"/>
  <c r="S270" i="21" s="1"/>
  <c r="S271" i="21" s="1"/>
  <c r="S272" i="21" s="1"/>
  <c r="S273" i="21" s="1"/>
  <c r="S274" i="21" s="1"/>
  <c r="S275" i="21" s="1"/>
  <c r="S276" i="21" s="1"/>
  <c r="S277" i="21" s="1"/>
  <c r="S278" i="21" s="1"/>
  <c r="S279" i="21" s="1"/>
  <c r="S280" i="21" s="1"/>
  <c r="S281" i="21" s="1"/>
  <c r="S282" i="21" s="1"/>
  <c r="S283" i="21" s="1"/>
  <c r="S284" i="21" s="1"/>
  <c r="S285" i="21" s="1"/>
  <c r="S286" i="21" s="1"/>
  <c r="S287" i="21" s="1"/>
  <c r="S288" i="21" s="1"/>
  <c r="S289" i="21" s="1"/>
  <c r="S290" i="21" s="1"/>
  <c r="S291" i="21" s="1"/>
  <c r="S292" i="21" s="1"/>
  <c r="S293" i="21" s="1"/>
  <c r="S294" i="21" s="1"/>
  <c r="S295" i="21" s="1"/>
  <c r="S296" i="21" s="1"/>
  <c r="S297" i="21" s="1"/>
  <c r="S298" i="21" s="1"/>
  <c r="S299" i="21" s="1"/>
  <c r="S300" i="21" s="1"/>
  <c r="S301" i="21" s="1"/>
  <c r="S302" i="21" s="1"/>
  <c r="S303" i="21" s="1"/>
  <c r="S304" i="21" s="1"/>
  <c r="S305" i="21" s="1"/>
  <c r="S306" i="21" s="1"/>
  <c r="S307" i="21" s="1"/>
  <c r="S308" i="21" s="1"/>
  <c r="S309" i="21" s="1"/>
  <c r="S310" i="21" s="1"/>
  <c r="S311" i="21" s="1"/>
  <c r="S312" i="21" s="1"/>
  <c r="S313" i="21" s="1"/>
  <c r="S314" i="21" s="1"/>
  <c r="S315" i="21" s="1"/>
  <c r="S316" i="21" s="1"/>
  <c r="S317" i="21" s="1"/>
  <c r="S318" i="21" s="1"/>
  <c r="S319" i="21" s="1"/>
  <c r="S320" i="21" s="1"/>
  <c r="S321" i="21" s="1"/>
  <c r="S322" i="21" s="1"/>
  <c r="S323" i="21" s="1"/>
  <c r="S324" i="21" s="1"/>
  <c r="S325" i="21" s="1"/>
  <c r="S326" i="21" s="1"/>
  <c r="S327" i="21" s="1"/>
  <c r="S328" i="21" s="1"/>
  <c r="S329" i="21" s="1"/>
  <c r="S330" i="21" s="1"/>
  <c r="S331" i="21" s="1"/>
  <c r="S332" i="21" s="1"/>
  <c r="S333" i="21" s="1"/>
  <c r="S334" i="21" s="1"/>
  <c r="S335" i="21" s="1"/>
  <c r="S336" i="21" s="1"/>
  <c r="S337" i="21" s="1"/>
  <c r="S338" i="21" s="1"/>
  <c r="S339" i="21" s="1"/>
  <c r="S340" i="21" s="1"/>
  <c r="S341" i="21" s="1"/>
  <c r="S342" i="21" s="1"/>
  <c r="S343" i="21" s="1"/>
  <c r="S344" i="21" s="1"/>
  <c r="S345" i="21" s="1"/>
  <c r="S346" i="21" s="1"/>
  <c r="S347" i="21" s="1"/>
  <c r="S348" i="21" s="1"/>
  <c r="S349" i="21" s="1"/>
  <c r="S350" i="21" s="1"/>
  <c r="S351" i="21" s="1"/>
  <c r="S352" i="21" s="1"/>
  <c r="S353" i="21" s="1"/>
  <c r="S354" i="21" s="1"/>
  <c r="S355" i="21" s="1"/>
  <c r="S356" i="21" s="1"/>
  <c r="S357" i="21" s="1"/>
  <c r="S358" i="21" s="1"/>
  <c r="S359" i="21" s="1"/>
  <c r="S360" i="21" s="1"/>
  <c r="S361" i="21" s="1"/>
  <c r="S362" i="21" s="1"/>
  <c r="S363" i="21" s="1"/>
  <c r="S364" i="21" s="1"/>
  <c r="S365" i="21" s="1"/>
  <c r="EN77" i="22"/>
  <c r="EP77" i="22"/>
  <c r="EW77" i="22"/>
  <c r="V6" i="21"/>
  <c r="U6" i="21" s="1"/>
  <c r="EU77" i="22"/>
  <c r="EQ77" i="22"/>
  <c r="ES77" i="22"/>
  <c r="EM77" i="22"/>
  <c r="EO77" i="22"/>
  <c r="EM103" i="22"/>
  <c r="EV77" i="22"/>
  <c r="EX77" i="22"/>
  <c r="ET77" i="22"/>
  <c r="ER77" i="22"/>
  <c r="I61" i="22"/>
  <c r="I63" i="22" s="1"/>
  <c r="K20" i="22"/>
  <c r="K21" i="22" s="1"/>
  <c r="K18" i="22"/>
  <c r="K16" i="22"/>
  <c r="K22" i="22" s="1"/>
  <c r="K17" i="22"/>
  <c r="J19" i="22"/>
  <c r="J23" i="22" s="1"/>
  <c r="M9" i="22"/>
  <c r="L8" i="22"/>
  <c r="L15" i="22" s="1"/>
  <c r="I81" i="22" l="1"/>
  <c r="I82" i="22" s="1"/>
  <c r="I84" i="22" s="1"/>
  <c r="F16" i="48"/>
  <c r="EM80" i="22"/>
  <c r="EM83" i="22" s="1"/>
  <c r="E98" i="22"/>
  <c r="D11" i="48" s="1"/>
  <c r="F98" i="22"/>
  <c r="H11" i="48" s="1"/>
  <c r="J11" i="48" s="1"/>
  <c r="J80" i="22"/>
  <c r="W6" i="21"/>
  <c r="T7" i="21" s="1"/>
  <c r="EU98" i="22"/>
  <c r="EU99" i="22" s="1"/>
  <c r="I99" i="22"/>
  <c r="EM98" i="22"/>
  <c r="EM99" i="22" s="1"/>
  <c r="EQ98" i="22"/>
  <c r="EQ99" i="22" s="1"/>
  <c r="ET98" i="22"/>
  <c r="ET99" i="22" s="1"/>
  <c r="EO98" i="22"/>
  <c r="EO99" i="22" s="1"/>
  <c r="EP98" i="22"/>
  <c r="EP99" i="22" s="1"/>
  <c r="ES98" i="22"/>
  <c r="ES99" i="22" s="1"/>
  <c r="EX98" i="22"/>
  <c r="EX99" i="22" s="1"/>
  <c r="EN98" i="22"/>
  <c r="EN99" i="22" s="1"/>
  <c r="ER98" i="22"/>
  <c r="ER99" i="22" s="1"/>
  <c r="EV98" i="22"/>
  <c r="EV99" i="22" s="1"/>
  <c r="EW98" i="22"/>
  <c r="EW99" i="22" s="1"/>
  <c r="EN103" i="22"/>
  <c r="J29" i="22"/>
  <c r="J37" i="22"/>
  <c r="L16" i="22"/>
  <c r="L22" i="22" s="1"/>
  <c r="L17" i="22"/>
  <c r="L20" i="22"/>
  <c r="L21" i="22" s="1"/>
  <c r="L18" i="22"/>
  <c r="N9" i="22"/>
  <c r="M8" i="22"/>
  <c r="M15" i="22" s="1"/>
  <c r="K19" i="22"/>
  <c r="K23" i="22" s="1"/>
  <c r="I86" i="22" l="1"/>
  <c r="I102" i="22" s="1"/>
  <c r="E102" i="22" s="1"/>
  <c r="D15" i="48" s="1"/>
  <c r="F15" i="48" s="1"/>
  <c r="EM81" i="22"/>
  <c r="EM86" i="22" s="1"/>
  <c r="F11" i="48"/>
  <c r="F99" i="22"/>
  <c r="E99" i="22"/>
  <c r="J78" i="22"/>
  <c r="V7" i="21"/>
  <c r="U7" i="21" s="1"/>
  <c r="K80" i="22" s="1"/>
  <c r="J42" i="22"/>
  <c r="J44" i="22" s="1"/>
  <c r="M17" i="22"/>
  <c r="M16" i="22"/>
  <c r="M22" i="22" s="1"/>
  <c r="M20" i="22"/>
  <c r="M21" i="22" s="1"/>
  <c r="M18" i="22"/>
  <c r="K29" i="22"/>
  <c r="K37" i="22"/>
  <c r="K42" i="22" s="1"/>
  <c r="O9" i="22"/>
  <c r="N8" i="22"/>
  <c r="N15" i="22" s="1"/>
  <c r="L19" i="22"/>
  <c r="L23" i="22" s="1"/>
  <c r="EM102" i="22" l="1"/>
  <c r="I104" i="22"/>
  <c r="E104" i="22" s="1"/>
  <c r="D17" i="48" s="1"/>
  <c r="F17" i="48" s="1"/>
  <c r="EM82" i="22"/>
  <c r="EM84" i="22" s="1"/>
  <c r="J46" i="22"/>
  <c r="J47" i="22"/>
  <c r="J12" i="48"/>
  <c r="H12" i="48"/>
  <c r="J81" i="22"/>
  <c r="J82" i="22" s="1"/>
  <c r="J84" i="22" s="1"/>
  <c r="J75" i="22"/>
  <c r="J83" i="22" s="1"/>
  <c r="EO103" i="22"/>
  <c r="F12" i="48"/>
  <c r="D12" i="48"/>
  <c r="W7" i="21"/>
  <c r="T8" i="21" s="1"/>
  <c r="EM104" i="22"/>
  <c r="J54" i="22"/>
  <c r="N16" i="22"/>
  <c r="N22" i="22" s="1"/>
  <c r="N20" i="22"/>
  <c r="N21" i="22" s="1"/>
  <c r="N17" i="22"/>
  <c r="N18" i="22"/>
  <c r="M19" i="22"/>
  <c r="M23" i="22" s="1"/>
  <c r="L29" i="22"/>
  <c r="L37" i="22"/>
  <c r="K44" i="22"/>
  <c r="P9" i="22"/>
  <c r="O8" i="22"/>
  <c r="O15" i="22" s="1"/>
  <c r="EM105" i="22" l="1"/>
  <c r="EM107" i="22" s="1"/>
  <c r="EN78" i="22"/>
  <c r="E9" i="48"/>
  <c r="E8" i="48"/>
  <c r="E10" i="48"/>
  <c r="E11" i="48"/>
  <c r="K46" i="22"/>
  <c r="K47" i="22"/>
  <c r="I11" i="48"/>
  <c r="I9" i="48"/>
  <c r="I8" i="48"/>
  <c r="I10" i="48"/>
  <c r="V8" i="21"/>
  <c r="U8" i="21" s="1"/>
  <c r="L80" i="22" s="1"/>
  <c r="K78" i="22"/>
  <c r="E105" i="22"/>
  <c r="E107" i="22" s="1"/>
  <c r="K54" i="22"/>
  <c r="L42" i="22"/>
  <c r="L44" i="22" s="1"/>
  <c r="N19" i="22"/>
  <c r="N23" i="22" s="1"/>
  <c r="O16" i="22"/>
  <c r="O22" i="22" s="1"/>
  <c r="O20" i="22"/>
  <c r="O21" i="22" s="1"/>
  <c r="O18" i="22"/>
  <c r="O17" i="22"/>
  <c r="M29" i="22"/>
  <c r="M37" i="22"/>
  <c r="M42" i="22" s="1"/>
  <c r="Q9" i="22"/>
  <c r="P8" i="22"/>
  <c r="P15" i="22" s="1"/>
  <c r="L46" i="22" l="1"/>
  <c r="L47" i="22"/>
  <c r="I12" i="48"/>
  <c r="E12" i="48"/>
  <c r="K81" i="22"/>
  <c r="K82" i="22" s="1"/>
  <c r="K84" i="22" s="1"/>
  <c r="K75" i="22"/>
  <c r="K83" i="22" s="1"/>
  <c r="W8" i="21"/>
  <c r="T9" i="21" s="1"/>
  <c r="EP103" i="22"/>
  <c r="F18" i="48"/>
  <c r="D18" i="48"/>
  <c r="L54" i="22"/>
  <c r="N29" i="22"/>
  <c r="N37" i="22"/>
  <c r="N42" i="22" s="1"/>
  <c r="M44" i="22"/>
  <c r="P16" i="22"/>
  <c r="P22" i="22" s="1"/>
  <c r="P20" i="22"/>
  <c r="P21" i="22" s="1"/>
  <c r="P18" i="22"/>
  <c r="P17" i="22"/>
  <c r="O19" i="22"/>
  <c r="O23" i="22" s="1"/>
  <c r="R9" i="22"/>
  <c r="Q8" i="22"/>
  <c r="Q15" i="22" s="1"/>
  <c r="E16" i="48" l="1"/>
  <c r="E15" i="48"/>
  <c r="E17" i="48"/>
  <c r="M46" i="22"/>
  <c r="M47" i="22"/>
  <c r="V9" i="21"/>
  <c r="U9" i="21" s="1"/>
  <c r="M80" i="22" s="1"/>
  <c r="L78" i="22"/>
  <c r="N44" i="22"/>
  <c r="M54" i="22"/>
  <c r="P19" i="22"/>
  <c r="P23" i="22" s="1"/>
  <c r="Q16" i="22"/>
  <c r="Q22" i="22" s="1"/>
  <c r="Q20" i="22"/>
  <c r="Q21" i="22" s="1"/>
  <c r="Q17" i="22"/>
  <c r="Q18" i="22"/>
  <c r="O37" i="22"/>
  <c r="O29" i="22"/>
  <c r="S9" i="22"/>
  <c r="R8" i="22"/>
  <c r="R15" i="22" s="1"/>
  <c r="N46" i="22" l="1"/>
  <c r="N47" i="22"/>
  <c r="L75" i="22"/>
  <c r="L83" i="22" s="1"/>
  <c r="L81" i="22"/>
  <c r="L82" i="22" s="1"/>
  <c r="L84" i="22" s="1"/>
  <c r="EQ103" i="22"/>
  <c r="W9" i="21"/>
  <c r="T10" i="21" s="1"/>
  <c r="E18" i="48"/>
  <c r="N54" i="22"/>
  <c r="O42" i="22"/>
  <c r="O44" i="22" s="1"/>
  <c r="R16" i="22"/>
  <c r="R22" i="22" s="1"/>
  <c r="R20" i="22"/>
  <c r="R21" i="22" s="1"/>
  <c r="R18" i="22"/>
  <c r="R17" i="22"/>
  <c r="Q19" i="22"/>
  <c r="Q23" i="22" s="1"/>
  <c r="P37" i="22"/>
  <c r="P42" i="22" s="1"/>
  <c r="P29" i="22"/>
  <c r="T9" i="22"/>
  <c r="S8" i="22"/>
  <c r="S15" i="22" s="1"/>
  <c r="O46" i="22" l="1"/>
  <c r="O47" i="22"/>
  <c r="V10" i="21"/>
  <c r="U10" i="21" s="1"/>
  <c r="N80" i="22" s="1"/>
  <c r="M78" i="22"/>
  <c r="O54" i="22"/>
  <c r="Q37" i="22"/>
  <c r="Q42" i="22" s="1"/>
  <c r="Q29" i="22"/>
  <c r="R19" i="22"/>
  <c r="R23" i="22" s="1"/>
  <c r="S16" i="22"/>
  <c r="S22" i="22" s="1"/>
  <c r="S20" i="22"/>
  <c r="S21" i="22" s="1"/>
  <c r="S18" i="22"/>
  <c r="S17" i="22"/>
  <c r="P44" i="22"/>
  <c r="U9" i="22"/>
  <c r="EN9" i="22" s="1"/>
  <c r="T8" i="22"/>
  <c r="T15" i="22" s="1"/>
  <c r="P46" i="22" l="1"/>
  <c r="P47" i="22"/>
  <c r="M81" i="22"/>
  <c r="M82" i="22" s="1"/>
  <c r="M84" i="22" s="1"/>
  <c r="M75" i="22"/>
  <c r="M83" i="22" s="1"/>
  <c r="ER103" i="22"/>
  <c r="W10" i="21"/>
  <c r="T11" i="21" s="1"/>
  <c r="P54" i="22"/>
  <c r="Q44" i="22"/>
  <c r="S19" i="22"/>
  <c r="S23" i="22" s="1"/>
  <c r="R37" i="22"/>
  <c r="R42" i="22" s="1"/>
  <c r="R29" i="22"/>
  <c r="T20" i="22"/>
  <c r="T21" i="22" s="1"/>
  <c r="T16" i="22"/>
  <c r="T22" i="22" s="1"/>
  <c r="T17" i="22"/>
  <c r="T18" i="22"/>
  <c r="V9" i="22"/>
  <c r="U8" i="22"/>
  <c r="EN8" i="22" s="1"/>
  <c r="Q46" i="22" l="1"/>
  <c r="Q47" i="22"/>
  <c r="N78" i="22"/>
  <c r="V11" i="21"/>
  <c r="U11" i="21" s="1"/>
  <c r="O80" i="22" s="1"/>
  <c r="ES103" i="22"/>
  <c r="Q54" i="22"/>
  <c r="U15" i="22"/>
  <c r="U16" i="22" s="1"/>
  <c r="U22" i="22" s="1"/>
  <c r="R44" i="22"/>
  <c r="T19" i="22"/>
  <c r="T23" i="22" s="1"/>
  <c r="S37" i="22"/>
  <c r="S42" i="22" s="1"/>
  <c r="S29" i="22"/>
  <c r="W9" i="22"/>
  <c r="V8" i="22"/>
  <c r="V15" i="22" s="1"/>
  <c r="R46" i="22" l="1"/>
  <c r="R47" i="22"/>
  <c r="ET103" i="22"/>
  <c r="W11" i="21"/>
  <c r="T12" i="21" s="1"/>
  <c r="N81" i="22"/>
  <c r="N82" i="22" s="1"/>
  <c r="N84" i="22" s="1"/>
  <c r="N75" i="22"/>
  <c r="N83" i="22" s="1"/>
  <c r="U18" i="22"/>
  <c r="U20" i="22"/>
  <c r="U21" i="22" s="1"/>
  <c r="R54" i="22"/>
  <c r="U17" i="22"/>
  <c r="S44" i="22"/>
  <c r="V16" i="22"/>
  <c r="V20" i="22"/>
  <c r="V21" i="22" s="1"/>
  <c r="V18" i="22"/>
  <c r="V17" i="22"/>
  <c r="T37" i="22"/>
  <c r="T42" i="22" s="1"/>
  <c r="T29" i="22"/>
  <c r="X9" i="22"/>
  <c r="W8" i="22"/>
  <c r="W15" i="22" s="1"/>
  <c r="S46" i="22" l="1"/>
  <c r="S47" i="22"/>
  <c r="U19" i="22"/>
  <c r="U23" i="22" s="1"/>
  <c r="V12" i="21"/>
  <c r="U12" i="21" s="1"/>
  <c r="P80" i="22" s="1"/>
  <c r="O78" i="22"/>
  <c r="EU103" i="22"/>
  <c r="S54" i="22"/>
  <c r="V22" i="22"/>
  <c r="T44" i="22"/>
  <c r="W16" i="22"/>
  <c r="W22" i="22" s="1"/>
  <c r="W20" i="22"/>
  <c r="W21" i="22" s="1"/>
  <c r="W17" i="22"/>
  <c r="W18" i="22"/>
  <c r="V19" i="22"/>
  <c r="V23" i="22" s="1"/>
  <c r="Y9" i="22"/>
  <c r="X8" i="22"/>
  <c r="X15" i="22" s="1"/>
  <c r="U37" i="22" l="1"/>
  <c r="U42" i="22" s="1"/>
  <c r="T46" i="22"/>
  <c r="T47" i="22"/>
  <c r="U29" i="22"/>
  <c r="EV103" i="22"/>
  <c r="O81" i="22"/>
  <c r="O82" i="22" s="1"/>
  <c r="O84" i="22" s="1"/>
  <c r="O75" i="22"/>
  <c r="O83" i="22" s="1"/>
  <c r="W12" i="21"/>
  <c r="T13" i="21" s="1"/>
  <c r="T54" i="22"/>
  <c r="W19" i="22"/>
  <c r="W23" i="22" s="1"/>
  <c r="X16" i="22"/>
  <c r="X22" i="22" s="1"/>
  <c r="X20" i="22"/>
  <c r="X21" i="22" s="1"/>
  <c r="X17" i="22"/>
  <c r="X18" i="22"/>
  <c r="V37" i="22"/>
  <c r="V29" i="22"/>
  <c r="Z9" i="22"/>
  <c r="Y8" i="22"/>
  <c r="Y15" i="22" s="1"/>
  <c r="U44" i="22" l="1"/>
  <c r="U46" i="22" s="1"/>
  <c r="V13" i="21"/>
  <c r="U13" i="21" s="1"/>
  <c r="Q80" i="22" s="1"/>
  <c r="P78" i="22"/>
  <c r="EW103" i="22"/>
  <c r="EX103" i="22"/>
  <c r="V42" i="22"/>
  <c r="V44" i="22" s="1"/>
  <c r="X19" i="22"/>
  <c r="X23" i="22" s="1"/>
  <c r="Y16" i="22"/>
  <c r="Y22" i="22" s="1"/>
  <c r="Y20" i="22"/>
  <c r="Y21" i="22" s="1"/>
  <c r="Y17" i="22"/>
  <c r="Y18" i="22"/>
  <c r="W37" i="22"/>
  <c r="W42" i="22" s="1"/>
  <c r="W29" i="22"/>
  <c r="AA9" i="22"/>
  <c r="Z8" i="22"/>
  <c r="Z15" i="22" s="1"/>
  <c r="U54" i="22" l="1"/>
  <c r="U47" i="22"/>
  <c r="V47" i="22"/>
  <c r="V46" i="22"/>
  <c r="W13" i="21"/>
  <c r="T14" i="21" s="1"/>
  <c r="V14" i="21" s="1"/>
  <c r="U14" i="21" s="1"/>
  <c r="R80" i="22" s="1"/>
  <c r="P75" i="22"/>
  <c r="P83" i="22" s="1"/>
  <c r="P81" i="22"/>
  <c r="P82" i="22" s="1"/>
  <c r="P84" i="22" s="1"/>
  <c r="V54" i="22"/>
  <c r="Z16" i="22"/>
  <c r="Z22" i="22" s="1"/>
  <c r="Z20" i="22"/>
  <c r="Z21" i="22" s="1"/>
  <c r="Z18" i="22"/>
  <c r="Z17" i="22"/>
  <c r="W44" i="22"/>
  <c r="J45" i="22"/>
  <c r="J59" i="22" s="1"/>
  <c r="Y19" i="22"/>
  <c r="Y23" i="22" s="1"/>
  <c r="X37" i="22"/>
  <c r="X42" i="22" s="1"/>
  <c r="X29" i="22"/>
  <c r="AB9" i="22"/>
  <c r="AA8" i="22"/>
  <c r="AA15" i="22" s="1"/>
  <c r="W46" i="22" l="1"/>
  <c r="W47" i="22"/>
  <c r="Q78" i="22"/>
  <c r="W14" i="21"/>
  <c r="T15" i="21" s="1"/>
  <c r="W54" i="22"/>
  <c r="J60" i="22"/>
  <c r="AA20" i="22"/>
  <c r="AA21" i="22" s="1"/>
  <c r="AA16" i="22"/>
  <c r="AA22" i="22" s="1"/>
  <c r="AA17" i="22"/>
  <c r="AA18" i="22"/>
  <c r="X44" i="22"/>
  <c r="Z19" i="22"/>
  <c r="Z23" i="22" s="1"/>
  <c r="K45" i="22"/>
  <c r="K59" i="22" s="1"/>
  <c r="K60" i="22" s="1"/>
  <c r="K61" i="22" s="1"/>
  <c r="K63" i="22" s="1"/>
  <c r="K86" i="22" s="1"/>
  <c r="Y37" i="22"/>
  <c r="Y42" i="22" s="1"/>
  <c r="Y29" i="22"/>
  <c r="AC9" i="22"/>
  <c r="AB8" i="22"/>
  <c r="AB15" i="22" s="1"/>
  <c r="X46" i="22" l="1"/>
  <c r="X47" i="22"/>
  <c r="Q75" i="22"/>
  <c r="Q83" i="22" s="1"/>
  <c r="Q81" i="22"/>
  <c r="Q82" i="22" s="1"/>
  <c r="Q84" i="22" s="1"/>
  <c r="V15" i="21"/>
  <c r="U15" i="21" s="1"/>
  <c r="S80" i="22" s="1"/>
  <c r="J61" i="22"/>
  <c r="J63" i="22" s="1"/>
  <c r="X54" i="22"/>
  <c r="Y44" i="22"/>
  <c r="Z37" i="22"/>
  <c r="Z42" i="22" s="1"/>
  <c r="Z29" i="22"/>
  <c r="L45" i="22"/>
  <c r="L59" i="22" s="1"/>
  <c r="AA19" i="22"/>
  <c r="AA23" i="22" s="1"/>
  <c r="AB16" i="22"/>
  <c r="AB22" i="22" s="1"/>
  <c r="AB20" i="22"/>
  <c r="AB21" i="22" s="1"/>
  <c r="AB17" i="22"/>
  <c r="AB18" i="22"/>
  <c r="AD9" i="22"/>
  <c r="AC8" i="22"/>
  <c r="AC15" i="22" s="1"/>
  <c r="Y46" i="22" l="1"/>
  <c r="Y47" i="22"/>
  <c r="W15" i="21"/>
  <c r="T16" i="21" s="1"/>
  <c r="R78" i="22"/>
  <c r="J86" i="22"/>
  <c r="Y54" i="22"/>
  <c r="M45" i="22"/>
  <c r="M59" i="22" s="1"/>
  <c r="L60" i="22"/>
  <c r="AB19" i="22"/>
  <c r="AB23" i="22" s="1"/>
  <c r="AA37" i="22"/>
  <c r="AA42" i="22" s="1"/>
  <c r="AA29" i="22"/>
  <c r="Z44" i="22"/>
  <c r="AC17" i="22"/>
  <c r="AC20" i="22"/>
  <c r="AC21" i="22" s="1"/>
  <c r="AC16" i="22"/>
  <c r="AC22" i="22" s="1"/>
  <c r="AC18" i="22"/>
  <c r="AE9" i="22"/>
  <c r="AD8" i="22"/>
  <c r="AD15" i="22" s="1"/>
  <c r="Z46" i="22" l="1"/>
  <c r="Z47" i="22"/>
  <c r="K102" i="22"/>
  <c r="K104" i="22" s="1"/>
  <c r="K105" i="22" s="1"/>
  <c r="K107" i="22" s="1"/>
  <c r="J102" i="22"/>
  <c r="R81" i="22"/>
  <c r="R82" i="22" s="1"/>
  <c r="R84" i="22" s="1"/>
  <c r="R75" i="22"/>
  <c r="R83" i="22" s="1"/>
  <c r="V16" i="21"/>
  <c r="U16" i="21" s="1"/>
  <c r="T80" i="22" s="1"/>
  <c r="M60" i="22"/>
  <c r="M61" i="22" s="1"/>
  <c r="M63" i="22" s="1"/>
  <c r="M86" i="22" s="1"/>
  <c r="Z54" i="22"/>
  <c r="L61" i="22"/>
  <c r="L63" i="22" s="1"/>
  <c r="AA44" i="22"/>
  <c r="AC19" i="22"/>
  <c r="AC23" i="22" s="1"/>
  <c r="N45" i="22"/>
  <c r="N59" i="22" s="1"/>
  <c r="AD16" i="22"/>
  <c r="AD22" i="22" s="1"/>
  <c r="AD20" i="22"/>
  <c r="AD21" i="22" s="1"/>
  <c r="AD18" i="22"/>
  <c r="AD17" i="22"/>
  <c r="AB37" i="22"/>
  <c r="AB42" i="22" s="1"/>
  <c r="AB29" i="22"/>
  <c r="AF9" i="22"/>
  <c r="AE8" i="22"/>
  <c r="AE15" i="22" s="1"/>
  <c r="AA46" i="22" l="1"/>
  <c r="AA47" i="22"/>
  <c r="J104" i="22"/>
  <c r="W16" i="21"/>
  <c r="T17" i="21" s="1"/>
  <c r="S78" i="22"/>
  <c r="L86" i="22"/>
  <c r="AA54" i="22"/>
  <c r="O45" i="22"/>
  <c r="O59" i="22" s="1"/>
  <c r="O60" i="22" s="1"/>
  <c r="O61" i="22" s="1"/>
  <c r="O63" i="22" s="1"/>
  <c r="O86" i="22" s="1"/>
  <c r="AB44" i="22"/>
  <c r="N60" i="22"/>
  <c r="AE20" i="22"/>
  <c r="AE21" i="22" s="1"/>
  <c r="AE16" i="22"/>
  <c r="AE22" i="22" s="1"/>
  <c r="AE18" i="22"/>
  <c r="AE17" i="22"/>
  <c r="AC37" i="22"/>
  <c r="AC42" i="22" s="1"/>
  <c r="AC29" i="22"/>
  <c r="AD19" i="22"/>
  <c r="AD23" i="22" s="1"/>
  <c r="AG9" i="22"/>
  <c r="EO9" i="22" s="1"/>
  <c r="AF8" i="22"/>
  <c r="AF15" i="22" s="1"/>
  <c r="P45" i="22" l="1"/>
  <c r="P59" i="22" s="1"/>
  <c r="P60" i="22" s="1"/>
  <c r="P61" i="22" s="1"/>
  <c r="P63" i="22" s="1"/>
  <c r="P86" i="22" s="1"/>
  <c r="AB46" i="22"/>
  <c r="AB47" i="22"/>
  <c r="M102" i="22"/>
  <c r="M104" i="22" s="1"/>
  <c r="M105" i="22" s="1"/>
  <c r="M107" i="22" s="1"/>
  <c r="L102" i="22"/>
  <c r="S75" i="22"/>
  <c r="S83" i="22" s="1"/>
  <c r="S81" i="22"/>
  <c r="S82" i="22" s="1"/>
  <c r="S84" i="22" s="1"/>
  <c r="V17" i="21"/>
  <c r="U17" i="21" s="1"/>
  <c r="U80" i="22" s="1"/>
  <c r="N61" i="22"/>
  <c r="N63" i="22" s="1"/>
  <c r="AB54" i="22"/>
  <c r="AE19" i="22"/>
  <c r="AE23" i="22" s="1"/>
  <c r="AF16" i="22"/>
  <c r="AF22" i="22" s="1"/>
  <c r="AF20" i="22"/>
  <c r="AF21" i="22" s="1"/>
  <c r="AF17" i="22"/>
  <c r="AF18" i="22"/>
  <c r="AD37" i="22"/>
  <c r="AD42" i="22" s="1"/>
  <c r="AD29" i="22"/>
  <c r="AC44" i="22"/>
  <c r="AH9" i="22"/>
  <c r="AG8" i="22"/>
  <c r="EO8" i="22" s="1"/>
  <c r="AC46" i="22" l="1"/>
  <c r="AC47" i="22"/>
  <c r="L104" i="22"/>
  <c r="W17" i="21"/>
  <c r="T18" i="21" s="1"/>
  <c r="V18" i="21" s="1"/>
  <c r="U18" i="21" s="1"/>
  <c r="V80" i="22" s="1"/>
  <c r="T78" i="22"/>
  <c r="N86" i="22"/>
  <c r="AC54" i="22"/>
  <c r="AG15" i="22"/>
  <c r="AG20" i="22" s="1"/>
  <c r="AG21" i="22" s="1"/>
  <c r="AD44" i="22"/>
  <c r="AE37" i="22"/>
  <c r="AE42" i="22" s="1"/>
  <c r="AE29" i="22"/>
  <c r="Q45" i="22"/>
  <c r="Q59" i="22" s="1"/>
  <c r="AF19" i="22"/>
  <c r="AF23" i="22" s="1"/>
  <c r="AI9" i="22"/>
  <c r="AH8" i="22"/>
  <c r="AH15" i="22" s="1"/>
  <c r="AG16" i="22" l="1"/>
  <c r="AG22" i="22" s="1"/>
  <c r="AD46" i="22"/>
  <c r="AD47" i="22"/>
  <c r="N102" i="22"/>
  <c r="O102" i="22"/>
  <c r="O104" i="22" s="1"/>
  <c r="O105" i="22" s="1"/>
  <c r="O107" i="22" s="1"/>
  <c r="P102" i="22"/>
  <c r="P104" i="22" s="1"/>
  <c r="P105" i="22" s="1"/>
  <c r="P107" i="22" s="1"/>
  <c r="L105" i="22"/>
  <c r="L107" i="22" s="1"/>
  <c r="T75" i="22"/>
  <c r="T83" i="22" s="1"/>
  <c r="T81" i="22"/>
  <c r="T82" i="22" s="1"/>
  <c r="T84" i="22" s="1"/>
  <c r="W18" i="21"/>
  <c r="T19" i="21" s="1"/>
  <c r="AG17" i="22"/>
  <c r="AG18" i="22"/>
  <c r="AD54" i="22"/>
  <c r="R45" i="22"/>
  <c r="R59" i="22" s="1"/>
  <c r="R60" i="22" s="1"/>
  <c r="R61" i="22" s="1"/>
  <c r="R63" i="22" s="1"/>
  <c r="R86" i="22" s="1"/>
  <c r="AE44" i="22"/>
  <c r="AI8" i="22"/>
  <c r="AI15" i="22" s="1"/>
  <c r="AJ9" i="22"/>
  <c r="AH16" i="22"/>
  <c r="AH20" i="22"/>
  <c r="AH21" i="22" s="1"/>
  <c r="AH17" i="22"/>
  <c r="AH18" i="22"/>
  <c r="Q60" i="22"/>
  <c r="AF37" i="22"/>
  <c r="AF42" i="22" s="1"/>
  <c r="AF29" i="22"/>
  <c r="AE46" i="22" l="1"/>
  <c r="AE47" i="22"/>
  <c r="N104" i="22"/>
  <c r="N105" i="22" s="1"/>
  <c r="N107" i="22" s="1"/>
  <c r="AG19" i="22"/>
  <c r="V19" i="21"/>
  <c r="U19" i="21" s="1"/>
  <c r="W80" i="22" s="1"/>
  <c r="U78" i="22"/>
  <c r="Q61" i="22"/>
  <c r="Q63" i="22" s="1"/>
  <c r="Q86" i="22" s="1"/>
  <c r="AE54" i="22"/>
  <c r="AH22" i="22"/>
  <c r="S45" i="22"/>
  <c r="S59" i="22" s="1"/>
  <c r="S60" i="22" s="1"/>
  <c r="S61" i="22" s="1"/>
  <c r="S63" i="22" s="1"/>
  <c r="S86" i="22" s="1"/>
  <c r="AF44" i="22"/>
  <c r="AJ8" i="22"/>
  <c r="AJ15" i="22" s="1"/>
  <c r="AK9" i="22"/>
  <c r="AI16" i="22"/>
  <c r="AI22" i="22" s="1"/>
  <c r="AI20" i="22"/>
  <c r="AI21" i="22" s="1"/>
  <c r="AI17" i="22"/>
  <c r="AI18" i="22"/>
  <c r="AH19" i="22"/>
  <c r="AH23" i="22" s="1"/>
  <c r="AF46" i="22" l="1"/>
  <c r="AF47" i="22"/>
  <c r="AG29" i="22"/>
  <c r="AG23" i="22"/>
  <c r="S102" i="22"/>
  <c r="S104" i="22" s="1"/>
  <c r="S105" i="22" s="1"/>
  <c r="S107" i="22" s="1"/>
  <c r="R102" i="22"/>
  <c r="R104" i="22" s="1"/>
  <c r="R105" i="22" s="1"/>
  <c r="R107" i="22" s="1"/>
  <c r="Q102" i="22"/>
  <c r="AG37" i="22"/>
  <c r="AG42" i="22" s="1"/>
  <c r="AG44" i="22" s="1"/>
  <c r="U75" i="22"/>
  <c r="U83" i="22" s="1"/>
  <c r="U81" i="22"/>
  <c r="U82" i="22" s="1"/>
  <c r="U84" i="22" s="1"/>
  <c r="W19" i="21"/>
  <c r="T20" i="21" s="1"/>
  <c r="AF54" i="22"/>
  <c r="T45" i="22"/>
  <c r="T59" i="22" s="1"/>
  <c r="T60" i="22" s="1"/>
  <c r="T61" i="22" s="1"/>
  <c r="T63" i="22" s="1"/>
  <c r="T86" i="22" s="1"/>
  <c r="AI19" i="22"/>
  <c r="AI23" i="22" s="1"/>
  <c r="AK8" i="22"/>
  <c r="AK15" i="22" s="1"/>
  <c r="AL9" i="22"/>
  <c r="AH37" i="22"/>
  <c r="AH29" i="22"/>
  <c r="AJ16" i="22"/>
  <c r="AJ20" i="22"/>
  <c r="AJ21" i="22" s="1"/>
  <c r="AJ17" i="22"/>
  <c r="AJ18" i="22"/>
  <c r="AG46" i="22" l="1"/>
  <c r="AG47" i="22"/>
  <c r="Q104" i="22"/>
  <c r="T102" i="22"/>
  <c r="T104" i="22" s="1"/>
  <c r="T105" i="22" s="1"/>
  <c r="T107" i="22" s="1"/>
  <c r="V20" i="21"/>
  <c r="U20" i="21" s="1"/>
  <c r="X80" i="22" s="1"/>
  <c r="V78" i="22"/>
  <c r="U45" i="22"/>
  <c r="U59" i="22" s="1"/>
  <c r="U60" i="22" s="1"/>
  <c r="U61" i="22" s="1"/>
  <c r="U63" i="22" s="1"/>
  <c r="U86" i="22" s="1"/>
  <c r="AG54" i="22"/>
  <c r="AH42" i="22"/>
  <c r="AH44" i="22" s="1"/>
  <c r="AJ22" i="22"/>
  <c r="AK17" i="22"/>
  <c r="AK16" i="22"/>
  <c r="AK22" i="22" s="1"/>
  <c r="AK20" i="22"/>
  <c r="AK21" i="22" s="1"/>
  <c r="AK18" i="22"/>
  <c r="AL8" i="22"/>
  <c r="AL15" i="22" s="1"/>
  <c r="AM9" i="22"/>
  <c r="AI37" i="22"/>
  <c r="AI42" i="22" s="1"/>
  <c r="AI29" i="22"/>
  <c r="AJ19" i="22"/>
  <c r="AJ23" i="22" s="1"/>
  <c r="AH46" i="22" l="1"/>
  <c r="AH47" i="22"/>
  <c r="Q105" i="22"/>
  <c r="Q107" i="22" s="1"/>
  <c r="U102" i="22"/>
  <c r="V81" i="22"/>
  <c r="V82" i="22" s="1"/>
  <c r="V84" i="22" s="1"/>
  <c r="V75" i="22"/>
  <c r="V83" i="22" s="1"/>
  <c r="W20" i="21"/>
  <c r="T21" i="21" s="1"/>
  <c r="AH54" i="22"/>
  <c r="V45" i="22"/>
  <c r="V59" i="22" s="1"/>
  <c r="AI44" i="22"/>
  <c r="AL16" i="22"/>
  <c r="AL20" i="22"/>
  <c r="AL21" i="22" s="1"/>
  <c r="AL17" i="22"/>
  <c r="AL18" i="22"/>
  <c r="AM8" i="22"/>
  <c r="AM15" i="22" s="1"/>
  <c r="AN9" i="22"/>
  <c r="AJ37" i="22"/>
  <c r="AJ42" i="22" s="1"/>
  <c r="AJ29" i="22"/>
  <c r="AK19" i="22"/>
  <c r="AK23" i="22" s="1"/>
  <c r="AI46" i="22" l="1"/>
  <c r="AI47" i="22"/>
  <c r="U104" i="22"/>
  <c r="U105" i="22" s="1"/>
  <c r="U107" i="22" s="1"/>
  <c r="W78" i="22"/>
  <c r="V21" i="21"/>
  <c r="U21" i="21" s="1"/>
  <c r="Y80" i="22" s="1"/>
  <c r="AI54" i="22"/>
  <c r="V60" i="22"/>
  <c r="AL22" i="22"/>
  <c r="W45" i="22"/>
  <c r="W59" i="22" s="1"/>
  <c r="W60" i="22" s="1"/>
  <c r="W61" i="22" s="1"/>
  <c r="W63" i="22" s="1"/>
  <c r="AM16" i="22"/>
  <c r="AM22" i="22" s="1"/>
  <c r="AM20" i="22"/>
  <c r="AM21" i="22" s="1"/>
  <c r="AM17" i="22"/>
  <c r="AM18" i="22"/>
  <c r="AL19" i="22"/>
  <c r="AL23" i="22" s="1"/>
  <c r="AO9" i="22"/>
  <c r="AN8" i="22"/>
  <c r="AN15" i="22" s="1"/>
  <c r="AK37" i="22"/>
  <c r="AK29" i="22"/>
  <c r="AJ44" i="22"/>
  <c r="AJ46" i="22" l="1"/>
  <c r="AJ47" i="22"/>
  <c r="W21" i="21"/>
  <c r="T22" i="21" s="1"/>
  <c r="W81" i="22"/>
  <c r="W82" i="22" s="1"/>
  <c r="W84" i="22" s="1"/>
  <c r="W75" i="22"/>
  <c r="W83" i="22" s="1"/>
  <c r="V61" i="22"/>
  <c r="V63" i="22" s="1"/>
  <c r="V86" i="22" s="1"/>
  <c r="AJ54" i="22"/>
  <c r="AK42" i="22"/>
  <c r="AK44" i="22" s="1"/>
  <c r="AP9" i="22"/>
  <c r="AO8" i="22"/>
  <c r="AO15" i="22" s="1"/>
  <c r="AN20" i="22"/>
  <c r="AN21" i="22" s="1"/>
  <c r="AN16" i="22"/>
  <c r="AN22" i="22" s="1"/>
  <c r="AN18" i="22"/>
  <c r="AN17" i="22"/>
  <c r="AL37" i="22"/>
  <c r="AL42" i="22" s="1"/>
  <c r="AL29" i="22"/>
  <c r="AM19" i="22"/>
  <c r="AM23" i="22" s="1"/>
  <c r="X45" i="22"/>
  <c r="X59" i="22" s="1"/>
  <c r="AK46" i="22" l="1"/>
  <c r="AK47" i="22"/>
  <c r="V102" i="22"/>
  <c r="V104" i="22" s="1"/>
  <c r="V105" i="22" s="1"/>
  <c r="V107" i="22" s="1"/>
  <c r="X78" i="22"/>
  <c r="V22" i="21"/>
  <c r="U22" i="21" s="1"/>
  <c r="Z80" i="22" s="1"/>
  <c r="W86" i="22"/>
  <c r="W102" i="22" s="1"/>
  <c r="W104" i="22" s="1"/>
  <c r="W105" i="22" s="1"/>
  <c r="W107" i="22" s="1"/>
  <c r="AK54" i="22"/>
  <c r="Y45" i="22"/>
  <c r="Y59" i="22" s="1"/>
  <c r="Y60" i="22" s="1"/>
  <c r="Y61" i="22" s="1"/>
  <c r="Y63" i="22" s="1"/>
  <c r="X60" i="22"/>
  <c r="AN19" i="22"/>
  <c r="AN23" i="22" s="1"/>
  <c r="AO16" i="22"/>
  <c r="AO20" i="22"/>
  <c r="AO21" i="22" s="1"/>
  <c r="AO17" i="22"/>
  <c r="AO18" i="22"/>
  <c r="AM37" i="22"/>
  <c r="AM42" i="22" s="1"/>
  <c r="AM29" i="22"/>
  <c r="AL44" i="22"/>
  <c r="AP8" i="22"/>
  <c r="AP15" i="22" s="1"/>
  <c r="AQ9" i="22"/>
  <c r="AL46" i="22" l="1"/>
  <c r="AL47" i="22"/>
  <c r="W22" i="21"/>
  <c r="T23" i="21" s="1"/>
  <c r="X75" i="22"/>
  <c r="X83" i="22" s="1"/>
  <c r="X81" i="22"/>
  <c r="X82" i="22" s="1"/>
  <c r="X84" i="22" s="1"/>
  <c r="EN104" i="22"/>
  <c r="EN102" i="22"/>
  <c r="X61" i="22"/>
  <c r="X63" i="22" s="1"/>
  <c r="AL54" i="22"/>
  <c r="AO22" i="22"/>
  <c r="AM44" i="22"/>
  <c r="AO19" i="22"/>
  <c r="AO23" i="22" s="1"/>
  <c r="AR9" i="22"/>
  <c r="AQ8" i="22"/>
  <c r="AQ15" i="22" s="1"/>
  <c r="AP16" i="22"/>
  <c r="AP22" i="22" s="1"/>
  <c r="AP20" i="22"/>
  <c r="AP21" i="22" s="1"/>
  <c r="AP18" i="22"/>
  <c r="AP17" i="22"/>
  <c r="AN37" i="22"/>
  <c r="AN29" i="22"/>
  <c r="Z45" i="22"/>
  <c r="Z59" i="22" s="1"/>
  <c r="Z60" i="22" s="1"/>
  <c r="Z61" i="22" s="1"/>
  <c r="Z63" i="22" s="1"/>
  <c r="AM46" i="22" l="1"/>
  <c r="AM47" i="22"/>
  <c r="Y78" i="22"/>
  <c r="X86" i="22"/>
  <c r="X102" i="22" s="1"/>
  <c r="X104" i="22" s="1"/>
  <c r="X105" i="22" s="1"/>
  <c r="X107" i="22" s="1"/>
  <c r="V23" i="21"/>
  <c r="U23" i="21" s="1"/>
  <c r="AA80" i="22" s="1"/>
  <c r="EN105" i="22"/>
  <c r="EN107" i="22" s="1"/>
  <c r="AM54" i="22"/>
  <c r="AN42" i="22"/>
  <c r="AN44" i="22" s="1"/>
  <c r="AA45" i="22"/>
  <c r="AA59" i="22" s="1"/>
  <c r="AP19" i="22"/>
  <c r="AP23" i="22" s="1"/>
  <c r="AQ20" i="22"/>
  <c r="AQ21" i="22" s="1"/>
  <c r="AQ16" i="22"/>
  <c r="AQ22" i="22" s="1"/>
  <c r="AQ18" i="22"/>
  <c r="AQ17" i="22"/>
  <c r="AR8" i="22"/>
  <c r="AR15" i="22" s="1"/>
  <c r="AS9" i="22"/>
  <c r="EP9" i="22" s="1"/>
  <c r="AO37" i="22"/>
  <c r="AO42" i="22" s="1"/>
  <c r="AO29" i="22"/>
  <c r="AN46" i="22" l="1"/>
  <c r="AN47" i="22"/>
  <c r="W23" i="21"/>
  <c r="T24" i="21" s="1"/>
  <c r="Y75" i="22"/>
  <c r="Y83" i="22" s="1"/>
  <c r="Y81" i="22"/>
  <c r="Y82" i="22" s="1"/>
  <c r="Y84" i="22" s="1"/>
  <c r="AA60" i="22"/>
  <c r="AN54" i="22"/>
  <c r="AB45" i="22"/>
  <c r="AB59" i="22" s="1"/>
  <c r="AB60" i="22" s="1"/>
  <c r="AB61" i="22" s="1"/>
  <c r="AB63" i="22" s="1"/>
  <c r="AO44" i="22"/>
  <c r="AQ19" i="22"/>
  <c r="AQ23" i="22" s="1"/>
  <c r="AR16" i="22"/>
  <c r="AR22" i="22" s="1"/>
  <c r="AR20" i="22"/>
  <c r="AR21" i="22" s="1"/>
  <c r="AR18" i="22"/>
  <c r="AR17" i="22"/>
  <c r="AS8" i="22"/>
  <c r="EP8" i="22" s="1"/>
  <c r="AT9" i="22"/>
  <c r="AP37" i="22"/>
  <c r="AP42" i="22" s="1"/>
  <c r="AP29" i="22"/>
  <c r="AO46" i="22" l="1"/>
  <c r="AO47" i="22"/>
  <c r="Z78" i="22"/>
  <c r="Y86" i="22"/>
  <c r="Y102" i="22" s="1"/>
  <c r="Y104" i="22" s="1"/>
  <c r="Y105" i="22" s="1"/>
  <c r="Y107" i="22" s="1"/>
  <c r="V24" i="21"/>
  <c r="U24" i="21" s="1"/>
  <c r="AB80" i="22" s="1"/>
  <c r="AO54" i="22"/>
  <c r="AA61" i="22"/>
  <c r="AA63" i="22" s="1"/>
  <c r="AS15" i="22"/>
  <c r="AS17" i="22" s="1"/>
  <c r="AP44" i="22"/>
  <c r="AU9" i="22"/>
  <c r="AT8" i="22"/>
  <c r="AT15" i="22" s="1"/>
  <c r="AR19" i="22"/>
  <c r="AR23" i="22" s="1"/>
  <c r="AQ37" i="22"/>
  <c r="AQ42" i="22" s="1"/>
  <c r="AQ29" i="22"/>
  <c r="AC45" i="22"/>
  <c r="AC59" i="22" s="1"/>
  <c r="AC60" i="22" s="1"/>
  <c r="AC61" i="22" s="1"/>
  <c r="AC63" i="22" s="1"/>
  <c r="AP46" i="22" l="1"/>
  <c r="AP47" i="22"/>
  <c r="W24" i="21"/>
  <c r="T25" i="21" s="1"/>
  <c r="V25" i="21" s="1"/>
  <c r="U25" i="21" s="1"/>
  <c r="AC80" i="22" s="1"/>
  <c r="Z75" i="22"/>
  <c r="Z83" i="22" s="1"/>
  <c r="Z81" i="22"/>
  <c r="Z82" i="22" s="1"/>
  <c r="Z84" i="22" s="1"/>
  <c r="AS18" i="22"/>
  <c r="AS20" i="22"/>
  <c r="AS21" i="22" s="1"/>
  <c r="AS16" i="22"/>
  <c r="AS22" i="22" s="1"/>
  <c r="AP54" i="22"/>
  <c r="AD45" i="22"/>
  <c r="AD59" i="22" s="1"/>
  <c r="AD60" i="22" s="1"/>
  <c r="AQ44" i="22"/>
  <c r="AR37" i="22"/>
  <c r="AR42" i="22" s="1"/>
  <c r="AR29" i="22"/>
  <c r="AT16" i="22"/>
  <c r="AT20" i="22"/>
  <c r="AT21" i="22" s="1"/>
  <c r="AT17" i="22"/>
  <c r="AT18" i="22"/>
  <c r="AU8" i="22"/>
  <c r="AU15" i="22" s="1"/>
  <c r="AV9" i="22"/>
  <c r="AQ46" i="22" l="1"/>
  <c r="AQ47" i="22"/>
  <c r="AA78" i="22"/>
  <c r="Z86" i="22"/>
  <c r="Z102" i="22" s="1"/>
  <c r="Z104" i="22" s="1"/>
  <c r="Z105" i="22" s="1"/>
  <c r="Z107" i="22" s="1"/>
  <c r="W25" i="21"/>
  <c r="T26" i="21" s="1"/>
  <c r="AS19" i="22"/>
  <c r="AS23" i="22" s="1"/>
  <c r="AD61" i="22"/>
  <c r="AD63" i="22" s="1"/>
  <c r="AT22" i="22"/>
  <c r="AQ54" i="22"/>
  <c r="AE45" i="22"/>
  <c r="AE59" i="22" s="1"/>
  <c r="AE60" i="22" s="1"/>
  <c r="AE61" i="22" s="1"/>
  <c r="AE63" i="22" s="1"/>
  <c r="AR44" i="22"/>
  <c r="AT19" i="22"/>
  <c r="AT23" i="22" s="1"/>
  <c r="AU16" i="22"/>
  <c r="AU22" i="22" s="1"/>
  <c r="AU20" i="22"/>
  <c r="AU21" i="22" s="1"/>
  <c r="AU17" i="22"/>
  <c r="AU18" i="22"/>
  <c r="AV8" i="22"/>
  <c r="AV15" i="22" s="1"/>
  <c r="AW9" i="22"/>
  <c r="AR46" i="22" l="1"/>
  <c r="AR47" i="22"/>
  <c r="AS29" i="22"/>
  <c r="AS37" i="22"/>
  <c r="AS42" i="22" s="1"/>
  <c r="V26" i="21"/>
  <c r="U26" i="21" s="1"/>
  <c r="AD80" i="22" s="1"/>
  <c r="AA81" i="22"/>
  <c r="AA82" i="22" s="1"/>
  <c r="AA84" i="22" s="1"/>
  <c r="AA75" i="22"/>
  <c r="AA83" i="22" s="1"/>
  <c r="AR54" i="22"/>
  <c r="AF45" i="22"/>
  <c r="AF59" i="22" s="1"/>
  <c r="AF60" i="22" s="1"/>
  <c r="AU19" i="22"/>
  <c r="AU23" i="22" s="1"/>
  <c r="AX9" i="22"/>
  <c r="AW8" i="22"/>
  <c r="AW15" i="22" s="1"/>
  <c r="AV16" i="22"/>
  <c r="AV20" i="22"/>
  <c r="AV21" i="22" s="1"/>
  <c r="AV18" i="22"/>
  <c r="AV17" i="22"/>
  <c r="AT37" i="22"/>
  <c r="AT29" i="22"/>
  <c r="AS44" i="22" l="1"/>
  <c r="AS46" i="22" s="1"/>
  <c r="AA86" i="22"/>
  <c r="AA102" i="22" s="1"/>
  <c r="AA104" i="22" s="1"/>
  <c r="AA105" i="22" s="1"/>
  <c r="AA107" i="22" s="1"/>
  <c r="AB78" i="22"/>
  <c r="W26" i="21"/>
  <c r="T27" i="21" s="1"/>
  <c r="AT42" i="22"/>
  <c r="AT44" i="22" s="1"/>
  <c r="AV22" i="22"/>
  <c r="AF61" i="22"/>
  <c r="AF63" i="22" s="1"/>
  <c r="AW16" i="22"/>
  <c r="AW22" i="22" s="1"/>
  <c r="AW20" i="22"/>
  <c r="AW21" i="22" s="1"/>
  <c r="AW18" i="22"/>
  <c r="AW17" i="22"/>
  <c r="AU37" i="22"/>
  <c r="AU42" i="22" s="1"/>
  <c r="AU29" i="22"/>
  <c r="AY9" i="22"/>
  <c r="AX8" i="22"/>
  <c r="AX15" i="22" s="1"/>
  <c r="AV19" i="22"/>
  <c r="AV23" i="22" s="1"/>
  <c r="AG45" i="22"/>
  <c r="AG59" i="22" s="1"/>
  <c r="AG60" i="22" s="1"/>
  <c r="AG61" i="22" s="1"/>
  <c r="AG63" i="22" s="1"/>
  <c r="AS54" i="22" l="1"/>
  <c r="AS47" i="22"/>
  <c r="AT46" i="22"/>
  <c r="AT47" i="22"/>
  <c r="V27" i="21"/>
  <c r="U27" i="21" s="1"/>
  <c r="AE80" i="22" s="1"/>
  <c r="AB75" i="22"/>
  <c r="AB83" i="22" s="1"/>
  <c r="AB81" i="22"/>
  <c r="AB82" i="22" s="1"/>
  <c r="AB84" i="22" s="1"/>
  <c r="AT54" i="22"/>
  <c r="AW19" i="22"/>
  <c r="AW23" i="22" s="1"/>
  <c r="AU44" i="22"/>
  <c r="AZ9" i="22"/>
  <c r="AY8" i="22"/>
  <c r="AY15" i="22" s="1"/>
  <c r="AV37" i="22"/>
  <c r="AV42" i="22" s="1"/>
  <c r="AV29" i="22"/>
  <c r="AX16" i="22"/>
  <c r="AX20" i="22"/>
  <c r="AX21" i="22" s="1"/>
  <c r="AX18" i="22"/>
  <c r="AX17" i="22"/>
  <c r="AH45" i="22"/>
  <c r="AH59" i="22" s="1"/>
  <c r="AU46" i="22" l="1"/>
  <c r="AU47" i="22"/>
  <c r="AC78" i="22"/>
  <c r="AB86" i="22"/>
  <c r="AB102" i="22" s="1"/>
  <c r="AB104" i="22" s="1"/>
  <c r="AB105" i="22" s="1"/>
  <c r="AB107" i="22" s="1"/>
  <c r="W27" i="21"/>
  <c r="T28" i="21" s="1"/>
  <c r="AU54" i="22"/>
  <c r="AW29" i="22"/>
  <c r="AX22" i="22"/>
  <c r="AW37" i="22"/>
  <c r="AW42" i="22" s="1"/>
  <c r="AI45" i="22"/>
  <c r="AI59" i="22" s="1"/>
  <c r="AI60" i="22" s="1"/>
  <c r="AI61" i="22" s="1"/>
  <c r="AI63" i="22" s="1"/>
  <c r="AV44" i="22"/>
  <c r="AX19" i="22"/>
  <c r="AH60" i="22"/>
  <c r="AY16" i="22"/>
  <c r="AY22" i="22" s="1"/>
  <c r="AY20" i="22"/>
  <c r="AY21" i="22" s="1"/>
  <c r="AY18" i="22"/>
  <c r="AY17" i="22"/>
  <c r="AZ8" i="22"/>
  <c r="AZ15" i="22" s="1"/>
  <c r="BA9" i="22"/>
  <c r="AV46" i="22" l="1"/>
  <c r="AV47" i="22"/>
  <c r="AX37" i="22"/>
  <c r="AX42" i="22" s="1"/>
  <c r="AX23" i="22"/>
  <c r="V28" i="21"/>
  <c r="U28" i="21" s="1"/>
  <c r="AF80" i="22" s="1"/>
  <c r="AC75" i="22"/>
  <c r="AC83" i="22" s="1"/>
  <c r="AC81" i="22"/>
  <c r="AC82" i="22" s="1"/>
  <c r="AC84" i="22" s="1"/>
  <c r="AH61" i="22"/>
  <c r="AH63" i="22" s="1"/>
  <c r="AV54" i="22"/>
  <c r="AW44" i="22"/>
  <c r="AX29" i="22"/>
  <c r="AJ45" i="22"/>
  <c r="AJ59" i="22" s="1"/>
  <c r="AZ20" i="22"/>
  <c r="AZ21" i="22" s="1"/>
  <c r="AZ16" i="22"/>
  <c r="AZ22" i="22" s="1"/>
  <c r="AZ18" i="22"/>
  <c r="AZ17" i="22"/>
  <c r="AY19" i="22"/>
  <c r="AY23" i="22" s="1"/>
  <c r="BB9" i="22"/>
  <c r="BA8" i="22"/>
  <c r="BA15" i="22" s="1"/>
  <c r="AW46" i="22" l="1"/>
  <c r="AW47" i="22"/>
  <c r="AX44" i="22"/>
  <c r="AL45" i="22" s="1"/>
  <c r="AL59" i="22" s="1"/>
  <c r="AL60" i="22" s="1"/>
  <c r="AL61" i="22" s="1"/>
  <c r="AL63" i="22" s="1"/>
  <c r="AD78" i="22"/>
  <c r="AC86" i="22"/>
  <c r="AC102" i="22" s="1"/>
  <c r="AC104" i="22" s="1"/>
  <c r="AC105" i="22" s="1"/>
  <c r="AC107" i="22" s="1"/>
  <c r="W28" i="21"/>
  <c r="T29" i="21" s="1"/>
  <c r="AK45" i="22"/>
  <c r="AK59" i="22" s="1"/>
  <c r="AK60" i="22" s="1"/>
  <c r="AK61" i="22" s="1"/>
  <c r="AK63" i="22" s="1"/>
  <c r="AW54" i="22"/>
  <c r="AJ60" i="22"/>
  <c r="BB8" i="22"/>
  <c r="BB15" i="22" s="1"/>
  <c r="BC9" i="22"/>
  <c r="BA17" i="22"/>
  <c r="BA16" i="22"/>
  <c r="BA22" i="22" s="1"/>
  <c r="BA20" i="22"/>
  <c r="BA21" i="22" s="1"/>
  <c r="BA18" i="22"/>
  <c r="AZ19" i="22"/>
  <c r="AZ23" i="22" s="1"/>
  <c r="AY37" i="22"/>
  <c r="AY29" i="22"/>
  <c r="AX46" i="22" l="1"/>
  <c r="AX47" i="22"/>
  <c r="AX54" i="22"/>
  <c r="V29" i="21"/>
  <c r="U29" i="21" s="1"/>
  <c r="AG80" i="22" s="1"/>
  <c r="AD81" i="22"/>
  <c r="AD82" i="22" s="1"/>
  <c r="AD84" i="22" s="1"/>
  <c r="AD75" i="22"/>
  <c r="AD83" i="22" s="1"/>
  <c r="AJ61" i="22"/>
  <c r="AJ63" i="22" s="1"/>
  <c r="AY42" i="22"/>
  <c r="AY44" i="22" s="1"/>
  <c r="BA19" i="22"/>
  <c r="BA23" i="22" s="1"/>
  <c r="BD9" i="22"/>
  <c r="BC8" i="22"/>
  <c r="BC15" i="22" s="1"/>
  <c r="AZ37" i="22"/>
  <c r="AZ42" i="22" s="1"/>
  <c r="AZ29" i="22"/>
  <c r="BB16" i="22"/>
  <c r="BB22" i="22" s="1"/>
  <c r="BB20" i="22"/>
  <c r="BB21" i="22" s="1"/>
  <c r="BB17" i="22"/>
  <c r="BB18" i="22"/>
  <c r="AY46" i="22" l="1"/>
  <c r="AY47" i="22"/>
  <c r="W29" i="21"/>
  <c r="T30" i="21" s="1"/>
  <c r="V30" i="21" s="1"/>
  <c r="U30" i="21" s="1"/>
  <c r="AH80" i="22" s="1"/>
  <c r="AD86" i="22"/>
  <c r="AD102" i="22" s="1"/>
  <c r="AD104" i="22" s="1"/>
  <c r="AD105" i="22" s="1"/>
  <c r="AD107" i="22" s="1"/>
  <c r="AE78" i="22"/>
  <c r="AY54" i="22"/>
  <c r="BC16" i="22"/>
  <c r="BC22" i="22" s="1"/>
  <c r="BC20" i="22"/>
  <c r="BC21" i="22" s="1"/>
  <c r="BC18" i="22"/>
  <c r="BC17" i="22"/>
  <c r="AZ44" i="22"/>
  <c r="BE9" i="22"/>
  <c r="EQ9" i="22" s="1"/>
  <c r="BD8" i="22"/>
  <c r="BD15" i="22" s="1"/>
  <c r="AM45" i="22"/>
  <c r="AM59" i="22" s="1"/>
  <c r="BB19" i="22"/>
  <c r="BB23" i="22" s="1"/>
  <c r="BA37" i="22"/>
  <c r="BA29" i="22"/>
  <c r="AZ46" i="22" l="1"/>
  <c r="AZ47" i="22"/>
  <c r="AE81" i="22"/>
  <c r="AE82" i="22" s="1"/>
  <c r="AE84" i="22" s="1"/>
  <c r="AE75" i="22"/>
  <c r="AE83" i="22" s="1"/>
  <c r="W30" i="21"/>
  <c r="T31" i="21" s="1"/>
  <c r="AM60" i="22"/>
  <c r="AZ54" i="22"/>
  <c r="BA42" i="22"/>
  <c r="BA44" i="22" s="1"/>
  <c r="BD20" i="22"/>
  <c r="BD21" i="22" s="1"/>
  <c r="BD16" i="22"/>
  <c r="BD22" i="22" s="1"/>
  <c r="BD17" i="22"/>
  <c r="BD18" i="22"/>
  <c r="AN45" i="22"/>
  <c r="AN59" i="22" s="1"/>
  <c r="BE8" i="22"/>
  <c r="EQ8" i="22" s="1"/>
  <c r="BF9" i="22"/>
  <c r="BC19" i="22"/>
  <c r="BC23" i="22" s="1"/>
  <c r="BB37" i="22"/>
  <c r="BB42" i="22" s="1"/>
  <c r="BB29" i="22"/>
  <c r="BA46" i="22" l="1"/>
  <c r="BA47" i="22"/>
  <c r="AF78" i="22"/>
  <c r="V31" i="21"/>
  <c r="U31" i="21" s="1"/>
  <c r="AI80" i="22" s="1"/>
  <c r="AE86" i="22"/>
  <c r="AE102" i="22" s="1"/>
  <c r="AE104" i="22" s="1"/>
  <c r="AE105" i="22" s="1"/>
  <c r="AE107" i="22" s="1"/>
  <c r="BA54" i="22"/>
  <c r="AM61" i="22"/>
  <c r="AM63" i="22" s="1"/>
  <c r="BE15" i="22"/>
  <c r="BE16" i="22" s="1"/>
  <c r="BE22" i="22" s="1"/>
  <c r="BD19" i="22"/>
  <c r="BD23" i="22" s="1"/>
  <c r="BC37" i="22"/>
  <c r="BC42" i="22" s="1"/>
  <c r="BC29" i="22"/>
  <c r="BF8" i="22"/>
  <c r="BF15" i="22" s="1"/>
  <c r="BG9" i="22"/>
  <c r="AN60" i="22"/>
  <c r="AN61" i="22" s="1"/>
  <c r="AN63" i="22" s="1"/>
  <c r="AO45" i="22"/>
  <c r="AO59" i="22" s="1"/>
  <c r="BB44" i="22"/>
  <c r="BB46" i="22" l="1"/>
  <c r="BB47" i="22"/>
  <c r="W31" i="21"/>
  <c r="T32" i="21" s="1"/>
  <c r="AF75" i="22"/>
  <c r="AF83" i="22" s="1"/>
  <c r="AF81" i="22"/>
  <c r="AF82" i="22" s="1"/>
  <c r="AF84" i="22" s="1"/>
  <c r="BE17" i="22"/>
  <c r="BB54" i="22"/>
  <c r="BE18" i="22"/>
  <c r="BE20" i="22"/>
  <c r="BE21" i="22" s="1"/>
  <c r="AO60" i="22"/>
  <c r="BC44" i="22"/>
  <c r="BH9" i="22"/>
  <c r="BG8" i="22"/>
  <c r="BG15" i="22" s="1"/>
  <c r="AP45" i="22"/>
  <c r="AP59" i="22" s="1"/>
  <c r="AP60" i="22" s="1"/>
  <c r="AP61" i="22" s="1"/>
  <c r="AP63" i="22" s="1"/>
  <c r="BF20" i="22"/>
  <c r="BF21" i="22" s="1"/>
  <c r="BF16" i="22"/>
  <c r="BF17" i="22"/>
  <c r="BF18" i="22"/>
  <c r="BD37" i="22"/>
  <c r="BD42" i="22" s="1"/>
  <c r="BD29" i="22"/>
  <c r="AQ45" i="22"/>
  <c r="AQ59" i="22" s="1"/>
  <c r="BC46" i="22" l="1"/>
  <c r="BC47" i="22"/>
  <c r="BE19" i="22"/>
  <c r="BE23" i="22" s="1"/>
  <c r="V32" i="21"/>
  <c r="U32" i="21" s="1"/>
  <c r="AJ80" i="22" s="1"/>
  <c r="AG78" i="22"/>
  <c r="AF86" i="22"/>
  <c r="AF102" i="22" s="1"/>
  <c r="AO61" i="22"/>
  <c r="AO63" i="22" s="1"/>
  <c r="BC54" i="22"/>
  <c r="BF22" i="22"/>
  <c r="BD44" i="22"/>
  <c r="BF19" i="22"/>
  <c r="BF23" i="22" s="1"/>
  <c r="BG20" i="22"/>
  <c r="BG21" i="22" s="1"/>
  <c r="BG16" i="22"/>
  <c r="BG22" i="22" s="1"/>
  <c r="BG18" i="22"/>
  <c r="BG17" i="22"/>
  <c r="AQ60" i="22"/>
  <c r="AQ61" i="22" s="1"/>
  <c r="AQ63" i="22" s="1"/>
  <c r="BH8" i="22"/>
  <c r="BH15" i="22" s="1"/>
  <c r="BI9" i="22"/>
  <c r="BE29" i="22" l="1"/>
  <c r="BE37" i="22"/>
  <c r="BE42" i="22" s="1"/>
  <c r="BD46" i="22"/>
  <c r="BD47" i="22"/>
  <c r="AF104" i="22"/>
  <c r="AF105" i="22" s="1"/>
  <c r="AF107" i="22" s="1"/>
  <c r="AG81" i="22"/>
  <c r="AG82" i="22" s="1"/>
  <c r="AG84" i="22" s="1"/>
  <c r="AG75" i="22"/>
  <c r="AG83" i="22" s="1"/>
  <c r="W32" i="21"/>
  <c r="T33" i="21" s="1"/>
  <c r="BD54" i="22"/>
  <c r="BF37" i="22"/>
  <c r="BF42" i="22" s="1"/>
  <c r="AR45" i="22"/>
  <c r="AR59" i="22" s="1"/>
  <c r="AR60" i="22" s="1"/>
  <c r="AR61" i="22" s="1"/>
  <c r="AR63" i="22" s="1"/>
  <c r="BF29" i="22"/>
  <c r="BI8" i="22"/>
  <c r="BI15" i="22" s="1"/>
  <c r="BJ9" i="22"/>
  <c r="BG19" i="22"/>
  <c r="BG23" i="22" s="1"/>
  <c r="BH16" i="22"/>
  <c r="BH20" i="22"/>
  <c r="BH21" i="22" s="1"/>
  <c r="BH18" i="22"/>
  <c r="BH17" i="22"/>
  <c r="BE44" i="22" l="1"/>
  <c r="BE46" i="22" s="1"/>
  <c r="V33" i="21"/>
  <c r="U33" i="21" s="1"/>
  <c r="AK80" i="22" s="1"/>
  <c r="AG86" i="22"/>
  <c r="AG102" i="22" s="1"/>
  <c r="AG104" i="22" s="1"/>
  <c r="AG105" i="22" s="1"/>
  <c r="AG107" i="22" s="1"/>
  <c r="AH78" i="22"/>
  <c r="BF44" i="22"/>
  <c r="BH22" i="22"/>
  <c r="BH19" i="22"/>
  <c r="BH23" i="22" s="1"/>
  <c r="BJ8" i="22"/>
  <c r="BJ15" i="22" s="1"/>
  <c r="BK9" i="22"/>
  <c r="BG37" i="22"/>
  <c r="BG29" i="22"/>
  <c r="BI17" i="22"/>
  <c r="BI16" i="22"/>
  <c r="BI22" i="22" s="1"/>
  <c r="BI20" i="22"/>
  <c r="BI21" i="22" s="1"/>
  <c r="BI18" i="22"/>
  <c r="AS45" i="22" l="1"/>
  <c r="AS59" i="22" s="1"/>
  <c r="AS60" i="22" s="1"/>
  <c r="AS61" i="22" s="1"/>
  <c r="AS63" i="22" s="1"/>
  <c r="BE54" i="22"/>
  <c r="BE47" i="22"/>
  <c r="BF46" i="22"/>
  <c r="BF47" i="22"/>
  <c r="AH81" i="22"/>
  <c r="AH82" i="22" s="1"/>
  <c r="AH84" i="22" s="1"/>
  <c r="AH75" i="22"/>
  <c r="AH83" i="22" s="1"/>
  <c r="EO102" i="22"/>
  <c r="EO104" i="22"/>
  <c r="W33" i="21"/>
  <c r="T34" i="21" s="1"/>
  <c r="BF54" i="22"/>
  <c r="AT45" i="22"/>
  <c r="AT59" i="22" s="1"/>
  <c r="BG42" i="22"/>
  <c r="BG44" i="22" s="1"/>
  <c r="BL9" i="22"/>
  <c r="BK8" i="22"/>
  <c r="BK15" i="22" s="1"/>
  <c r="BJ16" i="22"/>
  <c r="BJ20" i="22"/>
  <c r="BJ21" i="22" s="1"/>
  <c r="BJ17" i="22"/>
  <c r="BJ18" i="22"/>
  <c r="BH37" i="22"/>
  <c r="BH42" i="22" s="1"/>
  <c r="BH29" i="22"/>
  <c r="BI19" i="22"/>
  <c r="BI23" i="22" s="1"/>
  <c r="BG46" i="22" l="1"/>
  <c r="BG47" i="22"/>
  <c r="V34" i="21"/>
  <c r="U34" i="21" s="1"/>
  <c r="AL80" i="22" s="1"/>
  <c r="EO105" i="22"/>
  <c r="EO107" i="22" s="1"/>
  <c r="AI78" i="22"/>
  <c r="AH86" i="22"/>
  <c r="AH102" i="22" s="1"/>
  <c r="AH104" i="22" s="1"/>
  <c r="AH105" i="22" s="1"/>
  <c r="AH107" i="22" s="1"/>
  <c r="BG54" i="22"/>
  <c r="AT60" i="22"/>
  <c r="BJ22" i="22"/>
  <c r="AU45" i="22"/>
  <c r="AU59" i="22" s="1"/>
  <c r="BJ19" i="22"/>
  <c r="BJ23" i="22" s="1"/>
  <c r="BH44" i="22"/>
  <c r="BK16" i="22"/>
  <c r="BK22" i="22" s="1"/>
  <c r="BK20" i="22"/>
  <c r="BK21" i="22" s="1"/>
  <c r="BK17" i="22"/>
  <c r="BK18" i="22"/>
  <c r="BI37" i="22"/>
  <c r="BI42" i="22" s="1"/>
  <c r="BI29" i="22"/>
  <c r="BM9" i="22"/>
  <c r="BL8" i="22"/>
  <c r="BL15" i="22" s="1"/>
  <c r="BH46" i="22" l="1"/>
  <c r="BH47" i="22"/>
  <c r="AI75" i="22"/>
  <c r="AI83" i="22" s="1"/>
  <c r="AI81" i="22"/>
  <c r="AI82" i="22" s="1"/>
  <c r="AI84" i="22" s="1"/>
  <c r="W34" i="21"/>
  <c r="T35" i="21" s="1"/>
  <c r="AT61" i="22"/>
  <c r="AT63" i="22" s="1"/>
  <c r="BH54" i="22"/>
  <c r="BL16" i="22"/>
  <c r="BL20" i="22"/>
  <c r="BL21" i="22" s="1"/>
  <c r="BL18" i="22"/>
  <c r="BL17" i="22"/>
  <c r="AU60" i="22"/>
  <c r="AU61" i="22" s="1"/>
  <c r="AU63" i="22" s="1"/>
  <c r="BK19" i="22"/>
  <c r="BK23" i="22" s="1"/>
  <c r="BM8" i="22"/>
  <c r="BM15" i="22" s="1"/>
  <c r="BN9" i="22"/>
  <c r="AV45" i="22"/>
  <c r="AV59" i="22" s="1"/>
  <c r="BI44" i="22"/>
  <c r="BJ37" i="22"/>
  <c r="BJ29" i="22"/>
  <c r="BI46" i="22" l="1"/>
  <c r="BI47" i="22"/>
  <c r="V35" i="21"/>
  <c r="U35" i="21" s="1"/>
  <c r="AM80" i="22" s="1"/>
  <c r="AJ78" i="22"/>
  <c r="AI86" i="22"/>
  <c r="AI102" i="22" s="1"/>
  <c r="AI104" i="22" s="1"/>
  <c r="AI105" i="22" s="1"/>
  <c r="AI107" i="22" s="1"/>
  <c r="BI54" i="22"/>
  <c r="AV60" i="22"/>
  <c r="BJ42" i="22"/>
  <c r="BJ44" i="22" s="1"/>
  <c r="BL22" i="22"/>
  <c r="BL19" i="22"/>
  <c r="BL23" i="22" s="1"/>
  <c r="BK37" i="22"/>
  <c r="BK42" i="22" s="1"/>
  <c r="BK29" i="22"/>
  <c r="BM16" i="22"/>
  <c r="BM22" i="22" s="1"/>
  <c r="BM20" i="22"/>
  <c r="BM21" i="22" s="1"/>
  <c r="BM18" i="22"/>
  <c r="BM17" i="22"/>
  <c r="AW45" i="22"/>
  <c r="AW59" i="22" s="1"/>
  <c r="AW60" i="22" s="1"/>
  <c r="AW61" i="22" s="1"/>
  <c r="AW63" i="22" s="1"/>
  <c r="BO9" i="22"/>
  <c r="BN8" i="22"/>
  <c r="BN15" i="22" s="1"/>
  <c r="BJ46" i="22" l="1"/>
  <c r="BJ47" i="22"/>
  <c r="AJ81" i="22"/>
  <c r="AJ82" i="22" s="1"/>
  <c r="AJ84" i="22" s="1"/>
  <c r="AJ75" i="22"/>
  <c r="AJ83" i="22" s="1"/>
  <c r="W35" i="21"/>
  <c r="T36" i="21" s="1"/>
  <c r="AV61" i="22"/>
  <c r="AV63" i="22" s="1"/>
  <c r="BJ54" i="22"/>
  <c r="BL37" i="22"/>
  <c r="BL42" i="22" s="1"/>
  <c r="AX45" i="22"/>
  <c r="AX59" i="22" s="1"/>
  <c r="AX60" i="22" s="1"/>
  <c r="AX61" i="22" s="1"/>
  <c r="AX63" i="22" s="1"/>
  <c r="BL29" i="22"/>
  <c r="BK44" i="22"/>
  <c r="BP9" i="22"/>
  <c r="BO8" i="22"/>
  <c r="BO15" i="22" s="1"/>
  <c r="BM19" i="22"/>
  <c r="BM23" i="22" s="1"/>
  <c r="BN20" i="22"/>
  <c r="BN21" i="22" s="1"/>
  <c r="BN16" i="22"/>
  <c r="BN18" i="22"/>
  <c r="BN17" i="22"/>
  <c r="BK46" i="22" l="1"/>
  <c r="BK47" i="22"/>
  <c r="AK78" i="22"/>
  <c r="V36" i="21"/>
  <c r="U36" i="21" s="1"/>
  <c r="AN80" i="22" s="1"/>
  <c r="AJ86" i="22"/>
  <c r="AJ102" i="22" s="1"/>
  <c r="AJ104" i="22" s="1"/>
  <c r="AJ105" i="22" s="1"/>
  <c r="AJ107" i="22" s="1"/>
  <c r="BK54" i="22"/>
  <c r="BL44" i="22"/>
  <c r="BN22" i="22"/>
  <c r="AY45" i="22"/>
  <c r="AY59" i="22" s="1"/>
  <c r="AY60" i="22" s="1"/>
  <c r="AY61" i="22" s="1"/>
  <c r="AY63" i="22" s="1"/>
  <c r="BN19" i="22"/>
  <c r="BN23" i="22" s="1"/>
  <c r="BO16" i="22"/>
  <c r="BO22" i="22" s="1"/>
  <c r="BO20" i="22"/>
  <c r="BO21" i="22" s="1"/>
  <c r="BO18" i="22"/>
  <c r="BO17" i="22"/>
  <c r="BM37" i="22"/>
  <c r="BM42" i="22" s="1"/>
  <c r="BM29" i="22"/>
  <c r="BQ9" i="22"/>
  <c r="ER9" i="22" s="1"/>
  <c r="BP8" i="22"/>
  <c r="BP15" i="22" s="1"/>
  <c r="BL46" i="22" l="1"/>
  <c r="BL47" i="22"/>
  <c r="W36" i="21"/>
  <c r="T37" i="21" s="1"/>
  <c r="V37" i="21" s="1"/>
  <c r="U37" i="21" s="1"/>
  <c r="AO80" i="22" s="1"/>
  <c r="AK81" i="22"/>
  <c r="AK82" i="22" s="1"/>
  <c r="AK84" i="22" s="1"/>
  <c r="AK75" i="22"/>
  <c r="AK83" i="22" s="1"/>
  <c r="BL54" i="22"/>
  <c r="AZ45" i="22"/>
  <c r="AZ59" i="22" s="1"/>
  <c r="BO19" i="22"/>
  <c r="BO23" i="22" s="1"/>
  <c r="BM44" i="22"/>
  <c r="BP16" i="22"/>
  <c r="BP22" i="22" s="1"/>
  <c r="BP20" i="22"/>
  <c r="BP21" i="22" s="1"/>
  <c r="BP18" i="22"/>
  <c r="BP17" i="22"/>
  <c r="BQ8" i="22"/>
  <c r="ER8" i="22" s="1"/>
  <c r="BR9" i="22"/>
  <c r="BN37" i="22"/>
  <c r="BN42" i="22" s="1"/>
  <c r="BN29" i="22"/>
  <c r="BM46" i="22" l="1"/>
  <c r="BM47" i="22"/>
  <c r="AL78" i="22"/>
  <c r="AK86" i="22"/>
  <c r="AK102" i="22" s="1"/>
  <c r="AK104" i="22" s="1"/>
  <c r="AK105" i="22" s="1"/>
  <c r="AK107" i="22" s="1"/>
  <c r="W37" i="21"/>
  <c r="T38" i="21" s="1"/>
  <c r="AZ60" i="22"/>
  <c r="AZ61" i="22" s="1"/>
  <c r="AZ63" i="22" s="1"/>
  <c r="BM54" i="22"/>
  <c r="BQ15" i="22"/>
  <c r="BQ17" i="22" s="1"/>
  <c r="BN44" i="22"/>
  <c r="BP19" i="22"/>
  <c r="BP23" i="22" s="1"/>
  <c r="BA45" i="22"/>
  <c r="BA59" i="22" s="1"/>
  <c r="BA60" i="22" s="1"/>
  <c r="BA61" i="22" s="1"/>
  <c r="BA63" i="22" s="1"/>
  <c r="BS9" i="22"/>
  <c r="BR8" i="22"/>
  <c r="BR15" i="22" s="1"/>
  <c r="BO37" i="22"/>
  <c r="BO42" i="22" s="1"/>
  <c r="BO29" i="22"/>
  <c r="BB45" i="22" l="1"/>
  <c r="BB59" i="22" s="1"/>
  <c r="BB60" i="22" s="1"/>
  <c r="BB61" i="22" s="1"/>
  <c r="BB63" i="22" s="1"/>
  <c r="BN46" i="22"/>
  <c r="BN47" i="22"/>
  <c r="V38" i="21"/>
  <c r="U38" i="21" s="1"/>
  <c r="AP80" i="22" s="1"/>
  <c r="AL75" i="22"/>
  <c r="AL83" i="22" s="1"/>
  <c r="AL81" i="22"/>
  <c r="AL82" i="22" s="1"/>
  <c r="AL84" i="22" s="1"/>
  <c r="BQ16" i="22"/>
  <c r="BQ22" i="22" s="1"/>
  <c r="BQ18" i="22"/>
  <c r="BQ20" i="22"/>
  <c r="BQ21" i="22" s="1"/>
  <c r="BN54" i="22"/>
  <c r="BP37" i="22"/>
  <c r="BP42" i="22" s="1"/>
  <c r="BP29" i="22"/>
  <c r="BO44" i="22"/>
  <c r="BR16" i="22"/>
  <c r="BR20" i="22"/>
  <c r="BR21" i="22" s="1"/>
  <c r="BR17" i="22"/>
  <c r="BR18" i="22"/>
  <c r="BS8" i="22"/>
  <c r="BS15" i="22" s="1"/>
  <c r="BT9" i="22"/>
  <c r="BO46" i="22" l="1"/>
  <c r="BO47" i="22"/>
  <c r="AM78" i="22"/>
  <c r="AL86" i="22"/>
  <c r="AL102" i="22" s="1"/>
  <c r="AL104" i="22" s="1"/>
  <c r="AL105" i="22" s="1"/>
  <c r="AL107" i="22" s="1"/>
  <c r="W38" i="21"/>
  <c r="T39" i="21" s="1"/>
  <c r="BQ19" i="22"/>
  <c r="BO54" i="22"/>
  <c r="BP44" i="22"/>
  <c r="BR22" i="22"/>
  <c r="BC45" i="22"/>
  <c r="BC59" i="22" s="1"/>
  <c r="BC60" i="22" s="1"/>
  <c r="BC61" i="22" s="1"/>
  <c r="BC63" i="22" s="1"/>
  <c r="BT8" i="22"/>
  <c r="BT15" i="22" s="1"/>
  <c r="BU9" i="22"/>
  <c r="BS16" i="22"/>
  <c r="BS22" i="22" s="1"/>
  <c r="BS20" i="22"/>
  <c r="BS21" i="22" s="1"/>
  <c r="BS18" i="22"/>
  <c r="BS17" i="22"/>
  <c r="BR19" i="22"/>
  <c r="BR23" i="22" s="1"/>
  <c r="BQ29" i="22" l="1"/>
  <c r="BQ23" i="22"/>
  <c r="BP46" i="22"/>
  <c r="BP47" i="22"/>
  <c r="BQ37" i="22"/>
  <c r="BQ42" i="22" s="1"/>
  <c r="V39" i="21"/>
  <c r="U39" i="21" s="1"/>
  <c r="AQ80" i="22" s="1"/>
  <c r="AM75" i="22"/>
  <c r="AM83" i="22" s="1"/>
  <c r="AM81" i="22"/>
  <c r="AM82" i="22" s="1"/>
  <c r="AM84" i="22" s="1"/>
  <c r="BP54" i="22"/>
  <c r="BD45" i="22"/>
  <c r="BD59" i="22" s="1"/>
  <c r="BD60" i="22" s="1"/>
  <c r="BD61" i="22" s="1"/>
  <c r="BD63" i="22" s="1"/>
  <c r="BV9" i="22"/>
  <c r="BU8" i="22"/>
  <c r="BU15" i="22" s="1"/>
  <c r="BS19" i="22"/>
  <c r="BS23" i="22" s="1"/>
  <c r="BT16" i="22"/>
  <c r="BT22" i="22" s="1"/>
  <c r="BT20" i="22"/>
  <c r="BT21" i="22" s="1"/>
  <c r="BT17" i="22"/>
  <c r="BT18" i="22"/>
  <c r="BR37" i="22"/>
  <c r="BR29" i="22"/>
  <c r="BQ44" i="22" l="1"/>
  <c r="BQ46" i="22" s="1"/>
  <c r="AN78" i="22"/>
  <c r="AM86" i="22"/>
  <c r="AM102" i="22" s="1"/>
  <c r="AM104" i="22" s="1"/>
  <c r="AM105" i="22" s="1"/>
  <c r="AM107" i="22" s="1"/>
  <c r="W39" i="21"/>
  <c r="T40" i="21" s="1"/>
  <c r="BR42" i="22"/>
  <c r="BR44" i="22" s="1"/>
  <c r="BT19" i="22"/>
  <c r="BT23" i="22" s="1"/>
  <c r="BU16" i="22"/>
  <c r="BU22" i="22" s="1"/>
  <c r="BU20" i="22"/>
  <c r="BU21" i="22" s="1"/>
  <c r="BU18" i="22"/>
  <c r="BU17" i="22"/>
  <c r="BS37" i="22"/>
  <c r="BS42" i="22" s="1"/>
  <c r="BS29" i="22"/>
  <c r="BV8" i="22"/>
  <c r="BV15" i="22" s="1"/>
  <c r="BW9" i="22"/>
  <c r="BQ54" i="22" l="1"/>
  <c r="BE45" i="22"/>
  <c r="BE59" i="22" s="1"/>
  <c r="BE60" i="22" s="1"/>
  <c r="BE61" i="22" s="1"/>
  <c r="BE63" i="22" s="1"/>
  <c r="BQ47" i="22"/>
  <c r="BR46" i="22"/>
  <c r="BR47" i="22"/>
  <c r="V40" i="21"/>
  <c r="U40" i="21" s="1"/>
  <c r="AR80" i="22" s="1"/>
  <c r="AN75" i="22"/>
  <c r="AN83" i="22" s="1"/>
  <c r="AN81" i="22"/>
  <c r="AN82" i="22" s="1"/>
  <c r="AN84" i="22" s="1"/>
  <c r="BR54" i="22"/>
  <c r="BF45" i="22"/>
  <c r="BF59" i="22" s="1"/>
  <c r="BX9" i="22"/>
  <c r="BW8" i="22"/>
  <c r="BW15" i="22" s="1"/>
  <c r="BV20" i="22"/>
  <c r="BV21" i="22" s="1"/>
  <c r="BV16" i="22"/>
  <c r="BV18" i="22"/>
  <c r="BV17" i="22"/>
  <c r="BS44" i="22"/>
  <c r="BU19" i="22"/>
  <c r="BU23" i="22" s="1"/>
  <c r="BT37" i="22"/>
  <c r="BT29" i="22"/>
  <c r="BS46" i="22" l="1"/>
  <c r="BS47" i="22"/>
  <c r="AO78" i="22"/>
  <c r="AN86" i="22"/>
  <c r="AN102" i="22" s="1"/>
  <c r="AN104" i="22" s="1"/>
  <c r="AN105" i="22" s="1"/>
  <c r="AN107" i="22" s="1"/>
  <c r="W40" i="21"/>
  <c r="T41" i="21" s="1"/>
  <c r="BS54" i="22"/>
  <c r="BF60" i="22"/>
  <c r="BV22" i="22"/>
  <c r="BT42" i="22"/>
  <c r="BT44" i="22" s="1"/>
  <c r="BU37" i="22"/>
  <c r="BU42" i="22" s="1"/>
  <c r="BU29" i="22"/>
  <c r="BV19" i="22"/>
  <c r="BV23" i="22" s="1"/>
  <c r="BX8" i="22"/>
  <c r="BX15" i="22" s="1"/>
  <c r="BY9" i="22"/>
  <c r="BW20" i="22"/>
  <c r="BW21" i="22" s="1"/>
  <c r="BW16" i="22"/>
  <c r="BW22" i="22" s="1"/>
  <c r="BW17" i="22"/>
  <c r="BW18" i="22"/>
  <c r="BG45" i="22"/>
  <c r="BG59" i="22" s="1"/>
  <c r="BT46" i="22" l="1"/>
  <c r="BT47" i="22"/>
  <c r="V41" i="21"/>
  <c r="U41" i="21" s="1"/>
  <c r="AS80" i="22" s="1"/>
  <c r="AO75" i="22"/>
  <c r="AO83" i="22" s="1"/>
  <c r="AO81" i="22"/>
  <c r="AO82" i="22" s="1"/>
  <c r="AO84" i="22" s="1"/>
  <c r="BF61" i="22"/>
  <c r="BF63" i="22" s="1"/>
  <c r="BT54" i="22"/>
  <c r="BU44" i="22"/>
  <c r="BH45" i="22"/>
  <c r="BH59" i="22" s="1"/>
  <c r="BY8" i="22"/>
  <c r="BY15" i="22" s="1"/>
  <c r="BZ9" i="22"/>
  <c r="BX16" i="22"/>
  <c r="BX22" i="22" s="1"/>
  <c r="BX20" i="22"/>
  <c r="BX21" i="22" s="1"/>
  <c r="BX17" i="22"/>
  <c r="BX18" i="22"/>
  <c r="BV37" i="22"/>
  <c r="BV29" i="22"/>
  <c r="BG60" i="22"/>
  <c r="BG61" i="22" s="1"/>
  <c r="BG63" i="22" s="1"/>
  <c r="BW19" i="22"/>
  <c r="BW23" i="22" s="1"/>
  <c r="BU46" i="22" l="1"/>
  <c r="BU47" i="22"/>
  <c r="BI45" i="22"/>
  <c r="BI59" i="22" s="1"/>
  <c r="BI60" i="22" s="1"/>
  <c r="BI61" i="22" s="1"/>
  <c r="BI63" i="22" s="1"/>
  <c r="AO86" i="22"/>
  <c r="AO102" i="22" s="1"/>
  <c r="AO104" i="22" s="1"/>
  <c r="AO105" i="22" s="1"/>
  <c r="AO107" i="22" s="1"/>
  <c r="AP78" i="22"/>
  <c r="W41" i="21"/>
  <c r="T42" i="21" s="1"/>
  <c r="BU54" i="22"/>
  <c r="BV42" i="22"/>
  <c r="BV44" i="22" s="1"/>
  <c r="BX19" i="22"/>
  <c r="BX23" i="22" s="1"/>
  <c r="BY17" i="22"/>
  <c r="BY20" i="22"/>
  <c r="BY21" i="22" s="1"/>
  <c r="BY16" i="22"/>
  <c r="BY18" i="22"/>
  <c r="BZ8" i="22"/>
  <c r="BZ15" i="22" s="1"/>
  <c r="CA9" i="22"/>
  <c r="BW37" i="22"/>
  <c r="BW42" i="22" s="1"/>
  <c r="BW29" i="22"/>
  <c r="BH60" i="22"/>
  <c r="BH61" i="22" s="1"/>
  <c r="BH63" i="22" s="1"/>
  <c r="BV46" i="22" l="1"/>
  <c r="BV47" i="22"/>
  <c r="AP75" i="22"/>
  <c r="AP83" i="22" s="1"/>
  <c r="AP81" i="22"/>
  <c r="AP82" i="22" s="1"/>
  <c r="AP84" i="22" s="1"/>
  <c r="V42" i="21"/>
  <c r="U42" i="21" s="1"/>
  <c r="AT80" i="22" s="1"/>
  <c r="BV54" i="22"/>
  <c r="BW44" i="22"/>
  <c r="BZ16" i="22"/>
  <c r="BZ22" i="22" s="1"/>
  <c r="BZ20" i="22"/>
  <c r="BZ21" i="22" s="1"/>
  <c r="BZ17" i="22"/>
  <c r="BZ18" i="22"/>
  <c r="CA8" i="22"/>
  <c r="CA15" i="22" s="1"/>
  <c r="CB9" i="22"/>
  <c r="BJ45" i="22"/>
  <c r="BJ59" i="22" s="1"/>
  <c r="BY19" i="22"/>
  <c r="BY23" i="22" s="1"/>
  <c r="BY22" i="22"/>
  <c r="BX37" i="22"/>
  <c r="BX29" i="22"/>
  <c r="BW46" i="22" l="1"/>
  <c r="BW47" i="22"/>
  <c r="AQ78" i="22"/>
  <c r="AP86" i="22"/>
  <c r="AP102" i="22" s="1"/>
  <c r="AP104" i="22" s="1"/>
  <c r="AP105" i="22" s="1"/>
  <c r="AP107" i="22" s="1"/>
  <c r="W42" i="21"/>
  <c r="T43" i="21" s="1"/>
  <c r="BW54" i="22"/>
  <c r="BX42" i="22"/>
  <c r="BX44" i="22" s="1"/>
  <c r="BK45" i="22"/>
  <c r="BK59" i="22" s="1"/>
  <c r="BK60" i="22" s="1"/>
  <c r="BK61" i="22" s="1"/>
  <c r="BK63" i="22" s="1"/>
  <c r="BZ19" i="22"/>
  <c r="BZ23" i="22" s="1"/>
  <c r="CB8" i="22"/>
  <c r="CB15" i="22" s="1"/>
  <c r="CC9" i="22"/>
  <c r="ES9" i="22" s="1"/>
  <c r="CA16" i="22"/>
  <c r="CA22" i="22" s="1"/>
  <c r="CA20" i="22"/>
  <c r="CA21" i="22" s="1"/>
  <c r="CA17" i="22"/>
  <c r="CA18" i="22"/>
  <c r="BJ60" i="22"/>
  <c r="BY37" i="22"/>
  <c r="BY42" i="22" s="1"/>
  <c r="BY29" i="22"/>
  <c r="BX46" i="22" l="1"/>
  <c r="BX47" i="22"/>
  <c r="V43" i="21"/>
  <c r="U43" i="21" s="1"/>
  <c r="AU80" i="22" s="1"/>
  <c r="AQ81" i="22"/>
  <c r="AQ82" i="22" s="1"/>
  <c r="AQ84" i="22" s="1"/>
  <c r="AQ75" i="22"/>
  <c r="AQ83" i="22" s="1"/>
  <c r="BX54" i="22"/>
  <c r="BJ61" i="22"/>
  <c r="BJ63" i="22" s="1"/>
  <c r="BZ37" i="22"/>
  <c r="BZ42" i="22" s="1"/>
  <c r="BZ29" i="22"/>
  <c r="BL45" i="22"/>
  <c r="BL59" i="22" s="1"/>
  <c r="BL60" i="22" s="1"/>
  <c r="BL61" i="22" s="1"/>
  <c r="BL63" i="22" s="1"/>
  <c r="BY44" i="22"/>
  <c r="CA19" i="22"/>
  <c r="CA23" i="22" s="1"/>
  <c r="CC8" i="22"/>
  <c r="ES8" i="22" s="1"/>
  <c r="CD9" i="22"/>
  <c r="CB20" i="22"/>
  <c r="CB21" i="22" s="1"/>
  <c r="CB16" i="22"/>
  <c r="CB22" i="22" s="1"/>
  <c r="CB17" i="22"/>
  <c r="CB18" i="22"/>
  <c r="BY46" i="22" l="1"/>
  <c r="BY47" i="22"/>
  <c r="AR78" i="22"/>
  <c r="AQ86" i="22"/>
  <c r="AQ102" i="22" s="1"/>
  <c r="AQ104" i="22" s="1"/>
  <c r="AQ105" i="22" s="1"/>
  <c r="AQ107" i="22" s="1"/>
  <c r="W43" i="21"/>
  <c r="T44" i="21" s="1"/>
  <c r="BY54" i="22"/>
  <c r="BZ44" i="22"/>
  <c r="CC15" i="22"/>
  <c r="CC17" i="22" s="1"/>
  <c r="BM45" i="22"/>
  <c r="BM59" i="22" s="1"/>
  <c r="BM60" i="22" s="1"/>
  <c r="CA37" i="22"/>
  <c r="CA42" i="22" s="1"/>
  <c r="CA29" i="22"/>
  <c r="CB19" i="22"/>
  <c r="CB23" i="22" s="1"/>
  <c r="CD8" i="22"/>
  <c r="CD15" i="22" s="1"/>
  <c r="CE9" i="22"/>
  <c r="CC16" i="22" l="1"/>
  <c r="CC22" i="22" s="1"/>
  <c r="BZ46" i="22"/>
  <c r="BZ47" i="22"/>
  <c r="CC20" i="22"/>
  <c r="CC21" i="22" s="1"/>
  <c r="BN45" i="22"/>
  <c r="BN59" i="22" s="1"/>
  <c r="BN60" i="22" s="1"/>
  <c r="BN61" i="22" s="1"/>
  <c r="BN63" i="22" s="1"/>
  <c r="V44" i="21"/>
  <c r="U44" i="21" s="1"/>
  <c r="AV80" i="22" s="1"/>
  <c r="AR81" i="22"/>
  <c r="AR82" i="22" s="1"/>
  <c r="AR84" i="22" s="1"/>
  <c r="AR75" i="22"/>
  <c r="AR83" i="22" s="1"/>
  <c r="CC18" i="22"/>
  <c r="BZ54" i="22"/>
  <c r="BM61" i="22"/>
  <c r="BM63" i="22" s="1"/>
  <c r="CA44" i="22"/>
  <c r="CB37" i="22"/>
  <c r="CB42" i="22" s="1"/>
  <c r="CB29" i="22"/>
  <c r="CD16" i="22"/>
  <c r="CD20" i="22"/>
  <c r="CD21" i="22" s="1"/>
  <c r="CD17" i="22"/>
  <c r="CD18" i="22"/>
  <c r="CE8" i="22"/>
  <c r="CE15" i="22" s="1"/>
  <c r="CF9" i="22"/>
  <c r="CC19" i="22" l="1"/>
  <c r="CC23" i="22" s="1"/>
  <c r="CA46" i="22"/>
  <c r="CA47" i="22"/>
  <c r="AS78" i="22"/>
  <c r="AR86" i="22"/>
  <c r="AR102" i="22" s="1"/>
  <c r="AR104" i="22" s="1"/>
  <c r="AR105" i="22" s="1"/>
  <c r="AR107" i="22" s="1"/>
  <c r="W44" i="21"/>
  <c r="T45" i="21" s="1"/>
  <c r="CA54" i="22"/>
  <c r="BO45" i="22"/>
  <c r="BO59" i="22" s="1"/>
  <c r="BO60" i="22" s="1"/>
  <c r="CB44" i="22"/>
  <c r="CF8" i="22"/>
  <c r="CF15" i="22" s="1"/>
  <c r="CG9" i="22"/>
  <c r="CE16" i="22"/>
  <c r="CE22" i="22" s="1"/>
  <c r="CE20" i="22"/>
  <c r="CE21" i="22" s="1"/>
  <c r="CE18" i="22"/>
  <c r="CE17" i="22"/>
  <c r="CD19" i="22"/>
  <c r="CD23" i="22" s="1"/>
  <c r="CD22" i="22"/>
  <c r="CC29" i="22" l="1"/>
  <c r="CC37" i="22"/>
  <c r="CC42" i="22" s="1"/>
  <c r="CB46" i="22"/>
  <c r="CB47" i="22"/>
  <c r="V45" i="21"/>
  <c r="U45" i="21" s="1"/>
  <c r="AW80" i="22" s="1"/>
  <c r="AS75" i="22"/>
  <c r="AS83" i="22" s="1"/>
  <c r="AS81" i="22"/>
  <c r="AS82" i="22" s="1"/>
  <c r="AS84" i="22" s="1"/>
  <c r="BO61" i="22"/>
  <c r="BO63" i="22" s="1"/>
  <c r="CB54" i="22"/>
  <c r="BP45" i="22"/>
  <c r="BP59" i="22" s="1"/>
  <c r="BP60" i="22" s="1"/>
  <c r="BP61" i="22" s="1"/>
  <c r="BP63" i="22" s="1"/>
  <c r="CE19" i="22"/>
  <c r="CE23" i="22" s="1"/>
  <c r="CH9" i="22"/>
  <c r="CG8" i="22"/>
  <c r="CG15" i="22" s="1"/>
  <c r="CD37" i="22"/>
  <c r="CD29" i="22"/>
  <c r="CF20" i="22"/>
  <c r="CF21" i="22" s="1"/>
  <c r="CF16" i="22"/>
  <c r="CF22" i="22" s="1"/>
  <c r="CF17" i="22"/>
  <c r="CF18" i="22"/>
  <c r="CC44" i="22" l="1"/>
  <c r="CC46" i="22" s="1"/>
  <c r="AT78" i="22"/>
  <c r="AS86" i="22"/>
  <c r="AS102" i="22" s="1"/>
  <c r="AS104" i="22" s="1"/>
  <c r="AS105" i="22" s="1"/>
  <c r="AS107" i="22" s="1"/>
  <c r="W45" i="21"/>
  <c r="T46" i="21" s="1"/>
  <c r="CD42" i="22"/>
  <c r="CD44" i="22" s="1"/>
  <c r="CG17" i="22"/>
  <c r="CG16" i="22"/>
  <c r="CG20" i="22"/>
  <c r="CG21" i="22" s="1"/>
  <c r="CG18" i="22"/>
  <c r="CH8" i="22"/>
  <c r="CH15" i="22" s="1"/>
  <c r="CI9" i="22"/>
  <c r="CF19" i="22"/>
  <c r="CF23" i="22" s="1"/>
  <c r="CE37" i="22"/>
  <c r="CE42" i="22" s="1"/>
  <c r="CE29" i="22"/>
  <c r="BQ45" i="22" l="1"/>
  <c r="C48" i="48" s="1"/>
  <c r="E48" i="48" s="1"/>
  <c r="E49" i="48" s="1"/>
  <c r="CC54" i="22"/>
  <c r="CC47" i="22"/>
  <c r="CD46" i="22"/>
  <c r="CD47" i="22"/>
  <c r="V46" i="21"/>
  <c r="U46" i="21" s="1"/>
  <c r="AX80" i="22" s="1"/>
  <c r="EP102" i="22"/>
  <c r="EP104" i="22"/>
  <c r="AT75" i="22"/>
  <c r="AT83" i="22" s="1"/>
  <c r="AT81" i="22"/>
  <c r="AT82" i="22" s="1"/>
  <c r="AT84" i="22" s="1"/>
  <c r="CD54" i="22"/>
  <c r="CG22" i="22"/>
  <c r="CE44" i="22"/>
  <c r="CF37" i="22"/>
  <c r="CF29" i="22"/>
  <c r="CH16" i="22"/>
  <c r="CH22" i="22" s="1"/>
  <c r="CH20" i="22"/>
  <c r="CH21" i="22" s="1"/>
  <c r="CH18" i="22"/>
  <c r="CH17" i="22"/>
  <c r="CI8" i="22"/>
  <c r="CI15" i="22" s="1"/>
  <c r="CJ9" i="22"/>
  <c r="CG19" i="22"/>
  <c r="CG23" i="22" s="1"/>
  <c r="BR45" i="22"/>
  <c r="BR59" i="22" s="1"/>
  <c r="BQ59" i="22" l="1"/>
  <c r="BQ60" i="22" s="1"/>
  <c r="BQ61" i="22" s="1"/>
  <c r="BQ63" i="22" s="1"/>
  <c r="CE46" i="22"/>
  <c r="CE47" i="22"/>
  <c r="EP105" i="22"/>
  <c r="EP107" i="22" s="1"/>
  <c r="AU78" i="22"/>
  <c r="AT86" i="22"/>
  <c r="AT102" i="22" s="1"/>
  <c r="AT104" i="22" s="1"/>
  <c r="AT105" i="22" s="1"/>
  <c r="AT107" i="22" s="1"/>
  <c r="W46" i="21"/>
  <c r="T47" i="21" s="1"/>
  <c r="F48" i="48"/>
  <c r="E50" i="48"/>
  <c r="CE54" i="22"/>
  <c r="BR60" i="22"/>
  <c r="CF42" i="22"/>
  <c r="CF44" i="22" s="1"/>
  <c r="BS45" i="22"/>
  <c r="BS59" i="22" s="1"/>
  <c r="BS60" i="22" s="1"/>
  <c r="BS61" i="22" s="1"/>
  <c r="BS63" i="22" s="1"/>
  <c r="CH19" i="22"/>
  <c r="CH23" i="22" s="1"/>
  <c r="CI16" i="22"/>
  <c r="CI20" i="22"/>
  <c r="CI21" i="22" s="1"/>
  <c r="CI18" i="22"/>
  <c r="CI17" i="22"/>
  <c r="CG37" i="22"/>
  <c r="CG42" i="22" s="1"/>
  <c r="CG29" i="22"/>
  <c r="CJ8" i="22"/>
  <c r="CJ15" i="22" s="1"/>
  <c r="CK9" i="22"/>
  <c r="CF46" i="22" l="1"/>
  <c r="CF47" i="22"/>
  <c r="V47" i="21"/>
  <c r="U47" i="21" s="1"/>
  <c r="AY80" i="22" s="1"/>
  <c r="AU81" i="22"/>
  <c r="AU82" i="22" s="1"/>
  <c r="AU84" i="22" s="1"/>
  <c r="AU75" i="22"/>
  <c r="AU83" i="22" s="1"/>
  <c r="CF54" i="22"/>
  <c r="BT45" i="22"/>
  <c r="BT59" i="22" s="1"/>
  <c r="BR61" i="22"/>
  <c r="BR63" i="22" s="1"/>
  <c r="CI22" i="22"/>
  <c r="CL9" i="22"/>
  <c r="CK8" i="22"/>
  <c r="CK15" i="22" s="1"/>
  <c r="CI19" i="22"/>
  <c r="CI23" i="22" s="1"/>
  <c r="CG44" i="22"/>
  <c r="CJ16" i="22"/>
  <c r="CJ22" i="22" s="1"/>
  <c r="CJ20" i="22"/>
  <c r="CJ21" i="22" s="1"/>
  <c r="CJ17" i="22"/>
  <c r="CJ18" i="22"/>
  <c r="CH37" i="22"/>
  <c r="CH29" i="22"/>
  <c r="CG46" i="22" l="1"/>
  <c r="CG47" i="22"/>
  <c r="W47" i="21"/>
  <c r="T48" i="21" s="1"/>
  <c r="V48" i="21" s="1"/>
  <c r="U48" i="21" s="1"/>
  <c r="AZ80" i="22" s="1"/>
  <c r="AV78" i="22"/>
  <c r="AU86" i="22"/>
  <c r="AU102" i="22" s="1"/>
  <c r="AU104" i="22" s="1"/>
  <c r="AU105" i="22" s="1"/>
  <c r="AU107" i="22" s="1"/>
  <c r="CG54" i="22"/>
  <c r="BT60" i="22"/>
  <c r="CH42" i="22"/>
  <c r="CH44" i="22" s="1"/>
  <c r="CJ19" i="22"/>
  <c r="CJ23" i="22" s="1"/>
  <c r="CI37" i="22"/>
  <c r="CI42" i="22" s="1"/>
  <c r="CI29" i="22"/>
  <c r="BU45" i="22"/>
  <c r="BU59" i="22" s="1"/>
  <c r="BU60" i="22" s="1"/>
  <c r="BU61" i="22" s="1"/>
  <c r="BU63" i="22" s="1"/>
  <c r="CK16" i="22"/>
  <c r="CK22" i="22" s="1"/>
  <c r="CK20" i="22"/>
  <c r="CK21" i="22" s="1"/>
  <c r="CK18" i="22"/>
  <c r="CK17" i="22"/>
  <c r="CM9" i="22"/>
  <c r="CL8" i="22"/>
  <c r="CL15" i="22" s="1"/>
  <c r="CH46" i="22" l="1"/>
  <c r="CH47" i="22"/>
  <c r="W48" i="21"/>
  <c r="T49" i="21" s="1"/>
  <c r="AV75" i="22"/>
  <c r="AV83" i="22" s="1"/>
  <c r="AV81" i="22"/>
  <c r="AV82" i="22" s="1"/>
  <c r="AV84" i="22" s="1"/>
  <c r="BT61" i="22"/>
  <c r="BT63" i="22" s="1"/>
  <c r="CH54" i="22"/>
  <c r="CI44" i="22"/>
  <c r="CL16" i="22"/>
  <c r="CL22" i="22" s="1"/>
  <c r="CL20" i="22"/>
  <c r="CL21" i="22" s="1"/>
  <c r="CL17" i="22"/>
  <c r="CL18" i="22"/>
  <c r="CK19" i="22"/>
  <c r="CK23" i="22" s="1"/>
  <c r="CJ37" i="22"/>
  <c r="CJ29" i="22"/>
  <c r="CN9" i="22"/>
  <c r="CM8" i="22"/>
  <c r="CM15" i="22" s="1"/>
  <c r="BV45" i="22"/>
  <c r="BV59" i="22" s="1"/>
  <c r="CI46" i="22" l="1"/>
  <c r="CI47" i="22"/>
  <c r="AW78" i="22"/>
  <c r="AV86" i="22"/>
  <c r="AV102" i="22" s="1"/>
  <c r="AV104" i="22" s="1"/>
  <c r="AV105" i="22" s="1"/>
  <c r="AV107" i="22" s="1"/>
  <c r="V49" i="21"/>
  <c r="U49" i="21" s="1"/>
  <c r="BA80" i="22" s="1"/>
  <c r="BV60" i="22"/>
  <c r="CI54" i="22"/>
  <c r="CJ42" i="22"/>
  <c r="CJ44" i="22" s="1"/>
  <c r="CK37" i="22"/>
  <c r="CK42" i="22" s="1"/>
  <c r="CK29" i="22"/>
  <c r="CL19" i="22"/>
  <c r="CL23" i="22" s="1"/>
  <c r="CM16" i="22"/>
  <c r="CM22" i="22" s="1"/>
  <c r="CM20" i="22"/>
  <c r="CM21" i="22" s="1"/>
  <c r="CM17" i="22"/>
  <c r="CM18" i="22"/>
  <c r="CN8" i="22"/>
  <c r="CN15" i="22" s="1"/>
  <c r="CO9" i="22"/>
  <c r="ET9" i="22" s="1"/>
  <c r="BW45" i="22"/>
  <c r="BW59" i="22" s="1"/>
  <c r="BW60" i="22" s="1"/>
  <c r="BW61" i="22" s="1"/>
  <c r="BW63" i="22" s="1"/>
  <c r="CJ46" i="22" l="1"/>
  <c r="CJ47" i="22"/>
  <c r="W49" i="21"/>
  <c r="T50" i="21" s="1"/>
  <c r="AW75" i="22"/>
  <c r="AW83" i="22" s="1"/>
  <c r="AW81" i="22"/>
  <c r="AW82" i="22" s="1"/>
  <c r="AW84" i="22" s="1"/>
  <c r="CJ54" i="22"/>
  <c r="BV61" i="22"/>
  <c r="BV63" i="22" s="1"/>
  <c r="CK44" i="22"/>
  <c r="CM19" i="22"/>
  <c r="CM23" i="22" s="1"/>
  <c r="BX45" i="22"/>
  <c r="BX59" i="22" s="1"/>
  <c r="CL37" i="22"/>
  <c r="CL29" i="22"/>
  <c r="CP9" i="22"/>
  <c r="CO8" i="22"/>
  <c r="ET8" i="22" s="1"/>
  <c r="CN16" i="22"/>
  <c r="CN22" i="22" s="1"/>
  <c r="CN20" i="22"/>
  <c r="CN21" i="22" s="1"/>
  <c r="CN18" i="22"/>
  <c r="CN17" i="22"/>
  <c r="CK46" i="22" l="1"/>
  <c r="CK47" i="22"/>
  <c r="AX78" i="22"/>
  <c r="AW86" i="22"/>
  <c r="AW102" i="22" s="1"/>
  <c r="AW104" i="22" s="1"/>
  <c r="AW105" i="22" s="1"/>
  <c r="AW107" i="22" s="1"/>
  <c r="V50" i="21"/>
  <c r="U50" i="21" s="1"/>
  <c r="BB80" i="22" s="1"/>
  <c r="BX60" i="22"/>
  <c r="CK54" i="22"/>
  <c r="CL42" i="22"/>
  <c r="CL44" i="22" s="1"/>
  <c r="CO15" i="22"/>
  <c r="CO20" i="22" s="1"/>
  <c r="CO21" i="22" s="1"/>
  <c r="BY45" i="22"/>
  <c r="BY59" i="22" s="1"/>
  <c r="BY60" i="22" s="1"/>
  <c r="BY61" i="22" s="1"/>
  <c r="BY63" i="22" s="1"/>
  <c r="CP8" i="22"/>
  <c r="CP15" i="22" s="1"/>
  <c r="CQ9" i="22"/>
  <c r="CN19" i="22"/>
  <c r="CN23" i="22" s="1"/>
  <c r="CM37" i="22"/>
  <c r="CM42" i="22" s="1"/>
  <c r="CM29" i="22"/>
  <c r="CO16" i="22" l="1"/>
  <c r="CO22" i="22" s="1"/>
  <c r="CL46" i="22"/>
  <c r="CL47" i="22"/>
  <c r="CO18" i="22"/>
  <c r="CO17" i="22"/>
  <c r="W50" i="21"/>
  <c r="T51" i="21" s="1"/>
  <c r="AX75" i="22"/>
  <c r="AX83" i="22" s="1"/>
  <c r="AX81" i="22"/>
  <c r="AX82" i="22" s="1"/>
  <c r="AX84" i="22" s="1"/>
  <c r="CL54" i="22"/>
  <c r="BX61" i="22"/>
  <c r="BX63" i="22" s="1"/>
  <c r="BZ45" i="22"/>
  <c r="BZ59" i="22" s="1"/>
  <c r="BZ60" i="22" s="1"/>
  <c r="BZ61" i="22" s="1"/>
  <c r="BZ63" i="22" s="1"/>
  <c r="CP16" i="22"/>
  <c r="CP20" i="22"/>
  <c r="CP21" i="22" s="1"/>
  <c r="CP17" i="22"/>
  <c r="CP18" i="22"/>
  <c r="CQ8" i="22"/>
  <c r="CQ15" i="22" s="1"/>
  <c r="CR9" i="22"/>
  <c r="CM44" i="22"/>
  <c r="CN37" i="22"/>
  <c r="CN42" i="22" s="1"/>
  <c r="CN29" i="22"/>
  <c r="CO19" i="22" l="1"/>
  <c r="CO23" i="22" s="1"/>
  <c r="CM46" i="22"/>
  <c r="CM47" i="22"/>
  <c r="AY78" i="22"/>
  <c r="AX86" i="22"/>
  <c r="AX102" i="22" s="1"/>
  <c r="AX104" i="22" s="1"/>
  <c r="AX105" i="22" s="1"/>
  <c r="AX107" i="22" s="1"/>
  <c r="V51" i="21"/>
  <c r="U51" i="21" s="1"/>
  <c r="BC80" i="22" s="1"/>
  <c r="CM54" i="22"/>
  <c r="CP22" i="22"/>
  <c r="CS9" i="22"/>
  <c r="CR8" i="22"/>
  <c r="CR15" i="22" s="1"/>
  <c r="CA45" i="22"/>
  <c r="CA59" i="22" s="1"/>
  <c r="CA60" i="22" s="1"/>
  <c r="CN44" i="22"/>
  <c r="CQ20" i="22"/>
  <c r="CQ21" i="22" s="1"/>
  <c r="CQ16" i="22"/>
  <c r="CQ22" i="22" s="1"/>
  <c r="CQ18" i="22"/>
  <c r="CQ17" i="22"/>
  <c r="CP19" i="22"/>
  <c r="CP23" i="22" s="1"/>
  <c r="CO29" i="22" l="1"/>
  <c r="CO37" i="22"/>
  <c r="CO42" i="22" s="1"/>
  <c r="CN46" i="22"/>
  <c r="CN47" i="22"/>
  <c r="W51" i="21"/>
  <c r="T52" i="21" s="1"/>
  <c r="AY75" i="22"/>
  <c r="AY83" i="22" s="1"/>
  <c r="AY81" i="22"/>
  <c r="AY82" i="22" s="1"/>
  <c r="AY84" i="22" s="1"/>
  <c r="CN54" i="22"/>
  <c r="CA61" i="22"/>
  <c r="CA63" i="22" s="1"/>
  <c r="CB45" i="22"/>
  <c r="CB59" i="22" s="1"/>
  <c r="CP37" i="22"/>
  <c r="CP29" i="22"/>
  <c r="CQ19" i="22"/>
  <c r="CQ23" i="22" s="1"/>
  <c r="CR16" i="22"/>
  <c r="CR20" i="22"/>
  <c r="CR21" i="22" s="1"/>
  <c r="CR17" i="22"/>
  <c r="CR18" i="22"/>
  <c r="CT9" i="22"/>
  <c r="CS8" i="22"/>
  <c r="CS15" i="22" s="1"/>
  <c r="CO44" i="22" l="1"/>
  <c r="CO46" i="22" s="1"/>
  <c r="AZ78" i="22"/>
  <c r="AY86" i="22"/>
  <c r="AY102" i="22" s="1"/>
  <c r="AY104" i="22" s="1"/>
  <c r="AY105" i="22" s="1"/>
  <c r="AY107" i="22" s="1"/>
  <c r="V52" i="21"/>
  <c r="U52" i="21" s="1"/>
  <c r="BD80" i="22" s="1"/>
  <c r="CP42" i="22"/>
  <c r="CP44" i="22" s="1"/>
  <c r="CR22" i="22"/>
  <c r="CB60" i="22"/>
  <c r="CB61" i="22" s="1"/>
  <c r="CB63" i="22" s="1"/>
  <c r="CR19" i="22"/>
  <c r="CR23" i="22" s="1"/>
  <c r="CS16" i="22"/>
  <c r="CS22" i="22" s="1"/>
  <c r="CS20" i="22"/>
  <c r="CS21" i="22" s="1"/>
  <c r="CS18" i="22"/>
  <c r="CS17" i="22"/>
  <c r="CT8" i="22"/>
  <c r="CT15" i="22" s="1"/>
  <c r="CU9" i="22"/>
  <c r="CQ37" i="22"/>
  <c r="CQ42" i="22" s="1"/>
  <c r="CQ29" i="22"/>
  <c r="CC45" i="22" l="1"/>
  <c r="CC59" i="22" s="1"/>
  <c r="CC60" i="22" s="1"/>
  <c r="CC61" i="22" s="1"/>
  <c r="CC63" i="22" s="1"/>
  <c r="CO54" i="22"/>
  <c r="CO47" i="22"/>
  <c r="CP46" i="22"/>
  <c r="CP47" i="22"/>
  <c r="W52" i="21"/>
  <c r="T53" i="21" s="1"/>
  <c r="AZ81" i="22"/>
  <c r="AZ82" i="22" s="1"/>
  <c r="AZ84" i="22" s="1"/>
  <c r="AZ75" i="22"/>
  <c r="AZ83" i="22" s="1"/>
  <c r="CP54" i="22"/>
  <c r="CQ44" i="22"/>
  <c r="CR37" i="22"/>
  <c r="CR29" i="22"/>
  <c r="CV9" i="22"/>
  <c r="CU8" i="22"/>
  <c r="CU15" i="22" s="1"/>
  <c r="CS19" i="22"/>
  <c r="CS23" i="22" s="1"/>
  <c r="CT20" i="22"/>
  <c r="CT21" i="22" s="1"/>
  <c r="CT16" i="22"/>
  <c r="CT18" i="22"/>
  <c r="CT17" i="22"/>
  <c r="CD45" i="22"/>
  <c r="CD59" i="22" s="1"/>
  <c r="CQ46" i="22" l="1"/>
  <c r="CQ47" i="22"/>
  <c r="BA78" i="22"/>
  <c r="V53" i="21"/>
  <c r="U53" i="21" s="1"/>
  <c r="BE80" i="22" s="1"/>
  <c r="AZ86" i="22"/>
  <c r="AZ102" i="22" s="1"/>
  <c r="AZ104" i="22" s="1"/>
  <c r="AZ105" i="22" s="1"/>
  <c r="AZ107" i="22" s="1"/>
  <c r="CQ54" i="22"/>
  <c r="CR42" i="22"/>
  <c r="CR44" i="22" s="1"/>
  <c r="CT22" i="22"/>
  <c r="CU20" i="22"/>
  <c r="CU21" i="22" s="1"/>
  <c r="CU16" i="22"/>
  <c r="CU22" i="22" s="1"/>
  <c r="CU17" i="22"/>
  <c r="CU18" i="22"/>
  <c r="CV8" i="22"/>
  <c r="CV15" i="22" s="1"/>
  <c r="CW9" i="22"/>
  <c r="CS37" i="22"/>
  <c r="CS42" i="22" s="1"/>
  <c r="CS29" i="22"/>
  <c r="CD60" i="22"/>
  <c r="CT19" i="22"/>
  <c r="CT23" i="22" s="1"/>
  <c r="CE45" i="22"/>
  <c r="CE59" i="22" s="1"/>
  <c r="CE60" i="22" s="1"/>
  <c r="CE61" i="22" s="1"/>
  <c r="CE63" i="22" s="1"/>
  <c r="CR46" i="22" l="1"/>
  <c r="CR47" i="22"/>
  <c r="W53" i="21"/>
  <c r="T54" i="21" s="1"/>
  <c r="BA75" i="22"/>
  <c r="BA83" i="22" s="1"/>
  <c r="BA81" i="22"/>
  <c r="BA82" i="22" s="1"/>
  <c r="BA84" i="22" s="1"/>
  <c r="CR54" i="22"/>
  <c r="CD61" i="22"/>
  <c r="CD63" i="22" s="1"/>
  <c r="CF45" i="22"/>
  <c r="CF59" i="22" s="1"/>
  <c r="CT37" i="22"/>
  <c r="CT42" i="22" s="1"/>
  <c r="CT29" i="22"/>
  <c r="CW8" i="22"/>
  <c r="CW15" i="22" s="1"/>
  <c r="CX9" i="22"/>
  <c r="CU19" i="22"/>
  <c r="CU23" i="22" s="1"/>
  <c r="CV16" i="22"/>
  <c r="CV20" i="22"/>
  <c r="CV21" i="22" s="1"/>
  <c r="CV17" i="22"/>
  <c r="CV18" i="22"/>
  <c r="CS44" i="22"/>
  <c r="CS46" i="22" l="1"/>
  <c r="CS47" i="22"/>
  <c r="BB78" i="22"/>
  <c r="BA86" i="22"/>
  <c r="BA102" i="22" s="1"/>
  <c r="BA104" i="22" s="1"/>
  <c r="BA105" i="22" s="1"/>
  <c r="BA107" i="22" s="1"/>
  <c r="V54" i="21"/>
  <c r="U54" i="21" s="1"/>
  <c r="BF80" i="22" s="1"/>
  <c r="CS54" i="22"/>
  <c r="CF60" i="22"/>
  <c r="CV22" i="22"/>
  <c r="CV19" i="22"/>
  <c r="CV23" i="22" s="1"/>
  <c r="CW17" i="22"/>
  <c r="CW16" i="22"/>
  <c r="CW22" i="22" s="1"/>
  <c r="CW20" i="22"/>
  <c r="CW21" i="22" s="1"/>
  <c r="CW18" i="22"/>
  <c r="CU37" i="22"/>
  <c r="CU29" i="22"/>
  <c r="CG45" i="22"/>
  <c r="CG59" i="22" s="1"/>
  <c r="CT44" i="22"/>
  <c r="CX8" i="22"/>
  <c r="CX15" i="22" s="1"/>
  <c r="CY9" i="22"/>
  <c r="CT46" i="22" l="1"/>
  <c r="CT47" i="22"/>
  <c r="W54" i="21"/>
  <c r="T55" i="21" s="1"/>
  <c r="BB75" i="22"/>
  <c r="BB83" i="22" s="1"/>
  <c r="BB81" i="22"/>
  <c r="BB82" i="22" s="1"/>
  <c r="BB84" i="22" s="1"/>
  <c r="CF61" i="22"/>
  <c r="CF63" i="22" s="1"/>
  <c r="CT54" i="22"/>
  <c r="CU42" i="22"/>
  <c r="CU44" i="22" s="1"/>
  <c r="CW19" i="22"/>
  <c r="CW23" i="22" s="1"/>
  <c r="CY8" i="22"/>
  <c r="CY15" i="22" s="1"/>
  <c r="CZ9" i="22"/>
  <c r="CG60" i="22"/>
  <c r="CG61" i="22" s="1"/>
  <c r="CG63" i="22" s="1"/>
  <c r="CX16" i="22"/>
  <c r="CX20" i="22"/>
  <c r="CX21" i="22" s="1"/>
  <c r="CX18" i="22"/>
  <c r="CX17" i="22"/>
  <c r="CH45" i="22"/>
  <c r="CH59" i="22" s="1"/>
  <c r="CV37" i="22"/>
  <c r="CV42" i="22" s="1"/>
  <c r="CV29" i="22"/>
  <c r="CU46" i="22" l="1"/>
  <c r="CU47" i="22"/>
  <c r="BC78" i="22"/>
  <c r="BB86" i="22"/>
  <c r="BB102" i="22" s="1"/>
  <c r="V55" i="21"/>
  <c r="U55" i="21" s="1"/>
  <c r="BG80" i="22" s="1"/>
  <c r="CU54" i="22"/>
  <c r="CH60" i="22"/>
  <c r="CW37" i="22"/>
  <c r="CW42" i="22" s="1"/>
  <c r="CX22" i="22"/>
  <c r="CI45" i="22"/>
  <c r="CI59" i="22" s="1"/>
  <c r="CI60" i="22" s="1"/>
  <c r="CI61" i="22" s="1"/>
  <c r="CI63" i="22" s="1"/>
  <c r="CW29" i="22"/>
  <c r="CZ8" i="22"/>
  <c r="CZ15" i="22" s="1"/>
  <c r="DA9" i="22"/>
  <c r="EU9" i="22" s="1"/>
  <c r="CX19" i="22"/>
  <c r="CX23" i="22" s="1"/>
  <c r="CY16" i="22"/>
  <c r="CY22" i="22" s="1"/>
  <c r="CY20" i="22"/>
  <c r="CY21" i="22" s="1"/>
  <c r="CY17" i="22"/>
  <c r="CY18" i="22"/>
  <c r="CV44" i="22"/>
  <c r="CV46" i="22" l="1"/>
  <c r="CV47" i="22"/>
  <c r="BB104" i="22"/>
  <c r="BB105" i="22" s="1"/>
  <c r="BB107" i="22" s="1"/>
  <c r="W55" i="21"/>
  <c r="T56" i="21" s="1"/>
  <c r="BC81" i="22"/>
  <c r="BC82" i="22" s="1"/>
  <c r="BC84" i="22" s="1"/>
  <c r="BC75" i="22"/>
  <c r="BC83" i="22" s="1"/>
  <c r="CV54" i="22"/>
  <c r="CW44" i="22"/>
  <c r="CK45" i="22" s="1"/>
  <c r="CK59" i="22" s="1"/>
  <c r="CK60" i="22" s="1"/>
  <c r="CK61" i="22" s="1"/>
  <c r="CK63" i="22" s="1"/>
  <c r="CH61" i="22"/>
  <c r="CH63" i="22" s="1"/>
  <c r="CJ45" i="22"/>
  <c r="CJ59" i="22" s="1"/>
  <c r="CY19" i="22"/>
  <c r="CY23" i="22" s="1"/>
  <c r="DB9" i="22"/>
  <c r="DA8" i="22"/>
  <c r="EU8" i="22" s="1"/>
  <c r="CX37" i="22"/>
  <c r="CX29" i="22"/>
  <c r="CZ20" i="22"/>
  <c r="CZ21" i="22" s="1"/>
  <c r="CZ16" i="22"/>
  <c r="CZ22" i="22" s="1"/>
  <c r="CZ18" i="22"/>
  <c r="CZ17" i="22"/>
  <c r="CW46" i="22" l="1"/>
  <c r="CW47" i="22"/>
  <c r="BC86" i="22"/>
  <c r="BC102" i="22" s="1"/>
  <c r="BC104" i="22" s="1"/>
  <c r="BC105" i="22" s="1"/>
  <c r="BC107" i="22" s="1"/>
  <c r="BD78" i="22"/>
  <c r="V56" i="21"/>
  <c r="U56" i="21" s="1"/>
  <c r="BH80" i="22" s="1"/>
  <c r="CW54" i="22"/>
  <c r="DA15" i="22"/>
  <c r="DA20" i="22" s="1"/>
  <c r="DA21" i="22" s="1"/>
  <c r="CX42" i="22"/>
  <c r="CX44" i="22" s="1"/>
  <c r="CZ19" i="22"/>
  <c r="CZ23" i="22" s="1"/>
  <c r="DB8" i="22"/>
  <c r="DB15" i="22" s="1"/>
  <c r="DC9" i="22"/>
  <c r="CJ60" i="22"/>
  <c r="CY37" i="22"/>
  <c r="CY42" i="22" s="1"/>
  <c r="CY29" i="22"/>
  <c r="CX46" i="22" l="1"/>
  <c r="CX47" i="22"/>
  <c r="W56" i="21"/>
  <c r="T57" i="21" s="1"/>
  <c r="BD81" i="22"/>
  <c r="BD82" i="22" s="1"/>
  <c r="BD84" i="22" s="1"/>
  <c r="BD75" i="22"/>
  <c r="BD83" i="22" s="1"/>
  <c r="DA17" i="22"/>
  <c r="DA18" i="22"/>
  <c r="DA16" i="22"/>
  <c r="DA22" i="22" s="1"/>
  <c r="CX54" i="22"/>
  <c r="CJ61" i="22"/>
  <c r="CJ63" i="22" s="1"/>
  <c r="CL45" i="22"/>
  <c r="CL59" i="22" s="1"/>
  <c r="CL60" i="22" s="1"/>
  <c r="CL61" i="22" s="1"/>
  <c r="CL63" i="22" s="1"/>
  <c r="CY44" i="22"/>
  <c r="DD9" i="22"/>
  <c r="DC8" i="22"/>
  <c r="DC15" i="22" s="1"/>
  <c r="DB16" i="22"/>
  <c r="DB20" i="22"/>
  <c r="DB21" i="22" s="1"/>
  <c r="DB18" i="22"/>
  <c r="DB17" i="22"/>
  <c r="CZ37" i="22"/>
  <c r="CZ42" i="22" s="1"/>
  <c r="CZ29" i="22"/>
  <c r="CY46" i="22" l="1"/>
  <c r="CY47" i="22"/>
  <c r="CM45" i="22"/>
  <c r="CM59" i="22" s="1"/>
  <c r="CM60" i="22" s="1"/>
  <c r="BD86" i="22"/>
  <c r="BD102" i="22" s="1"/>
  <c r="BE78" i="22"/>
  <c r="V57" i="21"/>
  <c r="U57" i="21" s="1"/>
  <c r="BI80" i="22" s="1"/>
  <c r="DA19" i="22"/>
  <c r="DA23" i="22" s="1"/>
  <c r="CY54" i="22"/>
  <c r="DB22" i="22"/>
  <c r="CZ44" i="22"/>
  <c r="DB19" i="22"/>
  <c r="DB23" i="22" s="1"/>
  <c r="DC16" i="22"/>
  <c r="DC22" i="22" s="1"/>
  <c r="DC20" i="22"/>
  <c r="DC21" i="22" s="1"/>
  <c r="DC18" i="22"/>
  <c r="DC17" i="22"/>
  <c r="DD8" i="22"/>
  <c r="DD15" i="22" s="1"/>
  <c r="DE9" i="22"/>
  <c r="CZ46" i="22" l="1"/>
  <c r="CZ47" i="22"/>
  <c r="BD104" i="22"/>
  <c r="BD105" i="22" s="1"/>
  <c r="BD107" i="22" s="1"/>
  <c r="DA37" i="22"/>
  <c r="DA42" i="22" s="1"/>
  <c r="DA29" i="22"/>
  <c r="W57" i="21"/>
  <c r="T58" i="21" s="1"/>
  <c r="BE75" i="22"/>
  <c r="BE83" i="22" s="1"/>
  <c r="BE81" i="22"/>
  <c r="BE82" i="22" s="1"/>
  <c r="BE84" i="22" s="1"/>
  <c r="CZ54" i="22"/>
  <c r="CM61" i="22"/>
  <c r="CM63" i="22" s="1"/>
  <c r="CN45" i="22"/>
  <c r="CN59" i="22" s="1"/>
  <c r="CN60" i="22" s="1"/>
  <c r="CN61" i="22" s="1"/>
  <c r="CN63" i="22" s="1"/>
  <c r="DD16" i="22"/>
  <c r="DD20" i="22"/>
  <c r="DD21" i="22" s="1"/>
  <c r="DD17" i="22"/>
  <c r="DD18" i="22"/>
  <c r="DB37" i="22"/>
  <c r="DB29" i="22"/>
  <c r="DC19" i="22"/>
  <c r="DC23" i="22" s="1"/>
  <c r="DE8" i="22"/>
  <c r="DE15" i="22" s="1"/>
  <c r="DF9" i="22"/>
  <c r="DA44" i="22" l="1"/>
  <c r="DA54" i="22" s="1"/>
  <c r="BF78" i="22"/>
  <c r="BE86" i="22"/>
  <c r="BE102" i="22" s="1"/>
  <c r="BE104" i="22" s="1"/>
  <c r="BE105" i="22" s="1"/>
  <c r="BE107" i="22" s="1"/>
  <c r="V58" i="21"/>
  <c r="U58" i="21" s="1"/>
  <c r="BJ80" i="22" s="1"/>
  <c r="DD22" i="22"/>
  <c r="DB42" i="22"/>
  <c r="DB44" i="22" s="1"/>
  <c r="DD19" i="22"/>
  <c r="DD23" i="22" s="1"/>
  <c r="DC37" i="22"/>
  <c r="DC42" i="22" s="1"/>
  <c r="DC29" i="22"/>
  <c r="DG9" i="22"/>
  <c r="DF8" i="22"/>
  <c r="DF15" i="22" s="1"/>
  <c r="DE17" i="22"/>
  <c r="DE20" i="22"/>
  <c r="DE21" i="22" s="1"/>
  <c r="DE16" i="22"/>
  <c r="DE18" i="22"/>
  <c r="CO45" i="22" l="1"/>
  <c r="CO59" i="22" s="1"/>
  <c r="CO60" i="22" s="1"/>
  <c r="CO61" i="22" s="1"/>
  <c r="CO63" i="22" s="1"/>
  <c r="DB46" i="22"/>
  <c r="DB47" i="22"/>
  <c r="DA46" i="22"/>
  <c r="DA47" i="22"/>
  <c r="W58" i="21"/>
  <c r="T59" i="21" s="1"/>
  <c r="EQ102" i="22"/>
  <c r="EQ104" i="22"/>
  <c r="BF81" i="22"/>
  <c r="BF82" i="22" s="1"/>
  <c r="BF84" i="22" s="1"/>
  <c r="BF75" i="22"/>
  <c r="BF83" i="22" s="1"/>
  <c r="DB54" i="22"/>
  <c r="CP45" i="22"/>
  <c r="CP59" i="22" s="1"/>
  <c r="DF16" i="22"/>
  <c r="DF20" i="22"/>
  <c r="DF21" i="22" s="1"/>
  <c r="DF17" i="22"/>
  <c r="DF18" i="22"/>
  <c r="DG8" i="22"/>
  <c r="DG15" i="22" s="1"/>
  <c r="DH9" i="22"/>
  <c r="DC44" i="22"/>
  <c r="DD37" i="22"/>
  <c r="DD29" i="22"/>
  <c r="DE19" i="22"/>
  <c r="DE23" i="22" s="1"/>
  <c r="DE22" i="22"/>
  <c r="DC46" i="22" l="1"/>
  <c r="DC47" i="22"/>
  <c r="EQ105" i="22"/>
  <c r="EQ107" i="22" s="1"/>
  <c r="BG78" i="22"/>
  <c r="BF86" i="22"/>
  <c r="BF102" i="22" s="1"/>
  <c r="BF104" i="22" s="1"/>
  <c r="BF105" i="22" s="1"/>
  <c r="BF107" i="22" s="1"/>
  <c r="V59" i="21"/>
  <c r="U59" i="21" s="1"/>
  <c r="BK80" i="22" s="1"/>
  <c r="CP60" i="22"/>
  <c r="DC54" i="22"/>
  <c r="DF22" i="22"/>
  <c r="DD42" i="22"/>
  <c r="DD44" i="22" s="1"/>
  <c r="DI9" i="22"/>
  <c r="DH8" i="22"/>
  <c r="DH15" i="22" s="1"/>
  <c r="DG16" i="22"/>
  <c r="DG22" i="22" s="1"/>
  <c r="DG20" i="22"/>
  <c r="DG21" i="22" s="1"/>
  <c r="DG18" i="22"/>
  <c r="DG17" i="22"/>
  <c r="DE37" i="22"/>
  <c r="DE42" i="22" s="1"/>
  <c r="DE29" i="22"/>
  <c r="CQ45" i="22"/>
  <c r="CQ59" i="22" s="1"/>
  <c r="DF19" i="22"/>
  <c r="DF23" i="22" s="1"/>
  <c r="DD46" i="22" l="1"/>
  <c r="DD47" i="22"/>
  <c r="W59" i="21"/>
  <c r="T60" i="21" s="1"/>
  <c r="BG75" i="22"/>
  <c r="BG83" i="22" s="1"/>
  <c r="BG81" i="22"/>
  <c r="BG82" i="22" s="1"/>
  <c r="BG84" i="22" s="1"/>
  <c r="CP61" i="22"/>
  <c r="CP63" i="22" s="1"/>
  <c r="DD54" i="22"/>
  <c r="CQ60" i="22"/>
  <c r="CQ61" i="22" s="1"/>
  <c r="CQ63" i="22" s="1"/>
  <c r="DF37" i="22"/>
  <c r="DF29" i="22"/>
  <c r="DH20" i="22"/>
  <c r="DH21" i="22" s="1"/>
  <c r="DH16" i="22"/>
  <c r="DH18" i="22"/>
  <c r="DH17" i="22"/>
  <c r="DG19" i="22"/>
  <c r="DG23" i="22" s="1"/>
  <c r="CR45" i="22"/>
  <c r="CR59" i="22" s="1"/>
  <c r="DE44" i="22"/>
  <c r="DI8" i="22"/>
  <c r="DI15" i="22" s="1"/>
  <c r="DJ9" i="22"/>
  <c r="DE46" i="22" l="1"/>
  <c r="DE47" i="22"/>
  <c r="BH78" i="22"/>
  <c r="BG86" i="22"/>
  <c r="BG102" i="22" s="1"/>
  <c r="BG104" i="22" s="1"/>
  <c r="BG105" i="22" s="1"/>
  <c r="BG107" i="22" s="1"/>
  <c r="V60" i="21"/>
  <c r="U60" i="21" s="1"/>
  <c r="BL80" i="22" s="1"/>
  <c r="DE54" i="22"/>
  <c r="DF42" i="22"/>
  <c r="DF44" i="22" s="1"/>
  <c r="DH22" i="22"/>
  <c r="DK9" i="22"/>
  <c r="DJ8" i="22"/>
  <c r="DJ15" i="22" s="1"/>
  <c r="DI16" i="22"/>
  <c r="DI22" i="22" s="1"/>
  <c r="DI20" i="22"/>
  <c r="DI21" i="22" s="1"/>
  <c r="DI18" i="22"/>
  <c r="DI17" i="22"/>
  <c r="CR60" i="22"/>
  <c r="DG37" i="22"/>
  <c r="DG42" i="22" s="1"/>
  <c r="DG29" i="22"/>
  <c r="CS45" i="22"/>
  <c r="CS59" i="22" s="1"/>
  <c r="DH19" i="22"/>
  <c r="DH23" i="22" s="1"/>
  <c r="DF46" i="22" l="1"/>
  <c r="DF47" i="22"/>
  <c r="W60" i="21"/>
  <c r="T61" i="21" s="1"/>
  <c r="BH81" i="22"/>
  <c r="BH82" i="22" s="1"/>
  <c r="BH84" i="22" s="1"/>
  <c r="BH75" i="22"/>
  <c r="BH83" i="22" s="1"/>
  <c r="DF54" i="22"/>
  <c r="CR61" i="22"/>
  <c r="CR63" i="22" s="1"/>
  <c r="DG44" i="22"/>
  <c r="DI19" i="22"/>
  <c r="DI23" i="22" s="1"/>
  <c r="CT45" i="22"/>
  <c r="CT59" i="22" s="1"/>
  <c r="CS60" i="22"/>
  <c r="CS61" i="22" s="1"/>
  <c r="CS63" i="22" s="1"/>
  <c r="DJ16" i="22"/>
  <c r="DJ20" i="22"/>
  <c r="DJ21" i="22" s="1"/>
  <c r="DJ18" i="22"/>
  <c r="DJ17" i="22"/>
  <c r="DH37" i="22"/>
  <c r="DH29" i="22"/>
  <c r="DL9" i="22"/>
  <c r="DK8" i="22"/>
  <c r="DK15" i="22" s="1"/>
  <c r="CU45" i="22" l="1"/>
  <c r="CU59" i="22" s="1"/>
  <c r="CU60" i="22" s="1"/>
  <c r="CU61" i="22" s="1"/>
  <c r="CU63" i="22" s="1"/>
  <c r="DG46" i="22"/>
  <c r="DG47" i="22"/>
  <c r="BH86" i="22"/>
  <c r="BH102" i="22" s="1"/>
  <c r="BH104" i="22" s="1"/>
  <c r="BH105" i="22" s="1"/>
  <c r="BH107" i="22" s="1"/>
  <c r="BI78" i="22"/>
  <c r="V61" i="21"/>
  <c r="U61" i="21" s="1"/>
  <c r="BM80" i="22" s="1"/>
  <c r="CT60" i="22"/>
  <c r="DG54" i="22"/>
  <c r="DH42" i="22"/>
  <c r="DH44" i="22" s="1"/>
  <c r="DK20" i="22"/>
  <c r="DK21" i="22" s="1"/>
  <c r="DK16" i="22"/>
  <c r="DK22" i="22" s="1"/>
  <c r="DK18" i="22"/>
  <c r="DK17" i="22"/>
  <c r="DJ19" i="22"/>
  <c r="DJ23" i="22" s="1"/>
  <c r="DJ22" i="22"/>
  <c r="DL8" i="22"/>
  <c r="DL15" i="22" s="1"/>
  <c r="DM9" i="22"/>
  <c r="EV9" i="22" s="1"/>
  <c r="DI37" i="22"/>
  <c r="DI42" i="22" s="1"/>
  <c r="DI29" i="22"/>
  <c r="DH46" i="22" l="1"/>
  <c r="DH47" i="22"/>
  <c r="W61" i="21"/>
  <c r="T62" i="21" s="1"/>
  <c r="BI75" i="22"/>
  <c r="BI83" i="22" s="1"/>
  <c r="BI81" i="22"/>
  <c r="BI82" i="22" s="1"/>
  <c r="BI84" i="22" s="1"/>
  <c r="DH54" i="22"/>
  <c r="CT61" i="22"/>
  <c r="CT63" i="22" s="1"/>
  <c r="CV45" i="22"/>
  <c r="CV59" i="22" s="1"/>
  <c r="DI44" i="22"/>
  <c r="DJ37" i="22"/>
  <c r="DJ29" i="22"/>
  <c r="DK19" i="22"/>
  <c r="DK23" i="22" s="1"/>
  <c r="DM8" i="22"/>
  <c r="EV8" i="22" s="1"/>
  <c r="DN9" i="22"/>
  <c r="DL16" i="22"/>
  <c r="DL22" i="22" s="1"/>
  <c r="DL20" i="22"/>
  <c r="DL21" i="22" s="1"/>
  <c r="DL18" i="22"/>
  <c r="DL17" i="22"/>
  <c r="DI46" i="22" l="1"/>
  <c r="DI47" i="22"/>
  <c r="BJ78" i="22"/>
  <c r="BI86" i="22"/>
  <c r="BI102" i="22" s="1"/>
  <c r="BI104" i="22" s="1"/>
  <c r="BI105" i="22" s="1"/>
  <c r="BI107" i="22" s="1"/>
  <c r="V62" i="21"/>
  <c r="U62" i="21" s="1"/>
  <c r="BN80" i="22" s="1"/>
  <c r="DI54" i="22"/>
  <c r="CV60" i="22"/>
  <c r="DM15" i="22"/>
  <c r="DM20" i="22" s="1"/>
  <c r="DM21" i="22" s="1"/>
  <c r="DJ42" i="22"/>
  <c r="DJ44" i="22" s="1"/>
  <c r="CW45" i="22"/>
  <c r="CW59" i="22" s="1"/>
  <c r="CW60" i="22" s="1"/>
  <c r="CW61" i="22" s="1"/>
  <c r="CW63" i="22" s="1"/>
  <c r="DL19" i="22"/>
  <c r="DL23" i="22" s="1"/>
  <c r="DO9" i="22"/>
  <c r="DN8" i="22"/>
  <c r="DN15" i="22" s="1"/>
  <c r="DK37" i="22"/>
  <c r="DK42" i="22" s="1"/>
  <c r="DK29" i="22"/>
  <c r="DM16" i="22" l="1"/>
  <c r="DM22" i="22" s="1"/>
  <c r="DJ46" i="22"/>
  <c r="DJ47" i="22"/>
  <c r="W62" i="21"/>
  <c r="T63" i="21" s="1"/>
  <c r="BJ75" i="22"/>
  <c r="BJ83" i="22" s="1"/>
  <c r="BJ81" i="22"/>
  <c r="BJ82" i="22" s="1"/>
  <c r="BJ84" i="22" s="1"/>
  <c r="CV61" i="22"/>
  <c r="CV63" i="22" s="1"/>
  <c r="DM17" i="22"/>
  <c r="DJ54" i="22"/>
  <c r="DM18" i="22"/>
  <c r="CX45" i="22"/>
  <c r="CX59" i="22" s="1"/>
  <c r="CX60" i="22" s="1"/>
  <c r="CX61" i="22" s="1"/>
  <c r="CX63" i="22" s="1"/>
  <c r="DK44" i="22"/>
  <c r="DN16" i="22"/>
  <c r="DN20" i="22"/>
  <c r="DN21" i="22" s="1"/>
  <c r="DN18" i="22"/>
  <c r="DN17" i="22"/>
  <c r="DO8" i="22"/>
  <c r="DO15" i="22" s="1"/>
  <c r="DP9" i="22"/>
  <c r="DL37" i="22"/>
  <c r="DL42" i="22" s="1"/>
  <c r="DL29" i="22"/>
  <c r="DM19" i="22" l="1"/>
  <c r="DM23" i="22" s="1"/>
  <c r="DK46" i="22"/>
  <c r="DK47" i="22"/>
  <c r="BK78" i="22"/>
  <c r="BJ86" i="22"/>
  <c r="BJ102" i="22" s="1"/>
  <c r="BJ104" i="22" s="1"/>
  <c r="BJ105" i="22" s="1"/>
  <c r="BJ107" i="22" s="1"/>
  <c r="V63" i="21"/>
  <c r="U63" i="21" s="1"/>
  <c r="BO80" i="22" s="1"/>
  <c r="DK54" i="22"/>
  <c r="DN22" i="22"/>
  <c r="CY45" i="22"/>
  <c r="CY59" i="22" s="1"/>
  <c r="CY60" i="22" s="1"/>
  <c r="DL44" i="22"/>
  <c r="DO16" i="22"/>
  <c r="DO22" i="22" s="1"/>
  <c r="DO20" i="22"/>
  <c r="DO21" i="22" s="1"/>
  <c r="DO17" i="22"/>
  <c r="DO18" i="22"/>
  <c r="DN19" i="22"/>
  <c r="DN23" i="22" s="1"/>
  <c r="DQ9" i="22"/>
  <c r="DP8" i="22"/>
  <c r="DP15" i="22" s="1"/>
  <c r="DM29" i="22" l="1"/>
  <c r="DM37" i="22"/>
  <c r="DM42" i="22" s="1"/>
  <c r="DL46" i="22"/>
  <c r="DL47" i="22"/>
  <c r="W63" i="21"/>
  <c r="T64" i="21" s="1"/>
  <c r="BK81" i="22"/>
  <c r="BK82" i="22" s="1"/>
  <c r="BK84" i="22" s="1"/>
  <c r="BK75" i="22"/>
  <c r="BK83" i="22" s="1"/>
  <c r="DL54" i="22"/>
  <c r="CY61" i="22"/>
  <c r="CY63" i="22" s="1"/>
  <c r="CZ45" i="22"/>
  <c r="CZ59" i="22" s="1"/>
  <c r="CZ60" i="22" s="1"/>
  <c r="CZ61" i="22" s="1"/>
  <c r="CZ63" i="22" s="1"/>
  <c r="DO19" i="22"/>
  <c r="DO23" i="22" s="1"/>
  <c r="DP20" i="22"/>
  <c r="DP21" i="22" s="1"/>
  <c r="DP16" i="22"/>
  <c r="DP18" i="22"/>
  <c r="DP17" i="22"/>
  <c r="DN37" i="22"/>
  <c r="DN29" i="22"/>
  <c r="DQ8" i="22"/>
  <c r="DQ15" i="22" s="1"/>
  <c r="DR9" i="22"/>
  <c r="DM44" i="22" l="1"/>
  <c r="DM46" i="22" s="1"/>
  <c r="BL78" i="22"/>
  <c r="BK86" i="22"/>
  <c r="BK102" i="22" s="1"/>
  <c r="BK104" i="22" s="1"/>
  <c r="BK105" i="22" s="1"/>
  <c r="BK107" i="22" s="1"/>
  <c r="V64" i="21"/>
  <c r="U64" i="21" s="1"/>
  <c r="BP80" i="22" s="1"/>
  <c r="DP22" i="22"/>
  <c r="DN42" i="22"/>
  <c r="DN44" i="22" s="1"/>
  <c r="DS9" i="22"/>
  <c r="DR8" i="22"/>
  <c r="DR15" i="22" s="1"/>
  <c r="DP19" i="22"/>
  <c r="DP23" i="22" s="1"/>
  <c r="DQ16" i="22"/>
  <c r="DQ22" i="22" s="1"/>
  <c r="DQ20" i="22"/>
  <c r="DQ21" i="22" s="1"/>
  <c r="DQ17" i="22"/>
  <c r="DQ18" i="22"/>
  <c r="DO37" i="22"/>
  <c r="DO42" i="22" s="1"/>
  <c r="DO29" i="22"/>
  <c r="DM54" i="22" l="1"/>
  <c r="DM47" i="22"/>
  <c r="DA45" i="22"/>
  <c r="DA59" i="22" s="1"/>
  <c r="DA60" i="22" s="1"/>
  <c r="DA61" i="22" s="1"/>
  <c r="DA63" i="22" s="1"/>
  <c r="DN46" i="22"/>
  <c r="DN47" i="22"/>
  <c r="W64" i="21"/>
  <c r="T65" i="21" s="1"/>
  <c r="BL75" i="22"/>
  <c r="BL83" i="22" s="1"/>
  <c r="BL81" i="22"/>
  <c r="BL82" i="22" s="1"/>
  <c r="BL84" i="22" s="1"/>
  <c r="DN54" i="22"/>
  <c r="DQ19" i="22"/>
  <c r="DQ23" i="22" s="1"/>
  <c r="DP37" i="22"/>
  <c r="DP29" i="22"/>
  <c r="DB45" i="22"/>
  <c r="DB59" i="22" s="1"/>
  <c r="DO44" i="22"/>
  <c r="DR20" i="22"/>
  <c r="DR21" i="22" s="1"/>
  <c r="DR16" i="22"/>
  <c r="DR18" i="22"/>
  <c r="DR17" i="22"/>
  <c r="DS8" i="22"/>
  <c r="DS15" i="22" s="1"/>
  <c r="DT9" i="22"/>
  <c r="DO46" i="22" l="1"/>
  <c r="DO47" i="22"/>
  <c r="BM78" i="22"/>
  <c r="BL86" i="22"/>
  <c r="BL102" i="22" s="1"/>
  <c r="BL104" i="22" s="1"/>
  <c r="BL105" i="22" s="1"/>
  <c r="BL107" i="22" s="1"/>
  <c r="V65" i="21"/>
  <c r="U65" i="21" s="1"/>
  <c r="BQ80" i="22" s="1"/>
  <c r="DO54" i="22"/>
  <c r="DP42" i="22"/>
  <c r="DP44" i="22" s="1"/>
  <c r="DR22" i="22"/>
  <c r="DB60" i="22"/>
  <c r="DC45" i="22"/>
  <c r="DC59" i="22" s="1"/>
  <c r="DR19" i="22"/>
  <c r="DR23" i="22" s="1"/>
  <c r="DU9" i="22"/>
  <c r="DT8" i="22"/>
  <c r="DT15" i="22" s="1"/>
  <c r="DS16" i="22"/>
  <c r="DS22" i="22" s="1"/>
  <c r="DS20" i="22"/>
  <c r="DS21" i="22" s="1"/>
  <c r="DS17" i="22"/>
  <c r="DS18" i="22"/>
  <c r="DQ37" i="22"/>
  <c r="DQ42" i="22" s="1"/>
  <c r="DQ29" i="22"/>
  <c r="DP46" i="22" l="1"/>
  <c r="DP47" i="22"/>
  <c r="W65" i="21"/>
  <c r="T66" i="21" s="1"/>
  <c r="BM75" i="22"/>
  <c r="BM83" i="22" s="1"/>
  <c r="BM81" i="22"/>
  <c r="BM82" i="22" s="1"/>
  <c r="BM84" i="22" s="1"/>
  <c r="DP54" i="22"/>
  <c r="DB61" i="22"/>
  <c r="DB63" i="22" s="1"/>
  <c r="DQ44" i="22"/>
  <c r="DE45" i="22" s="1"/>
  <c r="DE59" i="22" s="1"/>
  <c r="DE60" i="22" s="1"/>
  <c r="DE61" i="22" s="1"/>
  <c r="DE63" i="22" s="1"/>
  <c r="DD45" i="22"/>
  <c r="DD59" i="22" s="1"/>
  <c r="DU8" i="22"/>
  <c r="DU15" i="22" s="1"/>
  <c r="DV9" i="22"/>
  <c r="DS19" i="22"/>
  <c r="DS23" i="22" s="1"/>
  <c r="DC60" i="22"/>
  <c r="DC61" i="22" s="1"/>
  <c r="DC63" i="22" s="1"/>
  <c r="DR37" i="22"/>
  <c r="DR29" i="22"/>
  <c r="DT16" i="22"/>
  <c r="DT20" i="22"/>
  <c r="DT21" i="22" s="1"/>
  <c r="DT17" i="22"/>
  <c r="DT18" i="22"/>
  <c r="DQ46" i="22" l="1"/>
  <c r="DQ47" i="22"/>
  <c r="BN78" i="22"/>
  <c r="BM86" i="22"/>
  <c r="BM102" i="22" s="1"/>
  <c r="BM104" i="22" s="1"/>
  <c r="BM105" i="22" s="1"/>
  <c r="BM107" i="22" s="1"/>
  <c r="V66" i="21"/>
  <c r="U66" i="21" s="1"/>
  <c r="BR80" i="22" s="1"/>
  <c r="DD60" i="22"/>
  <c r="DQ54" i="22"/>
  <c r="DT22" i="22"/>
  <c r="DR42" i="22"/>
  <c r="DR44" i="22" s="1"/>
  <c r="DT19" i="22"/>
  <c r="DW9" i="22"/>
  <c r="DV8" i="22"/>
  <c r="DV15" i="22" s="1"/>
  <c r="DU17" i="22"/>
  <c r="DU16" i="22"/>
  <c r="DU20" i="22"/>
  <c r="DU21" i="22" s="1"/>
  <c r="DU18" i="22"/>
  <c r="DS37" i="22"/>
  <c r="DS42" i="22" s="1"/>
  <c r="DS29" i="22"/>
  <c r="DT37" i="22" l="1"/>
  <c r="DT42" i="22" s="1"/>
  <c r="DT23" i="22"/>
  <c r="DR46" i="22"/>
  <c r="DR47" i="22"/>
  <c r="W66" i="21"/>
  <c r="T67" i="21" s="1"/>
  <c r="BN81" i="22"/>
  <c r="BN82" i="22" s="1"/>
  <c r="BN84" i="22" s="1"/>
  <c r="BN75" i="22"/>
  <c r="BN83" i="22" s="1"/>
  <c r="DD61" i="22"/>
  <c r="DD63" i="22" s="1"/>
  <c r="DR54" i="22"/>
  <c r="DT29" i="22"/>
  <c r="DF45" i="22"/>
  <c r="DF59" i="22" s="1"/>
  <c r="DU19" i="22"/>
  <c r="DU23" i="22" s="1"/>
  <c r="DU22" i="22"/>
  <c r="DS44" i="22"/>
  <c r="DV16" i="22"/>
  <c r="DV20" i="22"/>
  <c r="DV21" i="22" s="1"/>
  <c r="DV18" i="22"/>
  <c r="DV17" i="22"/>
  <c r="DW8" i="22"/>
  <c r="DW15" i="22" s="1"/>
  <c r="DX9" i="22"/>
  <c r="DT44" i="22" l="1"/>
  <c r="DT46" i="22" s="1"/>
  <c r="DS46" i="22"/>
  <c r="DS47" i="22"/>
  <c r="BN86" i="22"/>
  <c r="BN102" i="22" s="1"/>
  <c r="BN104" i="22" s="1"/>
  <c r="BN105" i="22" s="1"/>
  <c r="BN107" i="22" s="1"/>
  <c r="BO78" i="22"/>
  <c r="V67" i="21"/>
  <c r="U67" i="21" s="1"/>
  <c r="BS80" i="22" s="1"/>
  <c r="DS54" i="22"/>
  <c r="DF60" i="22"/>
  <c r="DV22" i="22"/>
  <c r="DV19" i="22"/>
  <c r="DV23" i="22" s="1"/>
  <c r="DY9" i="22"/>
  <c r="EW9" i="22" s="1"/>
  <c r="DX8" i="22"/>
  <c r="DX15" i="22" s="1"/>
  <c r="DW16" i="22"/>
  <c r="DW22" i="22" s="1"/>
  <c r="DW20" i="22"/>
  <c r="DW21" i="22" s="1"/>
  <c r="DW18" i="22"/>
  <c r="DW17" i="22"/>
  <c r="DG45" i="22"/>
  <c r="DG59" i="22" s="1"/>
  <c r="DU37" i="22"/>
  <c r="DU29" i="22"/>
  <c r="DT54" i="22" l="1"/>
  <c r="DH45" i="22"/>
  <c r="DH59" i="22" s="1"/>
  <c r="DH60" i="22" s="1"/>
  <c r="DH61" i="22" s="1"/>
  <c r="DH63" i="22" s="1"/>
  <c r="DT47" i="22"/>
  <c r="BO75" i="22"/>
  <c r="BO83" i="22" s="1"/>
  <c r="BO81" i="22"/>
  <c r="BO82" i="22" s="1"/>
  <c r="BO84" i="22" s="1"/>
  <c r="W67" i="21"/>
  <c r="T68" i="21" s="1"/>
  <c r="DF61" i="22"/>
  <c r="DF63" i="22" s="1"/>
  <c r="DU42" i="22"/>
  <c r="DU44" i="22" s="1"/>
  <c r="DW19" i="22"/>
  <c r="DW23" i="22" s="1"/>
  <c r="DX16" i="22"/>
  <c r="DX22" i="22" s="1"/>
  <c r="DX20" i="22"/>
  <c r="DX21" i="22" s="1"/>
  <c r="DX18" i="22"/>
  <c r="DX17" i="22"/>
  <c r="DZ9" i="22"/>
  <c r="DY8" i="22"/>
  <c r="EW8" i="22" s="1"/>
  <c r="DG60" i="22"/>
  <c r="DG61" i="22" s="1"/>
  <c r="DG63" i="22" s="1"/>
  <c r="DV37" i="22"/>
  <c r="DV42" i="22" s="1"/>
  <c r="DV29" i="22"/>
  <c r="DU46" i="22" l="1"/>
  <c r="DU47" i="22"/>
  <c r="V68" i="21"/>
  <c r="U68" i="21" s="1"/>
  <c r="BT80" i="22" s="1"/>
  <c r="BP78" i="22"/>
  <c r="BO86" i="22"/>
  <c r="BO102" i="22" s="1"/>
  <c r="BO104" i="22" s="1"/>
  <c r="BO105" i="22" s="1"/>
  <c r="BO107" i="22" s="1"/>
  <c r="DU54" i="22"/>
  <c r="DY15" i="22"/>
  <c r="DY20" i="22" s="1"/>
  <c r="DY21" i="22" s="1"/>
  <c r="DV44" i="22"/>
  <c r="DI45" i="22"/>
  <c r="DI59" i="22" s="1"/>
  <c r="EA9" i="22"/>
  <c r="DZ8" i="22"/>
  <c r="DZ15" i="22" s="1"/>
  <c r="DX19" i="22"/>
  <c r="DX23" i="22" s="1"/>
  <c r="DW37" i="22"/>
  <c r="DW29" i="22"/>
  <c r="DV46" i="22" l="1"/>
  <c r="DV47" i="22"/>
  <c r="BP81" i="22"/>
  <c r="BP82" i="22" s="1"/>
  <c r="BP84" i="22" s="1"/>
  <c r="BP75" i="22"/>
  <c r="BP83" i="22" s="1"/>
  <c r="W68" i="21"/>
  <c r="T69" i="21" s="1"/>
  <c r="DJ45" i="22"/>
  <c r="DJ59" i="22" s="1"/>
  <c r="DJ60" i="22" s="1"/>
  <c r="DJ61" i="22" s="1"/>
  <c r="DJ63" i="22" s="1"/>
  <c r="DY17" i="22"/>
  <c r="DY16" i="22"/>
  <c r="DY22" i="22" s="1"/>
  <c r="DY18" i="22"/>
  <c r="DV54" i="22"/>
  <c r="DW42" i="22"/>
  <c r="DW44" i="22" s="1"/>
  <c r="DI60" i="22"/>
  <c r="EB9" i="22"/>
  <c r="EA8" i="22"/>
  <c r="EA15" i="22" s="1"/>
  <c r="DX37" i="22"/>
  <c r="DX42" i="22" s="1"/>
  <c r="DX29" i="22"/>
  <c r="DZ16" i="22"/>
  <c r="DZ20" i="22"/>
  <c r="DZ21" i="22" s="1"/>
  <c r="DZ18" i="22"/>
  <c r="DZ17" i="22"/>
  <c r="DW46" i="22" l="1"/>
  <c r="DW47" i="22"/>
  <c r="V69" i="21"/>
  <c r="U69" i="21" s="1"/>
  <c r="BU80" i="22" s="1"/>
  <c r="BP86" i="22"/>
  <c r="BP102" i="22" s="1"/>
  <c r="BP104" i="22" s="1"/>
  <c r="BP105" i="22" s="1"/>
  <c r="BP107" i="22" s="1"/>
  <c r="BQ78" i="22"/>
  <c r="DY19" i="22"/>
  <c r="DY23" i="22" s="1"/>
  <c r="DW54" i="22"/>
  <c r="DI61" i="22"/>
  <c r="DI63" i="22" s="1"/>
  <c r="DZ22" i="22"/>
  <c r="DX44" i="22"/>
  <c r="EA20" i="22"/>
  <c r="EA21" i="22" s="1"/>
  <c r="EA16" i="22"/>
  <c r="EA22" i="22" s="1"/>
  <c r="EA18" i="22"/>
  <c r="EA17" i="22"/>
  <c r="EC9" i="22"/>
  <c r="EB8" i="22"/>
  <c r="EB15" i="22" s="1"/>
  <c r="DK45" i="22"/>
  <c r="DK59" i="22" s="1"/>
  <c r="DK60" i="22" s="1"/>
  <c r="DK61" i="22" s="1"/>
  <c r="DK63" i="22" s="1"/>
  <c r="DZ19" i="22"/>
  <c r="DZ23" i="22" s="1"/>
  <c r="DX46" i="22" l="1"/>
  <c r="DX47" i="22"/>
  <c r="DY29" i="22"/>
  <c r="DY37" i="22"/>
  <c r="DY42" i="22" s="1"/>
  <c r="BQ75" i="22"/>
  <c r="BQ83" i="22" s="1"/>
  <c r="BQ81" i="22"/>
  <c r="E51" i="48" s="1"/>
  <c r="W69" i="21"/>
  <c r="T70" i="21" s="1"/>
  <c r="DX54" i="22"/>
  <c r="DL45" i="22"/>
  <c r="DL59" i="22" s="1"/>
  <c r="DL60" i="22" s="1"/>
  <c r="EA19" i="22"/>
  <c r="EA23" i="22" s="1"/>
  <c r="EB16" i="22"/>
  <c r="EB20" i="22"/>
  <c r="EB21" i="22" s="1"/>
  <c r="EB17" i="22"/>
  <c r="EB18" i="22"/>
  <c r="DZ37" i="22"/>
  <c r="DZ29" i="22"/>
  <c r="EC8" i="22"/>
  <c r="EC15" i="22" s="1"/>
  <c r="ED9" i="22"/>
  <c r="DY44" i="22" l="1"/>
  <c r="V70" i="21"/>
  <c r="U70" i="21" s="1"/>
  <c r="BV80" i="22" s="1"/>
  <c r="BQ86" i="22"/>
  <c r="BQ102" i="22" s="1"/>
  <c r="BQ104" i="22" s="1"/>
  <c r="BQ105" i="22" s="1"/>
  <c r="BQ107" i="22" s="1"/>
  <c r="BQ82" i="22"/>
  <c r="BQ84" i="22" s="1"/>
  <c r="DL61" i="22"/>
  <c r="DL63" i="22" s="1"/>
  <c r="EB22" i="22"/>
  <c r="DZ42" i="22"/>
  <c r="DZ44" i="22" s="1"/>
  <c r="EB19" i="22"/>
  <c r="EB23" i="22" s="1"/>
  <c r="ED8" i="22"/>
  <c r="ED15" i="22" s="1"/>
  <c r="EE9" i="22"/>
  <c r="EC17" i="22"/>
  <c r="EC16" i="22"/>
  <c r="EC22" i="22" s="1"/>
  <c r="EC20" i="22"/>
  <c r="EC21" i="22" s="1"/>
  <c r="EC18" i="22"/>
  <c r="EA37" i="22"/>
  <c r="EA42" i="22" s="1"/>
  <c r="EA29" i="22"/>
  <c r="DZ46" i="22" l="1"/>
  <c r="DZ47" i="22"/>
  <c r="DY54" i="22"/>
  <c r="DY46" i="22"/>
  <c r="DY47" i="22"/>
  <c r="DM45" i="22"/>
  <c r="DM59" i="22" s="1"/>
  <c r="DM60" i="22" s="1"/>
  <c r="DM61" i="22" s="1"/>
  <c r="DM63" i="22" s="1"/>
  <c r="BR78" i="22"/>
  <c r="ER104" i="22"/>
  <c r="ER102" i="22"/>
  <c r="W70" i="21"/>
  <c r="T71" i="21" s="1"/>
  <c r="DZ54" i="22"/>
  <c r="EA44" i="22"/>
  <c r="EE8" i="22"/>
  <c r="EE15" i="22" s="1"/>
  <c r="EF9" i="22"/>
  <c r="EC19" i="22"/>
  <c r="EC23" i="22" s="1"/>
  <c r="ED16" i="22"/>
  <c r="ED20" i="22"/>
  <c r="ED21" i="22" s="1"/>
  <c r="ED17" i="22"/>
  <c r="ED18" i="22"/>
  <c r="DN45" i="22"/>
  <c r="DN59" i="22" s="1"/>
  <c r="EB37" i="22"/>
  <c r="EB29" i="22"/>
  <c r="EA46" i="22" l="1"/>
  <c r="EA47" i="22"/>
  <c r="ER105" i="22"/>
  <c r="ER107" i="22" s="1"/>
  <c r="V71" i="21"/>
  <c r="U71" i="21" s="1"/>
  <c r="BW80" i="22" s="1"/>
  <c r="BR81" i="22"/>
  <c r="BR82" i="22" s="1"/>
  <c r="BR84" i="22" s="1"/>
  <c r="BR75" i="22"/>
  <c r="BR83" i="22" s="1"/>
  <c r="EA54" i="22"/>
  <c r="DN60" i="22"/>
  <c r="ED22" i="22"/>
  <c r="EB42" i="22"/>
  <c r="EB44" i="22" s="1"/>
  <c r="DO45" i="22"/>
  <c r="DO59" i="22" s="1"/>
  <c r="DO60" i="22" s="1"/>
  <c r="DO61" i="22" s="1"/>
  <c r="DO63" i="22" s="1"/>
  <c r="EF8" i="22"/>
  <c r="EF15" i="22" s="1"/>
  <c r="EG9" i="22"/>
  <c r="EE16" i="22"/>
  <c r="EE22" i="22" s="1"/>
  <c r="EE20" i="22"/>
  <c r="EE21" i="22" s="1"/>
  <c r="EE18" i="22"/>
  <c r="EE17" i="22"/>
  <c r="EC37" i="22"/>
  <c r="EC42" i="22" s="1"/>
  <c r="EC29" i="22"/>
  <c r="ED19" i="22"/>
  <c r="ED23" i="22" s="1"/>
  <c r="EB46" i="22" l="1"/>
  <c r="EB47" i="22"/>
  <c r="BS78" i="22"/>
  <c r="BR86" i="22"/>
  <c r="BR102" i="22" s="1"/>
  <c r="BR104" i="22" s="1"/>
  <c r="BR105" i="22" s="1"/>
  <c r="BR107" i="22" s="1"/>
  <c r="W71" i="21"/>
  <c r="T72" i="21" s="1"/>
  <c r="DN61" i="22"/>
  <c r="DN63" i="22" s="1"/>
  <c r="EB54" i="22"/>
  <c r="DP45" i="22"/>
  <c r="DP59" i="22" s="1"/>
  <c r="EC44" i="22"/>
  <c r="ED37" i="22"/>
  <c r="ED29" i="22"/>
  <c r="EH9" i="22"/>
  <c r="EG8" i="22"/>
  <c r="EG15" i="22" s="1"/>
  <c r="EF16" i="22"/>
  <c r="EF20" i="22"/>
  <c r="EF21" i="22" s="1"/>
  <c r="EF17" i="22"/>
  <c r="EF18" i="22"/>
  <c r="EE19" i="22"/>
  <c r="EE23" i="22" s="1"/>
  <c r="EC46" i="22" l="1"/>
  <c r="EC47" i="22"/>
  <c r="V72" i="21"/>
  <c r="U72" i="21" s="1"/>
  <c r="BX80" i="22" s="1"/>
  <c r="BS81" i="22"/>
  <c r="BS82" i="22" s="1"/>
  <c r="BS84" i="22" s="1"/>
  <c r="BS75" i="22"/>
  <c r="BS83" i="22" s="1"/>
  <c r="DQ45" i="22"/>
  <c r="DQ59" i="22" s="1"/>
  <c r="DQ60" i="22" s="1"/>
  <c r="DQ61" i="22" s="1"/>
  <c r="DQ63" i="22" s="1"/>
  <c r="DP60" i="22"/>
  <c r="EC54" i="22"/>
  <c r="ED42" i="22"/>
  <c r="ED44" i="22" s="1"/>
  <c r="EF22" i="22"/>
  <c r="EF19" i="22"/>
  <c r="EF23" i="22" s="1"/>
  <c r="EI9" i="22"/>
  <c r="EH8" i="22"/>
  <c r="EH15" i="22" s="1"/>
  <c r="EE37" i="22"/>
  <c r="EE42" i="22" s="1"/>
  <c r="EE29" i="22"/>
  <c r="EG16" i="22"/>
  <c r="EG22" i="22" s="1"/>
  <c r="EG20" i="22"/>
  <c r="EG21" i="22" s="1"/>
  <c r="EG18" i="22"/>
  <c r="EG17" i="22"/>
  <c r="ED46" i="22" l="1"/>
  <c r="ED47" i="22"/>
  <c r="BS86" i="22"/>
  <c r="BS102" i="22" s="1"/>
  <c r="BS104" i="22" s="1"/>
  <c r="BS105" i="22" s="1"/>
  <c r="BS107" i="22" s="1"/>
  <c r="BT78" i="22"/>
  <c r="W72" i="21"/>
  <c r="T73" i="21" s="1"/>
  <c r="ED54" i="22"/>
  <c r="DP61" i="22"/>
  <c r="DP63" i="22" s="1"/>
  <c r="DR45" i="22"/>
  <c r="DR59" i="22" s="1"/>
  <c r="EE44" i="22"/>
  <c r="EH20" i="22"/>
  <c r="EH21" i="22" s="1"/>
  <c r="EH16" i="22"/>
  <c r="EH18" i="22"/>
  <c r="EH17" i="22"/>
  <c r="EI8" i="22"/>
  <c r="EI15" i="22" s="1"/>
  <c r="EJ9" i="22"/>
  <c r="EG19" i="22"/>
  <c r="EG23" i="22" s="1"/>
  <c r="EF37" i="22"/>
  <c r="EF29" i="22"/>
  <c r="EE46" i="22" l="1"/>
  <c r="EE47" i="22"/>
  <c r="V73" i="21"/>
  <c r="U73" i="21" s="1"/>
  <c r="BY80" i="22" s="1"/>
  <c r="BT75" i="22"/>
  <c r="BT83" i="22" s="1"/>
  <c r="BT81" i="22"/>
  <c r="BT82" i="22" s="1"/>
  <c r="BT84" i="22" s="1"/>
  <c r="DR60" i="22"/>
  <c r="EE54" i="22"/>
  <c r="EH22" i="22"/>
  <c r="EF42" i="22"/>
  <c r="EF44" i="22" s="1"/>
  <c r="EH19" i="22"/>
  <c r="EH23" i="22" s="1"/>
  <c r="EJ8" i="22"/>
  <c r="EJ15" i="22" s="1"/>
  <c r="EK9" i="22"/>
  <c r="EX9" i="22" s="1"/>
  <c r="EG37" i="22"/>
  <c r="EG42" i="22" s="1"/>
  <c r="EG29" i="22"/>
  <c r="EI16" i="22"/>
  <c r="EI22" i="22" s="1"/>
  <c r="EI20" i="22"/>
  <c r="EI21" i="22" s="1"/>
  <c r="EI17" i="22"/>
  <c r="EI18" i="22"/>
  <c r="DS45" i="22"/>
  <c r="DS59" i="22" s="1"/>
  <c r="EF46" i="22" l="1"/>
  <c r="EF47" i="22"/>
  <c r="BU78" i="22"/>
  <c r="BT86" i="22"/>
  <c r="BT102" i="22" s="1"/>
  <c r="BT104" i="22" s="1"/>
  <c r="BT105" i="22" s="1"/>
  <c r="BT107" i="22" s="1"/>
  <c r="W73" i="21"/>
  <c r="T74" i="21" s="1"/>
  <c r="EF54" i="22"/>
  <c r="DR61" i="22"/>
  <c r="DR63" i="22" s="1"/>
  <c r="EK8" i="22"/>
  <c r="EX8" i="22" s="1"/>
  <c r="DT45" i="22"/>
  <c r="DT59" i="22" s="1"/>
  <c r="EJ16" i="22"/>
  <c r="EJ22" i="22" s="1"/>
  <c r="EJ20" i="22"/>
  <c r="EJ21" i="22" s="1"/>
  <c r="EJ17" i="22"/>
  <c r="EJ18" i="22"/>
  <c r="EI19" i="22"/>
  <c r="EI23" i="22" s="1"/>
  <c r="EH37" i="22"/>
  <c r="EH29" i="22"/>
  <c r="EG44" i="22"/>
  <c r="DS60" i="22"/>
  <c r="DS61" i="22" s="1"/>
  <c r="DS63" i="22" s="1"/>
  <c r="EG46" i="22" l="1"/>
  <c r="EG47" i="22"/>
  <c r="V74" i="21"/>
  <c r="U74" i="21" s="1"/>
  <c r="BZ80" i="22" s="1"/>
  <c r="BU81" i="22"/>
  <c r="BU82" i="22" s="1"/>
  <c r="BU84" i="22" s="1"/>
  <c r="BU75" i="22"/>
  <c r="BU83" i="22" s="1"/>
  <c r="DT60" i="22"/>
  <c r="EG54" i="22"/>
  <c r="EH42" i="22"/>
  <c r="EH44" i="22" s="1"/>
  <c r="EK15" i="22"/>
  <c r="DU45" i="22"/>
  <c r="DU59" i="22" s="1"/>
  <c r="DU60" i="22" s="1"/>
  <c r="DU61" i="22" s="1"/>
  <c r="DU63" i="22" s="1"/>
  <c r="EI37" i="22"/>
  <c r="EI42" i="22" s="1"/>
  <c r="EI29" i="22"/>
  <c r="EJ19" i="22"/>
  <c r="EJ23" i="22" s="1"/>
  <c r="EN15" i="22" l="1"/>
  <c r="EN20" i="22" s="1"/>
  <c r="EO15" i="22"/>
  <c r="EO20" i="22" s="1"/>
  <c r="EP15" i="22"/>
  <c r="EP20" i="22" s="1"/>
  <c r="EQ15" i="22"/>
  <c r="EQ20" i="22" s="1"/>
  <c r="ER15" i="22"/>
  <c r="ER20" i="22" s="1"/>
  <c r="ES15" i="22"/>
  <c r="ES20" i="22" s="1"/>
  <c r="ES21" i="22" s="1"/>
  <c r="ET15" i="22"/>
  <c r="ET20" i="22" s="1"/>
  <c r="ET21" i="22" s="1"/>
  <c r="EU15" i="22"/>
  <c r="EU20" i="22" s="1"/>
  <c r="EU21" i="22" s="1"/>
  <c r="EV15" i="22"/>
  <c r="EV20" i="22" s="1"/>
  <c r="EV21" i="22" s="1"/>
  <c r="EW15" i="22"/>
  <c r="EW20" i="22" s="1"/>
  <c r="EW21" i="22" s="1"/>
  <c r="EX15" i="22"/>
  <c r="EX20" i="22" s="1"/>
  <c r="EX21" i="22" s="1"/>
  <c r="EH46" i="22"/>
  <c r="EH47" i="22"/>
  <c r="BU86" i="22"/>
  <c r="BU102" i="22" s="1"/>
  <c r="BU104" i="22" s="1"/>
  <c r="BU105" i="22" s="1"/>
  <c r="BU107" i="22" s="1"/>
  <c r="BV78" i="22"/>
  <c r="W74" i="21"/>
  <c r="T75" i="21" s="1"/>
  <c r="EH54" i="22"/>
  <c r="DT61" i="22"/>
  <c r="DT63" i="22" s="1"/>
  <c r="EK17" i="22"/>
  <c r="EK16" i="22"/>
  <c r="EK18" i="22"/>
  <c r="EK20" i="22"/>
  <c r="EK21" i="22" s="1"/>
  <c r="EI44" i="22"/>
  <c r="EJ37" i="22"/>
  <c r="EJ42" i="22" s="1"/>
  <c r="EJ29" i="22"/>
  <c r="DV45" i="22"/>
  <c r="DV59" i="22" s="1"/>
  <c r="I60" i="48" l="1"/>
  <c r="EQ21" i="22"/>
  <c r="J60" i="48"/>
  <c r="ER21" i="22"/>
  <c r="H60" i="48"/>
  <c r="EP21" i="22"/>
  <c r="G60" i="48"/>
  <c r="G66" i="48" s="1"/>
  <c r="EO21" i="22"/>
  <c r="F60" i="48"/>
  <c r="F66" i="48" s="1"/>
  <c r="EN21" i="22"/>
  <c r="EI46" i="22"/>
  <c r="EI47" i="22"/>
  <c r="BV75" i="22"/>
  <c r="BV83" i="22" s="1"/>
  <c r="BV81" i="22"/>
  <c r="BV82" i="22" s="1"/>
  <c r="BV84" i="22" s="1"/>
  <c r="V75" i="21"/>
  <c r="U75" i="21" s="1"/>
  <c r="CA80" i="22" s="1"/>
  <c r="EI54" i="22"/>
  <c r="DV60" i="22"/>
  <c r="EK19" i="22"/>
  <c r="DW45" i="22"/>
  <c r="DW59" i="22" s="1"/>
  <c r="DW60" i="22" s="1"/>
  <c r="DW61" i="22" s="1"/>
  <c r="DW63" i="22" s="1"/>
  <c r="EN18" i="22"/>
  <c r="EO18" i="22"/>
  <c r="EP18" i="22"/>
  <c r="EQ18" i="22"/>
  <c r="ER18" i="22"/>
  <c r="ES18" i="22"/>
  <c r="ET18" i="22"/>
  <c r="EU18" i="22"/>
  <c r="EV18" i="22"/>
  <c r="EW18" i="22"/>
  <c r="EX18" i="22"/>
  <c r="EK22" i="22"/>
  <c r="EN16" i="22"/>
  <c r="EN22" i="22" s="1"/>
  <c r="F61" i="48" s="1"/>
  <c r="EO16" i="22"/>
  <c r="EO22" i="22" s="1"/>
  <c r="G61" i="48" s="1"/>
  <c r="EP16" i="22"/>
  <c r="EP22" i="22" s="1"/>
  <c r="H61" i="48" s="1"/>
  <c r="EQ16" i="22"/>
  <c r="EQ22" i="22" s="1"/>
  <c r="I61" i="48" s="1"/>
  <c r="ER16" i="22"/>
  <c r="ER22" i="22" s="1"/>
  <c r="J61" i="48" s="1"/>
  <c r="ES16" i="22"/>
  <c r="ES22" i="22" s="1"/>
  <c r="ET16" i="22"/>
  <c r="ET22" i="22" s="1"/>
  <c r="EU16" i="22"/>
  <c r="EU22" i="22" s="1"/>
  <c r="EV16" i="22"/>
  <c r="EV22" i="22" s="1"/>
  <c r="EW16" i="22"/>
  <c r="EW22" i="22" s="1"/>
  <c r="EX16" i="22"/>
  <c r="EX22" i="22" s="1"/>
  <c r="EN17" i="22"/>
  <c r="EO17" i="22"/>
  <c r="EP17" i="22"/>
  <c r="EQ17" i="22"/>
  <c r="ER17" i="22"/>
  <c r="ES17" i="22"/>
  <c r="ET17" i="22"/>
  <c r="EU17" i="22"/>
  <c r="EV17" i="22"/>
  <c r="EW17" i="22"/>
  <c r="EX17" i="22"/>
  <c r="EJ44" i="22"/>
  <c r="J66" i="48" l="1"/>
  <c r="EJ46" i="22"/>
  <c r="EJ47" i="22"/>
  <c r="H66" i="48"/>
  <c r="EK37" i="22"/>
  <c r="EK42" i="22" s="1"/>
  <c r="EK23" i="22"/>
  <c r="I66" i="48"/>
  <c r="W75" i="21"/>
  <c r="T76" i="21" s="1"/>
  <c r="BW78" i="22"/>
  <c r="BV86" i="22"/>
  <c r="BV102" i="22" s="1"/>
  <c r="BV104" i="22" s="1"/>
  <c r="BV105" i="22" s="1"/>
  <c r="BV107" i="22" s="1"/>
  <c r="DV61" i="22"/>
  <c r="DV63" i="22" s="1"/>
  <c r="EW19" i="22"/>
  <c r="EJ54" i="22"/>
  <c r="EX19" i="22"/>
  <c r="EX23" i="22" s="1"/>
  <c r="EP19" i="22"/>
  <c r="EP23" i="22" s="1"/>
  <c r="EO19" i="22"/>
  <c r="EO23" i="22" s="1"/>
  <c r="EK29" i="22"/>
  <c r="EN19" i="22"/>
  <c r="EN23" i="22" s="1"/>
  <c r="EQ19" i="22"/>
  <c r="EQ23" i="22" s="1"/>
  <c r="EU19" i="22"/>
  <c r="EU23" i="22" s="1"/>
  <c r="ET19" i="22"/>
  <c r="ET23" i="22" s="1"/>
  <c r="ES19" i="22"/>
  <c r="ES23" i="22" s="1"/>
  <c r="ER19" i="22"/>
  <c r="ER23" i="22" s="1"/>
  <c r="EV19" i="22"/>
  <c r="EV23" i="22" s="1"/>
  <c r="EN37" i="22"/>
  <c r="EN42" i="22" s="1"/>
  <c r="F63" i="48" s="1"/>
  <c r="EO37" i="22"/>
  <c r="EO42" i="22" s="1"/>
  <c r="G63" i="48" s="1"/>
  <c r="EP37" i="22"/>
  <c r="EP42" i="22" s="1"/>
  <c r="H63" i="48" s="1"/>
  <c r="EQ37" i="22"/>
  <c r="EQ42" i="22" s="1"/>
  <c r="I63" i="48" s="1"/>
  <c r="ER37" i="22"/>
  <c r="ER42" i="22" s="1"/>
  <c r="J63" i="48" s="1"/>
  <c r="ES37" i="22"/>
  <c r="ES42" i="22" s="1"/>
  <c r="ET37" i="22"/>
  <c r="ET42" i="22" s="1"/>
  <c r="EU37" i="22"/>
  <c r="EU42" i="22" s="1"/>
  <c r="EV37" i="22"/>
  <c r="EV42" i="22" s="1"/>
  <c r="EW37" i="22"/>
  <c r="EW42" i="22" s="1"/>
  <c r="EX37" i="22"/>
  <c r="EX42" i="22" s="1"/>
  <c r="DX45" i="22"/>
  <c r="DX59" i="22" s="1"/>
  <c r="I68" i="48" l="1"/>
  <c r="I69" i="48"/>
  <c r="J68" i="48"/>
  <c r="J69" i="48"/>
  <c r="H69" i="48"/>
  <c r="H68" i="48"/>
  <c r="EW29" i="22"/>
  <c r="EW44" i="22" s="1"/>
  <c r="EW23" i="22"/>
  <c r="G69" i="48"/>
  <c r="G68" i="48"/>
  <c r="F68" i="48"/>
  <c r="F69" i="48"/>
  <c r="BW75" i="22"/>
  <c r="BW83" i="22" s="1"/>
  <c r="BW81" i="22"/>
  <c r="BW82" i="22" s="1"/>
  <c r="BW84" i="22" s="1"/>
  <c r="V76" i="21"/>
  <c r="U76" i="21" s="1"/>
  <c r="CB80" i="22" s="1"/>
  <c r="EK44" i="22"/>
  <c r="EV29" i="22"/>
  <c r="EV44" i="22" s="1"/>
  <c r="ER29" i="22"/>
  <c r="J62" i="48" s="1"/>
  <c r="ES29" i="22"/>
  <c r="ES44" i="22" s="1"/>
  <c r="EO29" i="22"/>
  <c r="G62" i="48" s="1"/>
  <c r="ET29" i="22"/>
  <c r="ET44" i="22" s="1"/>
  <c r="EU29" i="22"/>
  <c r="EU44" i="22" s="1"/>
  <c r="EQ29" i="22"/>
  <c r="I62" i="48" s="1"/>
  <c r="EP29" i="22"/>
  <c r="H62" i="48" s="1"/>
  <c r="EN29" i="22"/>
  <c r="F62" i="48" s="1"/>
  <c r="EX29" i="22"/>
  <c r="EX44" i="22" s="1"/>
  <c r="DX60" i="22"/>
  <c r="DX61" i="22" s="1"/>
  <c r="DX63" i="22" s="1"/>
  <c r="I64" i="48" l="1"/>
  <c r="I67" i="48"/>
  <c r="EU46" i="22"/>
  <c r="EU47" i="22"/>
  <c r="ET46" i="22"/>
  <c r="ET47" i="22"/>
  <c r="G64" i="48"/>
  <c r="G67" i="48"/>
  <c r="ES46" i="22"/>
  <c r="ES47" i="22"/>
  <c r="EX46" i="22"/>
  <c r="EX47" i="22"/>
  <c r="J64" i="48"/>
  <c r="J67" i="48"/>
  <c r="H64" i="48"/>
  <c r="H67" i="48"/>
  <c r="EW46" i="22"/>
  <c r="EW47" i="22"/>
  <c r="F64" i="48"/>
  <c r="F67" i="48"/>
  <c r="EV46" i="22"/>
  <c r="EV47" i="22"/>
  <c r="EK46" i="22"/>
  <c r="EK47" i="22"/>
  <c r="W76" i="21"/>
  <c r="T77" i="21" s="1"/>
  <c r="V77" i="21" s="1"/>
  <c r="U77" i="21" s="1"/>
  <c r="CC80" i="22" s="1"/>
  <c r="BX78" i="22"/>
  <c r="BW86" i="22"/>
  <c r="BW102" i="22" s="1"/>
  <c r="BW104" i="22" s="1"/>
  <c r="BW105" i="22" s="1"/>
  <c r="BW107" i="22" s="1"/>
  <c r="EN44" i="22"/>
  <c r="EP44" i="22"/>
  <c r="EO44" i="22"/>
  <c r="EQ44" i="22"/>
  <c r="EW54" i="22"/>
  <c r="ER44" i="22"/>
  <c r="EX54" i="22"/>
  <c r="ES54" i="22"/>
  <c r="EU54" i="22"/>
  <c r="EV54" i="22"/>
  <c r="ET54" i="22"/>
  <c r="EK54" i="22"/>
  <c r="DZ45" i="22"/>
  <c r="DZ59" i="22" s="1"/>
  <c r="EA45" i="22"/>
  <c r="EA59" i="22" s="1"/>
  <c r="EA60" i="22" s="1"/>
  <c r="EA61" i="22" s="1"/>
  <c r="EA63" i="22" s="1"/>
  <c r="DY45" i="22"/>
  <c r="DY59" i="22" s="1"/>
  <c r="DY60" i="22" s="1"/>
  <c r="DY61" i="22" s="1"/>
  <c r="DY63" i="22" s="1"/>
  <c r="EN54" i="22" l="1"/>
  <c r="C31" i="48" a="1"/>
  <c r="EN46" i="22"/>
  <c r="EN47" i="22"/>
  <c r="F73" i="48" s="1"/>
  <c r="ER46" i="22"/>
  <c r="ER47" i="22"/>
  <c r="J73" i="48" s="1"/>
  <c r="H71" i="48"/>
  <c r="H72" i="48"/>
  <c r="H70" i="48"/>
  <c r="EQ46" i="22"/>
  <c r="EQ47" i="22"/>
  <c r="I73" i="48" s="1"/>
  <c r="F72" i="48"/>
  <c r="F70" i="48"/>
  <c r="F71" i="48"/>
  <c r="J72" i="48"/>
  <c r="J70" i="48"/>
  <c r="J71" i="48"/>
  <c r="EO46" i="22"/>
  <c r="EO47" i="22"/>
  <c r="G73" i="48" s="1"/>
  <c r="EP46" i="22"/>
  <c r="EP47" i="22"/>
  <c r="H73" i="48" s="1"/>
  <c r="G71" i="48"/>
  <c r="G72" i="48"/>
  <c r="G70" i="48"/>
  <c r="I70" i="48"/>
  <c r="I72" i="48"/>
  <c r="I71" i="48"/>
  <c r="ER54" i="22"/>
  <c r="EB45" i="22"/>
  <c r="EB59" i="22" s="1"/>
  <c r="EB60" i="22" s="1"/>
  <c r="EB61" i="22" s="1"/>
  <c r="EB63" i="22" s="1"/>
  <c r="EC45" i="22"/>
  <c r="EC59" i="22" s="1"/>
  <c r="EC60" i="22" s="1"/>
  <c r="EC61" i="22" s="1"/>
  <c r="EC63" i="22" s="1"/>
  <c r="EH45" i="22"/>
  <c r="EH59" i="22" s="1"/>
  <c r="EH60" i="22" s="1"/>
  <c r="EH61" i="22" s="1"/>
  <c r="EH63" i="22" s="1"/>
  <c r="EF45" i="22"/>
  <c r="EF59" i="22" s="1"/>
  <c r="EF60" i="22" s="1"/>
  <c r="EF61" i="22" s="1"/>
  <c r="EF63" i="22" s="1"/>
  <c r="ED45" i="22"/>
  <c r="ED59" i="22" s="1"/>
  <c r="ED60" i="22" s="1"/>
  <c r="ED61" i="22" s="1"/>
  <c r="ED63" i="22" s="1"/>
  <c r="EG45" i="22"/>
  <c r="EG59" i="22" s="1"/>
  <c r="EG60" i="22" s="1"/>
  <c r="EG61" i="22" s="1"/>
  <c r="EG63" i="22" s="1"/>
  <c r="EP54" i="22"/>
  <c r="BX81" i="22"/>
  <c r="BX82" i="22" s="1"/>
  <c r="BX84" i="22" s="1"/>
  <c r="BX75" i="22"/>
  <c r="BX83" i="22" s="1"/>
  <c r="W77" i="21"/>
  <c r="T78" i="21" s="1"/>
  <c r="EJ45" i="22"/>
  <c r="EJ59" i="22" s="1"/>
  <c r="EJ60" i="22" s="1"/>
  <c r="EJ61" i="22" s="1"/>
  <c r="EJ63" i="22" s="1"/>
  <c r="EQ54" i="22"/>
  <c r="EE45" i="22"/>
  <c r="EE59" i="22" s="1"/>
  <c r="EE60" i="22" s="1"/>
  <c r="EE61" i="22" s="1"/>
  <c r="EE63" i="22" s="1"/>
  <c r="EO54" i="22"/>
  <c r="EK45" i="22"/>
  <c r="EK59" i="22" s="1"/>
  <c r="EK60" i="22" s="1"/>
  <c r="EI45" i="22"/>
  <c r="EI59" i="22" s="1"/>
  <c r="EI60" i="22" s="1"/>
  <c r="EI61" i="22" s="1"/>
  <c r="EI63" i="22" s="1"/>
  <c r="EN59" i="22"/>
  <c r="EO59" i="22"/>
  <c r="EP59" i="22"/>
  <c r="EQ59" i="22"/>
  <c r="ER59" i="22"/>
  <c r="ES59" i="22"/>
  <c r="ET59" i="22"/>
  <c r="EU59" i="22"/>
  <c r="EV59" i="22"/>
  <c r="EW59" i="22"/>
  <c r="DZ60" i="22"/>
  <c r="C31" i="48" l="1"/>
  <c r="C36" i="48"/>
  <c r="C34" i="48"/>
  <c r="C33" i="48"/>
  <c r="C35" i="48"/>
  <c r="C32" i="48"/>
  <c r="EX59" i="22"/>
  <c r="V78" i="21"/>
  <c r="U78" i="21" s="1"/>
  <c r="CD80" i="22" s="1"/>
  <c r="BX86" i="22"/>
  <c r="BX102" i="22" s="1"/>
  <c r="BX104" i="22" s="1"/>
  <c r="BX105" i="22" s="1"/>
  <c r="BX107" i="22" s="1"/>
  <c r="BY78" i="22"/>
  <c r="J15" i="21"/>
  <c r="EK61" i="22"/>
  <c r="EK63" i="22" s="1"/>
  <c r="EN60" i="22"/>
  <c r="EN61" i="22" s="1"/>
  <c r="EN63" i="22" s="1"/>
  <c r="EO60" i="22"/>
  <c r="EO61" i="22" s="1"/>
  <c r="EO63" i="22" s="1"/>
  <c r="EP60" i="22"/>
  <c r="EP61" i="22" s="1"/>
  <c r="EP63" i="22" s="1"/>
  <c r="EQ60" i="22"/>
  <c r="EQ61" i="22" s="1"/>
  <c r="EQ63" i="22" s="1"/>
  <c r="ER60" i="22"/>
  <c r="ER61" i="22" s="1"/>
  <c r="ER63" i="22" s="1"/>
  <c r="ES60" i="22"/>
  <c r="ES61" i="22" s="1"/>
  <c r="ES63" i="22" s="1"/>
  <c r="ET60" i="22"/>
  <c r="ET61" i="22" s="1"/>
  <c r="ET63" i="22" s="1"/>
  <c r="EU60" i="22"/>
  <c r="EU61" i="22" s="1"/>
  <c r="EU63" i="22" s="1"/>
  <c r="EV60" i="22"/>
  <c r="EV61" i="22" s="1"/>
  <c r="EV63" i="22" s="1"/>
  <c r="EW60" i="22"/>
  <c r="EW61" i="22" s="1"/>
  <c r="EW63" i="22" s="1"/>
  <c r="DZ61" i="22"/>
  <c r="DZ63" i="22" s="1"/>
  <c r="EX60" i="22"/>
  <c r="D35" i="48" l="1"/>
  <c r="D32" i="48"/>
  <c r="EX61" i="22"/>
  <c r="EX63" i="22" s="1"/>
  <c r="D34" i="48"/>
  <c r="D33" i="48"/>
  <c r="D36" i="48"/>
  <c r="BY75" i="22"/>
  <c r="BY83" i="22" s="1"/>
  <c r="BY81" i="22"/>
  <c r="BY82" i="22" s="1"/>
  <c r="BY84" i="22" s="1"/>
  <c r="W78" i="21"/>
  <c r="T79" i="21" s="1"/>
  <c r="C65" i="22"/>
  <c r="C68" i="22"/>
  <c r="C66" i="22"/>
  <c r="C67" i="22"/>
  <c r="C22" i="48" l="1" a="1"/>
  <c r="V79" i="21"/>
  <c r="U79" i="21" s="1"/>
  <c r="CE80" i="22" s="1"/>
  <c r="BZ78" i="22"/>
  <c r="BY86" i="22"/>
  <c r="BY102" i="22" s="1"/>
  <c r="BY104" i="22" l="1"/>
  <c r="BY105" i="22" s="1"/>
  <c r="BY107" i="22" s="1"/>
  <c r="D22" i="48"/>
  <c r="E22" i="48"/>
  <c r="C22" i="48"/>
  <c r="F22" i="48"/>
  <c r="BZ81" i="22"/>
  <c r="BZ82" i="22" s="1"/>
  <c r="BZ84" i="22" s="1"/>
  <c r="BZ75" i="22"/>
  <c r="BZ83" i="22" s="1"/>
  <c r="W79" i="21"/>
  <c r="T80" i="21" s="1"/>
  <c r="V80" i="21" l="1"/>
  <c r="U80" i="21" s="1"/>
  <c r="CF80" i="22" s="1"/>
  <c r="BZ86" i="22"/>
  <c r="BZ102" i="22" s="1"/>
  <c r="BZ104" i="22" s="1"/>
  <c r="BZ105" i="22" s="1"/>
  <c r="BZ107" i="22" s="1"/>
  <c r="CA78" i="22"/>
  <c r="CA81" i="22" l="1"/>
  <c r="CA82" i="22" s="1"/>
  <c r="CA84" i="22" s="1"/>
  <c r="CA75" i="22"/>
  <c r="CA83" i="22" s="1"/>
  <c r="W80" i="21"/>
  <c r="T81" i="21" s="1"/>
  <c r="V81" i="21" l="1"/>
  <c r="U81" i="21" s="1"/>
  <c r="CG80" i="22" s="1"/>
  <c r="CA86" i="22"/>
  <c r="CA102" i="22" s="1"/>
  <c r="CA104" i="22" s="1"/>
  <c r="CA105" i="22" s="1"/>
  <c r="CA107" i="22" s="1"/>
  <c r="CB78" i="22"/>
  <c r="W81" i="21" l="1"/>
  <c r="T82" i="21" s="1"/>
  <c r="V82" i="21" s="1"/>
  <c r="U82" i="21" s="1"/>
  <c r="CH80" i="22" s="1"/>
  <c r="CB75" i="22"/>
  <c r="CB83" i="22" s="1"/>
  <c r="CB81" i="22"/>
  <c r="CB82" i="22" s="1"/>
  <c r="CB84" i="22" s="1"/>
  <c r="W82" i="21" l="1"/>
  <c r="T83" i="21" s="1"/>
  <c r="CC78" i="22"/>
  <c r="CB86" i="22"/>
  <c r="CB102" i="22" s="1"/>
  <c r="CB104" i="22" l="1"/>
  <c r="CB105" i="22" s="1"/>
  <c r="CB107" i="22" s="1"/>
  <c r="CC81" i="22"/>
  <c r="CC82" i="22" s="1"/>
  <c r="CC84" i="22" s="1"/>
  <c r="CC75" i="22"/>
  <c r="CC83" i="22" s="1"/>
  <c r="V83" i="21"/>
  <c r="U83" i="21" s="1"/>
  <c r="CI80" i="22" s="1"/>
  <c r="W83" i="21" l="1"/>
  <c r="T84" i="21" s="1"/>
  <c r="CC86" i="22"/>
  <c r="CC102" i="22" s="1"/>
  <c r="CC104" i="22" s="1"/>
  <c r="CC105" i="22" s="1"/>
  <c r="CC107" i="22" s="1"/>
  <c r="CD78" i="22"/>
  <c r="CD75" i="22" l="1"/>
  <c r="CD83" i="22" s="1"/>
  <c r="CD81" i="22"/>
  <c r="CD82" i="22" s="1"/>
  <c r="CD84" i="22" s="1"/>
  <c r="ES104" i="22"/>
  <c r="ES102" i="22"/>
  <c r="V84" i="21"/>
  <c r="U84" i="21" s="1"/>
  <c r="CJ80" i="22" s="1"/>
  <c r="W84" i="21" l="1"/>
  <c r="T85" i="21" s="1"/>
  <c r="V85" i="21" s="1"/>
  <c r="U85" i="21" s="1"/>
  <c r="CK80" i="22" s="1"/>
  <c r="CE78" i="22"/>
  <c r="ES105" i="22"/>
  <c r="ES107" i="22" s="1"/>
  <c r="CD86" i="22"/>
  <c r="CD102" i="22" s="1"/>
  <c r="CD104" i="22" s="1"/>
  <c r="CD105" i="22" s="1"/>
  <c r="CD107" i="22" s="1"/>
  <c r="W85" i="21" l="1"/>
  <c r="T86" i="21" s="1"/>
  <c r="V86" i="21" s="1"/>
  <c r="U86" i="21" s="1"/>
  <c r="CL80" i="22" s="1"/>
  <c r="CE81" i="22"/>
  <c r="CE82" i="22" s="1"/>
  <c r="CE84" i="22" s="1"/>
  <c r="CE75" i="22"/>
  <c r="CE83" i="22" s="1"/>
  <c r="W86" i="21" l="1"/>
  <c r="T87" i="21" s="1"/>
  <c r="CF78" i="22"/>
  <c r="CE86" i="22"/>
  <c r="CE102" i="22" s="1"/>
  <c r="CE104" i="22" l="1"/>
  <c r="CE105" i="22" s="1"/>
  <c r="CE107" i="22" s="1"/>
  <c r="CF75" i="22"/>
  <c r="CF83" i="22" s="1"/>
  <c r="CF81" i="22"/>
  <c r="CF82" i="22" s="1"/>
  <c r="CF84" i="22" s="1"/>
  <c r="V87" i="21"/>
  <c r="U87" i="21" s="1"/>
  <c r="CM80" i="22" s="1"/>
  <c r="CG78" i="22" l="1"/>
  <c r="W87" i="21"/>
  <c r="T88" i="21" s="1"/>
  <c r="CF86" i="22"/>
  <c r="CF102" i="22" s="1"/>
  <c r="CF104" i="22" s="1"/>
  <c r="CF105" i="22" s="1"/>
  <c r="CF107" i="22" s="1"/>
  <c r="V88" i="21" l="1"/>
  <c r="U88" i="21" s="1"/>
  <c r="CN80" i="22" s="1"/>
  <c r="CG81" i="22"/>
  <c r="CG82" i="22" s="1"/>
  <c r="CG84" i="22" s="1"/>
  <c r="CG75" i="22"/>
  <c r="CG83" i="22" s="1"/>
  <c r="CG86" i="22" l="1"/>
  <c r="CG102" i="22" s="1"/>
  <c r="CG104" i="22" s="1"/>
  <c r="CG105" i="22" s="1"/>
  <c r="CG107" i="22" s="1"/>
  <c r="CH78" i="22"/>
  <c r="W88" i="21"/>
  <c r="T89" i="21" s="1"/>
  <c r="V89" i="21" l="1"/>
  <c r="U89" i="21" s="1"/>
  <c r="CO80" i="22" s="1"/>
  <c r="CH81" i="22"/>
  <c r="CH82" i="22" s="1"/>
  <c r="CH84" i="22" s="1"/>
  <c r="CH75" i="22"/>
  <c r="CH83" i="22" s="1"/>
  <c r="CI78" i="22" l="1"/>
  <c r="CH86" i="22"/>
  <c r="CH102" i="22" s="1"/>
  <c r="CH104" i="22" s="1"/>
  <c r="CH105" i="22" s="1"/>
  <c r="CH107" i="22" s="1"/>
  <c r="W89" i="21"/>
  <c r="T90" i="21" s="1"/>
  <c r="V90" i="21" l="1"/>
  <c r="U90" i="21" s="1"/>
  <c r="CP80" i="22" s="1"/>
  <c r="CI81" i="22"/>
  <c r="CI82" i="22" s="1"/>
  <c r="CI84" i="22" s="1"/>
  <c r="CI75" i="22"/>
  <c r="CI83" i="22" s="1"/>
  <c r="CI86" i="22" l="1"/>
  <c r="CI102" i="22" s="1"/>
  <c r="CI104" i="22" s="1"/>
  <c r="CI105" i="22" s="1"/>
  <c r="CI107" i="22" s="1"/>
  <c r="CJ78" i="22"/>
  <c r="W90" i="21"/>
  <c r="T91" i="21" s="1"/>
  <c r="V91" i="21" l="1"/>
  <c r="U91" i="21" s="1"/>
  <c r="CQ80" i="22" s="1"/>
  <c r="CJ81" i="22"/>
  <c r="CJ82" i="22" s="1"/>
  <c r="CJ84" i="22" s="1"/>
  <c r="CJ75" i="22"/>
  <c r="CJ83" i="22" s="1"/>
  <c r="CJ86" i="22" l="1"/>
  <c r="CJ102" i="22" s="1"/>
  <c r="CJ104" i="22" s="1"/>
  <c r="CJ105" i="22" s="1"/>
  <c r="CJ107" i="22" s="1"/>
  <c r="CK78" i="22"/>
  <c r="W91" i="21"/>
  <c r="T92" i="21" s="1"/>
  <c r="V92" i="21" l="1"/>
  <c r="U92" i="21" s="1"/>
  <c r="CR80" i="22" s="1"/>
  <c r="CK81" i="22"/>
  <c r="CK82" i="22" s="1"/>
  <c r="CK84" i="22" s="1"/>
  <c r="CK75" i="22"/>
  <c r="CK83" i="22" s="1"/>
  <c r="CL78" i="22" l="1"/>
  <c r="CK86" i="22"/>
  <c r="CK102" i="22" s="1"/>
  <c r="CK104" i="22" s="1"/>
  <c r="CK105" i="22" s="1"/>
  <c r="CK107" i="22" s="1"/>
  <c r="W92" i="21"/>
  <c r="T93" i="21" s="1"/>
  <c r="V93" i="21" l="1"/>
  <c r="U93" i="21" s="1"/>
  <c r="CS80" i="22" s="1"/>
  <c r="CL81" i="22"/>
  <c r="CL82" i="22" s="1"/>
  <c r="CL84" i="22" s="1"/>
  <c r="CL75" i="22"/>
  <c r="CL83" i="22" s="1"/>
  <c r="CL86" i="22" l="1"/>
  <c r="CL102" i="22" s="1"/>
  <c r="CL104" i="22" s="1"/>
  <c r="CL105" i="22" s="1"/>
  <c r="CL107" i="22" s="1"/>
  <c r="CM78" i="22"/>
  <c r="W93" i="21"/>
  <c r="T94" i="21" s="1"/>
  <c r="EN81" i="22"/>
  <c r="EO81" i="22"/>
  <c r="EP81" i="22"/>
  <c r="EQ81" i="22"/>
  <c r="ER81" i="22"/>
  <c r="ES81" i="22"/>
  <c r="EN75" i="22"/>
  <c r="EO75" i="22"/>
  <c r="EP75" i="22"/>
  <c r="EQ75" i="22"/>
  <c r="ER75" i="22"/>
  <c r="ES75" i="22"/>
  <c r="V94" i="21" l="1"/>
  <c r="U94" i="21" s="1"/>
  <c r="CT80" i="22" s="1"/>
  <c r="CM81" i="22"/>
  <c r="CM75" i="22"/>
  <c r="CM83" i="22" s="1"/>
  <c r="CM86" i="22" l="1"/>
  <c r="CM102" i="22" s="1"/>
  <c r="CM104" i="22" s="1"/>
  <c r="CM105" i="22" s="1"/>
  <c r="CM107" i="22" s="1"/>
  <c r="CM82" i="22"/>
  <c r="CM84" i="22" s="1"/>
  <c r="W94" i="21"/>
  <c r="T95" i="21" s="1"/>
  <c r="F44" i="48"/>
  <c r="E44" i="48" s="1"/>
  <c r="V95" i="21" l="1"/>
  <c r="U95" i="21" s="1"/>
  <c r="CU80" i="22" s="1"/>
  <c r="CN78" i="22"/>
  <c r="CN81" i="22" l="1"/>
  <c r="CN75" i="22"/>
  <c r="CN83" i="22" s="1"/>
  <c r="W95" i="21"/>
  <c r="T96" i="21" s="1"/>
  <c r="V96" i="21" l="1"/>
  <c r="U96" i="21" s="1"/>
  <c r="CV80" i="22" s="1"/>
  <c r="CN86" i="22"/>
  <c r="CN102" i="22" s="1"/>
  <c r="CN104" i="22" s="1"/>
  <c r="CN105" i="22" s="1"/>
  <c r="CN107" i="22" s="1"/>
  <c r="CN82" i="22"/>
  <c r="CN84" i="22" s="1"/>
  <c r="CO78" i="22" l="1"/>
  <c r="W96" i="21"/>
  <c r="T97" i="21" s="1"/>
  <c r="V97" i="21" l="1"/>
  <c r="U97" i="21" s="1"/>
  <c r="CW80" i="22" s="1"/>
  <c r="CO81" i="22"/>
  <c r="CO75" i="22"/>
  <c r="CO83" i="22" s="1"/>
  <c r="W97" i="21" l="1"/>
  <c r="T98" i="21" s="1"/>
  <c r="V98" i="21" s="1"/>
  <c r="U98" i="21" s="1"/>
  <c r="CX80" i="22" s="1"/>
  <c r="CO86" i="22"/>
  <c r="CO102" i="22" s="1"/>
  <c r="CO104" i="22" s="1"/>
  <c r="CO105" i="22" s="1"/>
  <c r="CO107" i="22" s="1"/>
  <c r="ET75" i="22"/>
  <c r="CO82" i="22"/>
  <c r="CO84" i="22" s="1"/>
  <c r="ET81" i="22"/>
  <c r="CP78" i="22" l="1"/>
  <c r="W98" i="21"/>
  <c r="T99" i="21" s="1"/>
  <c r="V99" i="21" l="1"/>
  <c r="U99" i="21" s="1"/>
  <c r="CY80" i="22" s="1"/>
  <c r="ET104" i="22"/>
  <c r="ET102" i="22"/>
  <c r="CP75" i="22"/>
  <c r="CP83" i="22" s="1"/>
  <c r="CP81" i="22"/>
  <c r="CP82" i="22" s="1"/>
  <c r="CP84" i="22" s="1"/>
  <c r="ET105" i="22" l="1"/>
  <c r="ET107" i="22" s="1"/>
  <c r="CP86" i="22"/>
  <c r="CP102" i="22" s="1"/>
  <c r="CP104" i="22" s="1"/>
  <c r="CP105" i="22" s="1"/>
  <c r="CP107" i="22" s="1"/>
  <c r="CQ78" i="22"/>
  <c r="W99" i="21"/>
  <c r="T100" i="21" s="1"/>
  <c r="V100" i="21" l="1"/>
  <c r="U100" i="21" s="1"/>
  <c r="CZ80" i="22" s="1"/>
  <c r="CQ75" i="22"/>
  <c r="CQ83" i="22" s="1"/>
  <c r="CQ81" i="22"/>
  <c r="CQ82" i="22" s="1"/>
  <c r="CQ84" i="22" s="1"/>
  <c r="CR78" i="22" l="1"/>
  <c r="CQ86" i="22"/>
  <c r="CQ102" i="22" s="1"/>
  <c r="CQ104" i="22" s="1"/>
  <c r="CQ105" i="22" s="1"/>
  <c r="CQ107" i="22" s="1"/>
  <c r="W100" i="21"/>
  <c r="T101" i="21" s="1"/>
  <c r="V101" i="21" l="1"/>
  <c r="U101" i="21" s="1"/>
  <c r="DA80" i="22" s="1"/>
  <c r="CR81" i="22"/>
  <c r="CR75" i="22"/>
  <c r="CR83" i="22" s="1"/>
  <c r="W101" i="21" l="1"/>
  <c r="T102" i="21" s="1"/>
  <c r="CR82" i="22"/>
  <c r="CR84" i="22" s="1"/>
  <c r="CR86" i="22"/>
  <c r="CR102" i="22" s="1"/>
  <c r="CR104" i="22" s="1"/>
  <c r="CR105" i="22" s="1"/>
  <c r="CR107" i="22" s="1"/>
  <c r="CS78" i="22" l="1"/>
  <c r="V102" i="21"/>
  <c r="U102" i="21" s="1"/>
  <c r="DB80" i="22" s="1"/>
  <c r="W102" i="21" l="1"/>
  <c r="T103" i="21" s="1"/>
  <c r="CS75" i="22"/>
  <c r="CS83" i="22" s="1"/>
  <c r="CS81" i="22"/>
  <c r="CS82" i="22" s="1"/>
  <c r="CS84" i="22" s="1"/>
  <c r="CT78" i="22" l="1"/>
  <c r="CS86" i="22"/>
  <c r="CS102" i="22" s="1"/>
  <c r="CS104" i="22" s="1"/>
  <c r="CS105" i="22" s="1"/>
  <c r="CS107" i="22" s="1"/>
  <c r="V103" i="21"/>
  <c r="U103" i="21" s="1"/>
  <c r="DC80" i="22" s="1"/>
  <c r="W103" i="21" l="1"/>
  <c r="T104" i="21" s="1"/>
  <c r="CT81" i="22"/>
  <c r="CT82" i="22" s="1"/>
  <c r="CT84" i="22" s="1"/>
  <c r="CT75" i="22"/>
  <c r="CT83" i="22" s="1"/>
  <c r="CU78" i="22" l="1"/>
  <c r="CT86" i="22"/>
  <c r="CT102" i="22" s="1"/>
  <c r="CT104" i="22" s="1"/>
  <c r="CT105" i="22" s="1"/>
  <c r="CT107" i="22" s="1"/>
  <c r="V104" i="21"/>
  <c r="U104" i="21" s="1"/>
  <c r="DD80" i="22" s="1"/>
  <c r="W104" i="21" l="1"/>
  <c r="T105" i="21" s="1"/>
  <c r="CU81" i="22"/>
  <c r="CU82" i="22" s="1"/>
  <c r="CU84" i="22" s="1"/>
  <c r="CU75" i="22"/>
  <c r="CU83" i="22" s="1"/>
  <c r="CU86" i="22" l="1"/>
  <c r="CU102" i="22" s="1"/>
  <c r="CU104" i="22" s="1"/>
  <c r="CU105" i="22" s="1"/>
  <c r="CU107" i="22" s="1"/>
  <c r="CV78" i="22"/>
  <c r="V105" i="21"/>
  <c r="U105" i="21" s="1"/>
  <c r="DE80" i="22" s="1"/>
  <c r="CV75" i="22" l="1"/>
  <c r="CV83" i="22" s="1"/>
  <c r="CV81" i="22"/>
  <c r="CV82" i="22" s="1"/>
  <c r="CV84" i="22" s="1"/>
  <c r="W105" i="21"/>
  <c r="T106" i="21" s="1"/>
  <c r="V106" i="21" l="1"/>
  <c r="U106" i="21" s="1"/>
  <c r="DF80" i="22" s="1"/>
  <c r="CW78" i="22"/>
  <c r="CV86" i="22"/>
  <c r="CV102" i="22" s="1"/>
  <c r="CV104" i="22" s="1"/>
  <c r="CV105" i="22" s="1"/>
  <c r="CV107" i="22" s="1"/>
  <c r="CW81" i="22" l="1"/>
  <c r="CW82" i="22" s="1"/>
  <c r="CW84" i="22" s="1"/>
  <c r="CW75" i="22"/>
  <c r="CW83" i="22" s="1"/>
  <c r="W106" i="21"/>
  <c r="T107" i="21" s="1"/>
  <c r="V107" i="21" l="1"/>
  <c r="U107" i="21" s="1"/>
  <c r="DG80" i="22" s="1"/>
  <c r="CW86" i="22"/>
  <c r="CW102" i="22" s="1"/>
  <c r="CW104" i="22" s="1"/>
  <c r="CW105" i="22" s="1"/>
  <c r="CW107" i="22" s="1"/>
  <c r="CX78" i="22"/>
  <c r="CX81" i="22" l="1"/>
  <c r="CX82" i="22" s="1"/>
  <c r="CX84" i="22" s="1"/>
  <c r="CX75" i="22"/>
  <c r="CX83" i="22" s="1"/>
  <c r="W107" i="21"/>
  <c r="T108" i="21" s="1"/>
  <c r="V108" i="21" l="1"/>
  <c r="U108" i="21" s="1"/>
  <c r="DH80" i="22" s="1"/>
  <c r="CX86" i="22"/>
  <c r="CX102" i="22" s="1"/>
  <c r="CY78" i="22"/>
  <c r="CX104" i="22" l="1"/>
  <c r="CX105" i="22" s="1"/>
  <c r="CX107" i="22" s="1"/>
  <c r="CY81" i="22"/>
  <c r="CY82" i="22" s="1"/>
  <c r="CY84" i="22" s="1"/>
  <c r="CY75" i="22"/>
  <c r="CY83" i="22" s="1"/>
  <c r="W108" i="21"/>
  <c r="T109" i="21" s="1"/>
  <c r="V109" i="21" l="1"/>
  <c r="U109" i="21" s="1"/>
  <c r="DI80" i="22" s="1"/>
  <c r="CY86" i="22"/>
  <c r="CY102" i="22" s="1"/>
  <c r="CY104" i="22" s="1"/>
  <c r="CY105" i="22" s="1"/>
  <c r="CY107" i="22" s="1"/>
  <c r="CZ78" i="22"/>
  <c r="CZ81" i="22" l="1"/>
  <c r="CZ82" i="22" s="1"/>
  <c r="CZ84" i="22" s="1"/>
  <c r="CZ75" i="22"/>
  <c r="CZ83" i="22" s="1"/>
  <c r="W109" i="21"/>
  <c r="T110" i="21" s="1"/>
  <c r="CZ86" i="22" l="1"/>
  <c r="CZ102" i="22" s="1"/>
  <c r="CZ104" i="22" s="1"/>
  <c r="CZ105" i="22" s="1"/>
  <c r="CZ107" i="22" s="1"/>
  <c r="V110" i="21"/>
  <c r="U110" i="21" s="1"/>
  <c r="DJ80" i="22" s="1"/>
  <c r="DA78" i="22"/>
  <c r="DA81" i="22" l="1"/>
  <c r="DA82" i="22" s="1"/>
  <c r="DA84" i="22" s="1"/>
  <c r="DA75" i="22"/>
  <c r="DA83" i="22" s="1"/>
  <c r="W110" i="21"/>
  <c r="T111" i="21" s="1"/>
  <c r="V111" i="21" l="1"/>
  <c r="U111" i="21" s="1"/>
  <c r="DK80" i="22" s="1"/>
  <c r="DA86" i="22"/>
  <c r="DA102" i="22" s="1"/>
  <c r="DA104" i="22" s="1"/>
  <c r="DA105" i="22" s="1"/>
  <c r="DA107" i="22" s="1"/>
  <c r="DB78" i="22"/>
  <c r="DB81" i="22" l="1"/>
  <c r="DB82" i="22" s="1"/>
  <c r="DB84" i="22" s="1"/>
  <c r="DB75" i="22"/>
  <c r="DB83" i="22" s="1"/>
  <c r="EU104" i="22"/>
  <c r="EU102" i="22"/>
  <c r="W111" i="21"/>
  <c r="T112" i="21" s="1"/>
  <c r="EU105" i="22" l="1"/>
  <c r="EU107" i="22" s="1"/>
  <c r="V112" i="21"/>
  <c r="U112" i="21" s="1"/>
  <c r="DL80" i="22" s="1"/>
  <c r="DC78" i="22"/>
  <c r="DB86" i="22"/>
  <c r="DB102" i="22" s="1"/>
  <c r="DB104" i="22" s="1"/>
  <c r="DB105" i="22" s="1"/>
  <c r="DB107" i="22" s="1"/>
  <c r="DC81" i="22" l="1"/>
  <c r="DC82" i="22" s="1"/>
  <c r="DC84" i="22" s="1"/>
  <c r="DC75" i="22"/>
  <c r="DC83" i="22" s="1"/>
  <c r="W112" i="21"/>
  <c r="T113" i="21" s="1"/>
  <c r="V113" i="21" l="1"/>
  <c r="U113" i="21" s="1"/>
  <c r="DM80" i="22" s="1"/>
  <c r="DD78" i="22"/>
  <c r="DC86" i="22"/>
  <c r="DC102" i="22" s="1"/>
  <c r="DC104" i="22" s="1"/>
  <c r="DC105" i="22" s="1"/>
  <c r="DC107" i="22" s="1"/>
  <c r="DD75" i="22" l="1"/>
  <c r="DD83" i="22" s="1"/>
  <c r="DD81" i="22"/>
  <c r="DD82" i="22" s="1"/>
  <c r="DD84" i="22" s="1"/>
  <c r="W113" i="21"/>
  <c r="T114" i="21" s="1"/>
  <c r="DE78" i="22" l="1"/>
  <c r="V114" i="21"/>
  <c r="U114" i="21" s="1"/>
  <c r="DN80" i="22" s="1"/>
  <c r="DD86" i="22"/>
  <c r="DD102" i="22" s="1"/>
  <c r="DD104" i="22" s="1"/>
  <c r="DD105" i="22" s="1"/>
  <c r="DD107" i="22" s="1"/>
  <c r="W114" i="21" l="1"/>
  <c r="T115" i="21" s="1"/>
  <c r="DE75" i="22"/>
  <c r="DE83" i="22" s="1"/>
  <c r="DE81" i="22"/>
  <c r="DE82" i="22" s="1"/>
  <c r="DE84" i="22" s="1"/>
  <c r="DF78" i="22" l="1"/>
  <c r="DE86" i="22"/>
  <c r="DE102" i="22" s="1"/>
  <c r="V115" i="21"/>
  <c r="U115" i="21" s="1"/>
  <c r="DO80" i="22" s="1"/>
  <c r="DE104" i="22" l="1"/>
  <c r="DE105" i="22" s="1"/>
  <c r="DE107" i="22" s="1"/>
  <c r="W115" i="21"/>
  <c r="T116" i="21" s="1"/>
  <c r="DF81" i="22"/>
  <c r="DF82" i="22" s="1"/>
  <c r="DF84" i="22" s="1"/>
  <c r="DF75" i="22"/>
  <c r="DF83" i="22" s="1"/>
  <c r="DG78" i="22" l="1"/>
  <c r="DF86" i="22"/>
  <c r="DF102" i="22" s="1"/>
  <c r="DF104" i="22" s="1"/>
  <c r="DF105" i="22" s="1"/>
  <c r="DF107" i="22" s="1"/>
  <c r="V116" i="21"/>
  <c r="U116" i="21" s="1"/>
  <c r="DP80" i="22" s="1"/>
  <c r="W116" i="21" l="1"/>
  <c r="T117" i="21" s="1"/>
  <c r="DG81" i="22"/>
  <c r="DG82" i="22" s="1"/>
  <c r="DG84" i="22" s="1"/>
  <c r="DG75" i="22"/>
  <c r="DG83" i="22" s="1"/>
  <c r="DG86" i="22" l="1"/>
  <c r="DG102" i="22" s="1"/>
  <c r="DG104" i="22" s="1"/>
  <c r="DG105" i="22" s="1"/>
  <c r="DG107" i="22" s="1"/>
  <c r="DH78" i="22"/>
  <c r="V117" i="21"/>
  <c r="U117" i="21" s="1"/>
  <c r="DQ80" i="22" s="1"/>
  <c r="W117" i="21" l="1"/>
  <c r="T118" i="21" s="1"/>
  <c r="DH81" i="22"/>
  <c r="DH82" i="22" s="1"/>
  <c r="DH84" i="22" s="1"/>
  <c r="DH75" i="22"/>
  <c r="DH83" i="22" s="1"/>
  <c r="DH86" i="22" l="1"/>
  <c r="DH102" i="22" s="1"/>
  <c r="DH104" i="22" s="1"/>
  <c r="DH105" i="22" s="1"/>
  <c r="DH107" i="22" s="1"/>
  <c r="DI78" i="22"/>
  <c r="V118" i="21"/>
  <c r="U118" i="21" s="1"/>
  <c r="DR80" i="22" s="1"/>
  <c r="W118" i="21" l="1"/>
  <c r="T119" i="21" s="1"/>
  <c r="DI75" i="22"/>
  <c r="DI83" i="22" s="1"/>
  <c r="DI81" i="22"/>
  <c r="DI82" i="22" s="1"/>
  <c r="DI84" i="22" s="1"/>
  <c r="DJ78" i="22" l="1"/>
  <c r="DI86" i="22"/>
  <c r="DI102" i="22" s="1"/>
  <c r="DI104" i="22" s="1"/>
  <c r="DI105" i="22" s="1"/>
  <c r="DI107" i="22" s="1"/>
  <c r="V119" i="21"/>
  <c r="U119" i="21" s="1"/>
  <c r="DS80" i="22" s="1"/>
  <c r="W119" i="21" l="1"/>
  <c r="T120" i="21" s="1"/>
  <c r="DJ75" i="22"/>
  <c r="DJ83" i="22" s="1"/>
  <c r="DJ81" i="22"/>
  <c r="DJ82" i="22" s="1"/>
  <c r="DJ84" i="22" s="1"/>
  <c r="DJ86" i="22" l="1"/>
  <c r="DJ102" i="22" s="1"/>
  <c r="DJ104" i="22" s="1"/>
  <c r="DJ105" i="22" s="1"/>
  <c r="DJ107" i="22" s="1"/>
  <c r="DK78" i="22"/>
  <c r="V120" i="21"/>
  <c r="U120" i="21" s="1"/>
  <c r="DT80" i="22" s="1"/>
  <c r="W120" i="21" l="1"/>
  <c r="T121" i="21" s="1"/>
  <c r="DK75" i="22"/>
  <c r="DK83" i="22" s="1"/>
  <c r="DK81" i="22"/>
  <c r="DK82" i="22" s="1"/>
  <c r="DK84" i="22" s="1"/>
  <c r="DL78" i="22" l="1"/>
  <c r="DK86" i="22"/>
  <c r="DK102" i="22" s="1"/>
  <c r="V121" i="21"/>
  <c r="U121" i="21" s="1"/>
  <c r="DU80" i="22" s="1"/>
  <c r="DK104" i="22" l="1"/>
  <c r="DK105" i="22" s="1"/>
  <c r="DK107" i="22" s="1"/>
  <c r="W121" i="21"/>
  <c r="T122" i="21" s="1"/>
  <c r="DL81" i="22"/>
  <c r="DL82" i="22" s="1"/>
  <c r="DL84" i="22" s="1"/>
  <c r="DL75" i="22"/>
  <c r="DL83" i="22" s="1"/>
  <c r="DM78" i="22" l="1"/>
  <c r="DL86" i="22"/>
  <c r="DL102" i="22" s="1"/>
  <c r="DL104" i="22" s="1"/>
  <c r="DL105" i="22" s="1"/>
  <c r="DL107" i="22" s="1"/>
  <c r="V122" i="21"/>
  <c r="U122" i="21" s="1"/>
  <c r="DV80" i="22" s="1"/>
  <c r="W122" i="21" l="1"/>
  <c r="T123" i="21" s="1"/>
  <c r="DM75" i="22"/>
  <c r="DM83" i="22" s="1"/>
  <c r="DM81" i="22"/>
  <c r="DM82" i="22" s="1"/>
  <c r="DM84" i="22" s="1"/>
  <c r="DN78" i="22" l="1"/>
  <c r="DM86" i="22"/>
  <c r="DM102" i="22" s="1"/>
  <c r="V123" i="21"/>
  <c r="U123" i="21" s="1"/>
  <c r="DW80" i="22" s="1"/>
  <c r="DM104" i="22" l="1"/>
  <c r="DM105" i="22" s="1"/>
  <c r="DM107" i="22" s="1"/>
  <c r="EV102" i="22"/>
  <c r="EV104" i="22"/>
  <c r="W123" i="21"/>
  <c r="T124" i="21" s="1"/>
  <c r="DN81" i="22"/>
  <c r="DN82" i="22" s="1"/>
  <c r="DN84" i="22" s="1"/>
  <c r="DN75" i="22"/>
  <c r="DN83" i="22" s="1"/>
  <c r="EV105" i="22" l="1"/>
  <c r="EV107" i="22" s="1"/>
  <c r="DO78" i="22"/>
  <c r="DN86" i="22"/>
  <c r="DN102" i="22" s="1"/>
  <c r="V124" i="21"/>
  <c r="U124" i="21" s="1"/>
  <c r="DX80" i="22" s="1"/>
  <c r="DN104" i="22" l="1"/>
  <c r="DN105" i="22" s="1"/>
  <c r="DN107" i="22" s="1"/>
  <c r="W124" i="21"/>
  <c r="T125" i="21" s="1"/>
  <c r="DO75" i="22"/>
  <c r="DO83" i="22" s="1"/>
  <c r="DO81" i="22"/>
  <c r="DO82" i="22" s="1"/>
  <c r="DO84" i="22" s="1"/>
  <c r="DP78" i="22" l="1"/>
  <c r="DO86" i="22"/>
  <c r="DO102" i="22" s="1"/>
  <c r="DO104" i="22" s="1"/>
  <c r="DO105" i="22" s="1"/>
  <c r="DO107" i="22" s="1"/>
  <c r="V125" i="21"/>
  <c r="U125" i="21" s="1"/>
  <c r="DY80" i="22" s="1"/>
  <c r="W125" i="21" l="1"/>
  <c r="T126" i="21" s="1"/>
  <c r="DP81" i="22"/>
  <c r="DP82" i="22" s="1"/>
  <c r="DP84" i="22" s="1"/>
  <c r="DP75" i="22"/>
  <c r="DP83" i="22" s="1"/>
  <c r="DQ78" i="22" l="1"/>
  <c r="DP86" i="22"/>
  <c r="DP102" i="22" s="1"/>
  <c r="DP104" i="22" s="1"/>
  <c r="DP105" i="22" s="1"/>
  <c r="DP107" i="22" s="1"/>
  <c r="V126" i="21"/>
  <c r="U126" i="21" s="1"/>
  <c r="DZ80" i="22" s="1"/>
  <c r="W126" i="21" l="1"/>
  <c r="T127" i="21" s="1"/>
  <c r="DQ81" i="22"/>
  <c r="DQ82" i="22" s="1"/>
  <c r="DQ84" i="22" s="1"/>
  <c r="DQ75" i="22"/>
  <c r="DQ83" i="22" s="1"/>
  <c r="DR78" i="22" l="1"/>
  <c r="DQ86" i="22"/>
  <c r="DQ102" i="22" s="1"/>
  <c r="V127" i="21"/>
  <c r="U127" i="21" s="1"/>
  <c r="EA80" i="22" s="1"/>
  <c r="DQ104" i="22" l="1"/>
  <c r="DQ105" i="22" s="1"/>
  <c r="DQ107" i="22" s="1"/>
  <c r="W127" i="21"/>
  <c r="T128" i="21" s="1"/>
  <c r="DR75" i="22"/>
  <c r="DR83" i="22" s="1"/>
  <c r="DR81" i="22"/>
  <c r="DR82" i="22" s="1"/>
  <c r="DR84" i="22" s="1"/>
  <c r="DS78" i="22" l="1"/>
  <c r="DR86" i="22"/>
  <c r="DR102" i="22" s="1"/>
  <c r="DR104" i="22" s="1"/>
  <c r="DR105" i="22" s="1"/>
  <c r="DR107" i="22" s="1"/>
  <c r="V128" i="21"/>
  <c r="U128" i="21" s="1"/>
  <c r="EB80" i="22" s="1"/>
  <c r="W128" i="21" l="1"/>
  <c r="T129" i="21" s="1"/>
  <c r="DS75" i="22"/>
  <c r="DS83" i="22" s="1"/>
  <c r="DS81" i="22"/>
  <c r="DS82" i="22" s="1"/>
  <c r="DS84" i="22" s="1"/>
  <c r="DT78" i="22" l="1"/>
  <c r="DS86" i="22"/>
  <c r="DS102" i="22" s="1"/>
  <c r="DS104" i="22" s="1"/>
  <c r="DS105" i="22" s="1"/>
  <c r="DS107" i="22" s="1"/>
  <c r="V129" i="21"/>
  <c r="U129" i="21" s="1"/>
  <c r="EC80" i="22" s="1"/>
  <c r="W129" i="21" l="1"/>
  <c r="T130" i="21" s="1"/>
  <c r="DT75" i="22"/>
  <c r="DT83" i="22" s="1"/>
  <c r="DT81" i="22"/>
  <c r="DT82" i="22" s="1"/>
  <c r="DT84" i="22" s="1"/>
  <c r="DU78" i="22" l="1"/>
  <c r="DT86" i="22"/>
  <c r="DT102" i="22" s="1"/>
  <c r="DT104" i="22" s="1"/>
  <c r="DT105" i="22" s="1"/>
  <c r="DT107" i="22" s="1"/>
  <c r="V130" i="21"/>
  <c r="U130" i="21" s="1"/>
  <c r="ED80" i="22" s="1"/>
  <c r="W130" i="21" l="1"/>
  <c r="T131" i="21" s="1"/>
  <c r="DU81" i="22"/>
  <c r="DU82" i="22" s="1"/>
  <c r="DU84" i="22" s="1"/>
  <c r="DU75" i="22"/>
  <c r="DU83" i="22" s="1"/>
  <c r="DU86" i="22" l="1"/>
  <c r="DU102" i="22" s="1"/>
  <c r="DU104" i="22" s="1"/>
  <c r="DU105" i="22" s="1"/>
  <c r="DU107" i="22" s="1"/>
  <c r="DV78" i="22"/>
  <c r="V131" i="21"/>
  <c r="U131" i="21" s="1"/>
  <c r="EE80" i="22" s="1"/>
  <c r="W131" i="21" l="1"/>
  <c r="T132" i="21" s="1"/>
  <c r="DV81" i="22"/>
  <c r="DV82" i="22" s="1"/>
  <c r="DV84" i="22" s="1"/>
  <c r="DV75" i="22"/>
  <c r="DV83" i="22" s="1"/>
  <c r="DW78" i="22" l="1"/>
  <c r="DV86" i="22"/>
  <c r="DV102" i="22" s="1"/>
  <c r="DV104" i="22" s="1"/>
  <c r="DV105" i="22" s="1"/>
  <c r="DV107" i="22" s="1"/>
  <c r="V132" i="21"/>
  <c r="U132" i="21" s="1"/>
  <c r="EF80" i="22" s="1"/>
  <c r="W132" i="21" l="1"/>
  <c r="T133" i="21" s="1"/>
  <c r="DW81" i="22"/>
  <c r="DW82" i="22" s="1"/>
  <c r="DW84" i="22" s="1"/>
  <c r="DW75" i="22"/>
  <c r="DW83" i="22" s="1"/>
  <c r="DX78" i="22" l="1"/>
  <c r="DW86" i="22"/>
  <c r="DW102" i="22" s="1"/>
  <c r="DW104" i="22" s="1"/>
  <c r="DW105" i="22" s="1"/>
  <c r="DW107" i="22" s="1"/>
  <c r="V133" i="21"/>
  <c r="U133" i="21" s="1"/>
  <c r="EG80" i="22" s="1"/>
  <c r="W133" i="21" l="1"/>
  <c r="T134" i="21" s="1"/>
  <c r="DX81" i="22"/>
  <c r="DX82" i="22" s="1"/>
  <c r="DX84" i="22" s="1"/>
  <c r="DX75" i="22"/>
  <c r="DX83" i="22" s="1"/>
  <c r="DY78" i="22" l="1"/>
  <c r="DX86" i="22"/>
  <c r="DX102" i="22" s="1"/>
  <c r="DX104" i="22" s="1"/>
  <c r="DX105" i="22" s="1"/>
  <c r="DX107" i="22" s="1"/>
  <c r="V134" i="21"/>
  <c r="U134" i="21" s="1"/>
  <c r="EH80" i="22" s="1"/>
  <c r="W134" i="21" l="1"/>
  <c r="T135" i="21" s="1"/>
  <c r="DY75" i="22"/>
  <c r="DY83" i="22" s="1"/>
  <c r="DY81" i="22"/>
  <c r="DY82" i="22" s="1"/>
  <c r="DY84" i="22" s="1"/>
  <c r="DZ78" i="22" l="1"/>
  <c r="DY86" i="22"/>
  <c r="DY102" i="22" s="1"/>
  <c r="V135" i="21"/>
  <c r="U135" i="21" s="1"/>
  <c r="EI80" i="22" s="1"/>
  <c r="DY104" i="22" l="1"/>
  <c r="DY105" i="22" s="1"/>
  <c r="DY107" i="22" s="1"/>
  <c r="W135" i="21"/>
  <c r="T136" i="21" s="1"/>
  <c r="EW102" i="22"/>
  <c r="EW104" i="22"/>
  <c r="DZ75" i="22"/>
  <c r="DZ83" i="22" s="1"/>
  <c r="DZ81" i="22"/>
  <c r="DZ82" i="22" s="1"/>
  <c r="DZ84" i="22" s="1"/>
  <c r="EW105" i="22" l="1"/>
  <c r="EW107" i="22" s="1"/>
  <c r="EA78" i="22"/>
  <c r="DZ86" i="22"/>
  <c r="DZ102" i="22" s="1"/>
  <c r="DZ104" i="22" s="1"/>
  <c r="DZ105" i="22" s="1"/>
  <c r="DZ107" i="22" s="1"/>
  <c r="V136" i="21"/>
  <c r="U136" i="21" s="1"/>
  <c r="EJ80" i="22" s="1"/>
  <c r="W136" i="21" l="1"/>
  <c r="T137" i="21" s="1"/>
  <c r="EA81" i="22"/>
  <c r="EA82" i="22" s="1"/>
  <c r="EA84" i="22" s="1"/>
  <c r="EA75" i="22"/>
  <c r="EA83" i="22" s="1"/>
  <c r="EB78" i="22" l="1"/>
  <c r="EA86" i="22"/>
  <c r="V137" i="21"/>
  <c r="U137" i="21" s="1"/>
  <c r="EK80" i="22" s="1"/>
  <c r="EA102" i="22" l="1"/>
  <c r="EA104" i="22" s="1"/>
  <c r="EA105" i="22" s="1"/>
  <c r="EA107" i="22" s="1"/>
  <c r="W137" i="21"/>
  <c r="T138" i="21" s="1"/>
  <c r="V138" i="21" s="1"/>
  <c r="U138" i="21" s="1"/>
  <c r="W138" i="21" s="1"/>
  <c r="T139" i="21" s="1"/>
  <c r="V139" i="21" s="1"/>
  <c r="U139" i="21" s="1"/>
  <c r="W139" i="21" s="1"/>
  <c r="T140" i="21" s="1"/>
  <c r="V140" i="21" s="1"/>
  <c r="U140" i="21" s="1"/>
  <c r="W140" i="21" s="1"/>
  <c r="T141" i="21" s="1"/>
  <c r="V141" i="21" s="1"/>
  <c r="U141" i="21" s="1"/>
  <c r="W141" i="21" s="1"/>
  <c r="T142" i="21" s="1"/>
  <c r="V142" i="21" s="1"/>
  <c r="U142" i="21" s="1"/>
  <c r="W142" i="21" s="1"/>
  <c r="T143" i="21" s="1"/>
  <c r="V143" i="21" s="1"/>
  <c r="U143" i="21" s="1"/>
  <c r="W143" i="21" s="1"/>
  <c r="T144" i="21" s="1"/>
  <c r="V144" i="21" s="1"/>
  <c r="U144" i="21" s="1"/>
  <c r="W144" i="21" s="1"/>
  <c r="T145" i="21" s="1"/>
  <c r="V145" i="21" s="1"/>
  <c r="U145" i="21" s="1"/>
  <c r="W145" i="21" s="1"/>
  <c r="T146" i="21" s="1"/>
  <c r="V146" i="21" s="1"/>
  <c r="U146" i="21" s="1"/>
  <c r="W146" i="21" s="1"/>
  <c r="T147" i="21" s="1"/>
  <c r="EN80" i="22"/>
  <c r="EN83" i="22" s="1"/>
  <c r="F74" i="48" s="1"/>
  <c r="EO80" i="22"/>
  <c r="EO83" i="22" s="1"/>
  <c r="G74" i="48" s="1"/>
  <c r="EP80" i="22"/>
  <c r="EP83" i="22" s="1"/>
  <c r="H74" i="48" s="1"/>
  <c r="EQ80" i="22"/>
  <c r="EQ83" i="22" s="1"/>
  <c r="I74" i="48" s="1"/>
  <c r="ER80" i="22"/>
  <c r="ER83" i="22" s="1"/>
  <c r="J74" i="48" s="1"/>
  <c r="ES80" i="22"/>
  <c r="ES83" i="22" s="1"/>
  <c r="ET80" i="22"/>
  <c r="ET83" i="22" s="1"/>
  <c r="EU80" i="22"/>
  <c r="EV80" i="22"/>
  <c r="EW80" i="22"/>
  <c r="EX80" i="22"/>
  <c r="EB75" i="22"/>
  <c r="EB83" i="22" s="1"/>
  <c r="EB81" i="22"/>
  <c r="EB82" i="22" s="1"/>
  <c r="EB84" i="22" s="1"/>
  <c r="ET86" i="22" l="1"/>
  <c r="ER86" i="22"/>
  <c r="EQ86" i="22"/>
  <c r="EP86" i="22"/>
  <c r="EC78" i="22"/>
  <c r="EO86" i="22"/>
  <c r="ES86" i="22"/>
  <c r="EB86" i="22"/>
  <c r="EN82" i="22"/>
  <c r="EN84" i="22" s="1"/>
  <c r="EN86" i="22"/>
  <c r="V147" i="21"/>
  <c r="U147" i="21" s="1"/>
  <c r="W147" i="21" s="1"/>
  <c r="T148" i="21" s="1"/>
  <c r="V148" i="21" s="1"/>
  <c r="U148" i="21" s="1"/>
  <c r="W148" i="21" s="1"/>
  <c r="T149" i="21" s="1"/>
  <c r="V149" i="21" s="1"/>
  <c r="U149" i="21" s="1"/>
  <c r="W149" i="21" s="1"/>
  <c r="T150" i="21" s="1"/>
  <c r="V150" i="21" s="1"/>
  <c r="U150" i="21" s="1"/>
  <c r="W150" i="21" s="1"/>
  <c r="T151" i="21" s="1"/>
  <c r="V151" i="21" s="1"/>
  <c r="U151" i="21" s="1"/>
  <c r="W151" i="21" s="1"/>
  <c r="T152" i="21" s="1"/>
  <c r="V152" i="21" s="1"/>
  <c r="U152" i="21" s="1"/>
  <c r="W152" i="21" s="1"/>
  <c r="T153" i="21" s="1"/>
  <c r="V153" i="21" s="1"/>
  <c r="U153" i="21" s="1"/>
  <c r="W153" i="21" s="1"/>
  <c r="T154" i="21" s="1"/>
  <c r="V154" i="21" s="1"/>
  <c r="U154" i="21" s="1"/>
  <c r="W154" i="21" s="1"/>
  <c r="T155" i="21" s="1"/>
  <c r="EB102" i="22" l="1"/>
  <c r="EB104" i="22" s="1"/>
  <c r="EB105" i="22" s="1"/>
  <c r="EB107" i="22" s="1"/>
  <c r="EO78" i="22"/>
  <c r="EO82" i="22" s="1"/>
  <c r="EO84" i="22" s="1"/>
  <c r="V155" i="21"/>
  <c r="U155" i="21" s="1"/>
  <c r="W155" i="21" s="1"/>
  <c r="T156" i="21" s="1"/>
  <c r="V156" i="21" s="1"/>
  <c r="U156" i="21" s="1"/>
  <c r="W156" i="21" s="1"/>
  <c r="T157" i="21" s="1"/>
  <c r="V157" i="21" s="1"/>
  <c r="U157" i="21" s="1"/>
  <c r="W157" i="21" s="1"/>
  <c r="T158" i="21" s="1"/>
  <c r="V158" i="21" s="1"/>
  <c r="U158" i="21" s="1"/>
  <c r="W158" i="21" s="1"/>
  <c r="T159" i="21" s="1"/>
  <c r="V159" i="21" s="1"/>
  <c r="U159" i="21" s="1"/>
  <c r="W159" i="21" s="1"/>
  <c r="T160" i="21" s="1"/>
  <c r="V160" i="21" s="1"/>
  <c r="U160" i="21" s="1"/>
  <c r="W160" i="21" s="1"/>
  <c r="T161" i="21" s="1"/>
  <c r="V161" i="21" s="1"/>
  <c r="U161" i="21" s="1"/>
  <c r="W161" i="21" s="1"/>
  <c r="T162" i="21" s="1"/>
  <c r="V162" i="21" s="1"/>
  <c r="U162" i="21" s="1"/>
  <c r="W162" i="21" s="1"/>
  <c r="T163" i="21" s="1"/>
  <c r="V163" i="21" s="1"/>
  <c r="U163" i="21" s="1"/>
  <c r="W163" i="21" s="1"/>
  <c r="T164" i="21" s="1"/>
  <c r="V164" i="21" s="1"/>
  <c r="U164" i="21" s="1"/>
  <c r="W164" i="21" s="1"/>
  <c r="T165" i="21" s="1"/>
  <c r="V165" i="21" s="1"/>
  <c r="U165" i="21" s="1"/>
  <c r="W165" i="21" s="1"/>
  <c r="T166" i="21" s="1"/>
  <c r="V166" i="21" s="1"/>
  <c r="U166" i="21" s="1"/>
  <c r="W166" i="21" s="1"/>
  <c r="T167" i="21" s="1"/>
  <c r="V167" i="21" s="1"/>
  <c r="U167" i="21" s="1"/>
  <c r="W167" i="21" s="1"/>
  <c r="T168" i="21" s="1"/>
  <c r="V168" i="21" s="1"/>
  <c r="U168" i="21" s="1"/>
  <c r="W168" i="21" s="1"/>
  <c r="T169" i="21" s="1"/>
  <c r="V169" i="21" s="1"/>
  <c r="U169" i="21" s="1"/>
  <c r="W169" i="21" s="1"/>
  <c r="T170" i="21" s="1"/>
  <c r="V170" i="21" s="1"/>
  <c r="U170" i="21" s="1"/>
  <c r="W170" i="21" s="1"/>
  <c r="T171" i="21" s="1"/>
  <c r="V171" i="21" s="1"/>
  <c r="U171" i="21" s="1"/>
  <c r="W171" i="21" s="1"/>
  <c r="T172" i="21" s="1"/>
  <c r="V172" i="21" s="1"/>
  <c r="U172" i="21" s="1"/>
  <c r="W172" i="21" s="1"/>
  <c r="T173" i="21" s="1"/>
  <c r="V173" i="21" s="1"/>
  <c r="U173" i="21" s="1"/>
  <c r="W173" i="21" s="1"/>
  <c r="T174" i="21" s="1"/>
  <c r="V174" i="21" s="1"/>
  <c r="U174" i="21" s="1"/>
  <c r="W174" i="21" s="1"/>
  <c r="T175" i="21" s="1"/>
  <c r="V175" i="21" s="1"/>
  <c r="U175" i="21" s="1"/>
  <c r="W175" i="21" s="1"/>
  <c r="T176" i="21" s="1"/>
  <c r="V176" i="21" s="1"/>
  <c r="U176" i="21" s="1"/>
  <c r="W176" i="21" s="1"/>
  <c r="T177" i="21" s="1"/>
  <c r="V177" i="21" s="1"/>
  <c r="U177" i="21" s="1"/>
  <c r="W177" i="21" s="1"/>
  <c r="T178" i="21" s="1"/>
  <c r="V178" i="21" s="1"/>
  <c r="U178" i="21" s="1"/>
  <c r="W178" i="21" s="1"/>
  <c r="T179" i="21" s="1"/>
  <c r="V179" i="21" s="1"/>
  <c r="U179" i="21" s="1"/>
  <c r="W179" i="21" s="1"/>
  <c r="T180" i="21" s="1"/>
  <c r="V180" i="21" s="1"/>
  <c r="U180" i="21" s="1"/>
  <c r="W180" i="21" s="1"/>
  <c r="T181" i="21" s="1"/>
  <c r="V181" i="21" s="1"/>
  <c r="U181" i="21" s="1"/>
  <c r="W181" i="21" s="1"/>
  <c r="T182" i="21" s="1"/>
  <c r="V182" i="21" s="1"/>
  <c r="U182" i="21" s="1"/>
  <c r="W182" i="21" s="1"/>
  <c r="T183" i="21" s="1"/>
  <c r="V183" i="21" s="1"/>
  <c r="U183" i="21" s="1"/>
  <c r="W183" i="21" s="1"/>
  <c r="T184" i="21" s="1"/>
  <c r="V184" i="21" s="1"/>
  <c r="U184" i="21" s="1"/>
  <c r="W184" i="21" s="1"/>
  <c r="T185" i="21" s="1"/>
  <c r="V185" i="21" s="1"/>
  <c r="U185" i="21" s="1"/>
  <c r="W185" i="21" s="1"/>
  <c r="T186" i="21" s="1"/>
  <c r="V186" i="21" s="1"/>
  <c r="U186" i="21" s="1"/>
  <c r="W186" i="21" s="1"/>
  <c r="T187" i="21" s="1"/>
  <c r="V187" i="21" s="1"/>
  <c r="U187" i="21" s="1"/>
  <c r="W187" i="21" s="1"/>
  <c r="T188" i="21" s="1"/>
  <c r="V188" i="21" s="1"/>
  <c r="U188" i="21" s="1"/>
  <c r="W188" i="21" s="1"/>
  <c r="T189" i="21" s="1"/>
  <c r="V189" i="21" s="1"/>
  <c r="U189" i="21" s="1"/>
  <c r="W189" i="21" s="1"/>
  <c r="T190" i="21" s="1"/>
  <c r="V190" i="21" s="1"/>
  <c r="U190" i="21" s="1"/>
  <c r="W190" i="21" s="1"/>
  <c r="T191" i="21" s="1"/>
  <c r="V191" i="21" s="1"/>
  <c r="U191" i="21" s="1"/>
  <c r="W191" i="21" s="1"/>
  <c r="T192" i="21" s="1"/>
  <c r="EC81" i="22"/>
  <c r="EC82" i="22" s="1"/>
  <c r="EC84" i="22" s="1"/>
  <c r="EC75" i="22"/>
  <c r="EC83" i="22" s="1"/>
  <c r="V192" i="21" l="1"/>
  <c r="U192" i="21" s="1"/>
  <c r="W192" i="21" s="1"/>
  <c r="T193" i="21" s="1"/>
  <c r="V193" i="21" s="1"/>
  <c r="U193" i="21" s="1"/>
  <c r="W193" i="21" s="1"/>
  <c r="T194" i="21" s="1"/>
  <c r="V194" i="21" s="1"/>
  <c r="U194" i="21" s="1"/>
  <c r="W194" i="21" s="1"/>
  <c r="T195" i="21" s="1"/>
  <c r="V195" i="21" s="1"/>
  <c r="U195" i="21" s="1"/>
  <c r="W195" i="21" s="1"/>
  <c r="T196" i="21" s="1"/>
  <c r="V196" i="21" s="1"/>
  <c r="U196" i="21" s="1"/>
  <c r="W196" i="21" s="1"/>
  <c r="T197" i="21" s="1"/>
  <c r="V197" i="21" s="1"/>
  <c r="U197" i="21" s="1"/>
  <c r="W197" i="21" s="1"/>
  <c r="T198" i="21" s="1"/>
  <c r="V198" i="21" s="1"/>
  <c r="U198" i="21" s="1"/>
  <c r="W198" i="21" s="1"/>
  <c r="T199" i="21" s="1"/>
  <c r="V199" i="21" s="1"/>
  <c r="U199" i="21" s="1"/>
  <c r="W199" i="21" s="1"/>
  <c r="T200" i="21" s="1"/>
  <c r="V200" i="21" s="1"/>
  <c r="U200" i="21" s="1"/>
  <c r="W200" i="21" s="1"/>
  <c r="T201" i="21" s="1"/>
  <c r="V201" i="21" s="1"/>
  <c r="U201" i="21" s="1"/>
  <c r="W201" i="21" s="1"/>
  <c r="T202" i="21" s="1"/>
  <c r="V202" i="21" s="1"/>
  <c r="U202" i="21" s="1"/>
  <c r="W202" i="21" s="1"/>
  <c r="T203" i="21" s="1"/>
  <c r="V203" i="21" s="1"/>
  <c r="U203" i="21" s="1"/>
  <c r="W203" i="21" s="1"/>
  <c r="T204" i="21" s="1"/>
  <c r="V204" i="21" s="1"/>
  <c r="U204" i="21" s="1"/>
  <c r="W204" i="21" s="1"/>
  <c r="T205" i="21" s="1"/>
  <c r="V205" i="21" s="1"/>
  <c r="U205" i="21" s="1"/>
  <c r="W205" i="21" s="1"/>
  <c r="T206" i="21" s="1"/>
  <c r="V206" i="21" s="1"/>
  <c r="U206" i="21" s="1"/>
  <c r="W206" i="21" s="1"/>
  <c r="T207" i="21" s="1"/>
  <c r="V207" i="21" s="1"/>
  <c r="U207" i="21" s="1"/>
  <c r="W207" i="21" s="1"/>
  <c r="T208" i="21" s="1"/>
  <c r="V208" i="21" s="1"/>
  <c r="U208" i="21" s="1"/>
  <c r="W208" i="21" s="1"/>
  <c r="T209" i="21" s="1"/>
  <c r="V209" i="21" s="1"/>
  <c r="U209" i="21" s="1"/>
  <c r="W209" i="21" s="1"/>
  <c r="T210" i="21" s="1"/>
  <c r="V210" i="21" s="1"/>
  <c r="U210" i="21" s="1"/>
  <c r="W210" i="21" s="1"/>
  <c r="T211" i="21" s="1"/>
  <c r="V211" i="21" s="1"/>
  <c r="U211" i="21" s="1"/>
  <c r="W211" i="21" s="1"/>
  <c r="T212" i="21" s="1"/>
  <c r="V212" i="21" s="1"/>
  <c r="U212" i="21" s="1"/>
  <c r="W212" i="21" s="1"/>
  <c r="T213" i="21" s="1"/>
  <c r="V213" i="21" s="1"/>
  <c r="U213" i="21" s="1"/>
  <c r="W213" i="21" s="1"/>
  <c r="T214" i="21" s="1"/>
  <c r="V214" i="21" s="1"/>
  <c r="U214" i="21" s="1"/>
  <c r="W214" i="21" s="1"/>
  <c r="T215" i="21" s="1"/>
  <c r="V215" i="21" s="1"/>
  <c r="U215" i="21" s="1"/>
  <c r="W215" i="21" s="1"/>
  <c r="T216" i="21" s="1"/>
  <c r="V216" i="21" s="1"/>
  <c r="U216" i="21" s="1"/>
  <c r="W216" i="21" s="1"/>
  <c r="T217" i="21" s="1"/>
  <c r="V217" i="21" s="1"/>
  <c r="U217" i="21" s="1"/>
  <c r="W217" i="21" s="1"/>
  <c r="T218" i="21" s="1"/>
  <c r="V218" i="21" s="1"/>
  <c r="U218" i="21" s="1"/>
  <c r="W218" i="21" s="1"/>
  <c r="T219" i="21" s="1"/>
  <c r="V219" i="21" s="1"/>
  <c r="U219" i="21" s="1"/>
  <c r="W219" i="21" s="1"/>
  <c r="T220" i="21" s="1"/>
  <c r="V220" i="21" s="1"/>
  <c r="U220" i="21" s="1"/>
  <c r="W220" i="21" s="1"/>
  <c r="T221" i="21" s="1"/>
  <c r="V221" i="21" s="1"/>
  <c r="U221" i="21" s="1"/>
  <c r="W221" i="21" s="1"/>
  <c r="T222" i="21" s="1"/>
  <c r="V222" i="21" s="1"/>
  <c r="U222" i="21" s="1"/>
  <c r="W222" i="21" s="1"/>
  <c r="T223" i="21" s="1"/>
  <c r="V223" i="21" s="1"/>
  <c r="U223" i="21" s="1"/>
  <c r="W223" i="21" s="1"/>
  <c r="T224" i="21" s="1"/>
  <c r="V224" i="21" s="1"/>
  <c r="U224" i="21" s="1"/>
  <c r="W224" i="21" s="1"/>
  <c r="T225" i="21" s="1"/>
  <c r="V225" i="21" s="1"/>
  <c r="U225" i="21" s="1"/>
  <c r="W225" i="21" s="1"/>
  <c r="T226" i="21" s="1"/>
  <c r="V226" i="21" s="1"/>
  <c r="U226" i="21" s="1"/>
  <c r="W226" i="21" s="1"/>
  <c r="T227" i="21" s="1"/>
  <c r="V227" i="21" s="1"/>
  <c r="U227" i="21" s="1"/>
  <c r="W227" i="21" s="1"/>
  <c r="T228" i="21" s="1"/>
  <c r="V228" i="21" s="1"/>
  <c r="U228" i="21" s="1"/>
  <c r="W228" i="21" s="1"/>
  <c r="T229" i="21" s="1"/>
  <c r="V229" i="21" s="1"/>
  <c r="U229" i="21" s="1"/>
  <c r="W229" i="21" s="1"/>
  <c r="T230" i="21" s="1"/>
  <c r="V230" i="21" s="1"/>
  <c r="U230" i="21" s="1"/>
  <c r="W230" i="21" s="1"/>
  <c r="T231" i="21" s="1"/>
  <c r="V231" i="21" s="1"/>
  <c r="U231" i="21" s="1"/>
  <c r="W231" i="21" s="1"/>
  <c r="T232" i="21" s="1"/>
  <c r="V232" i="21" s="1"/>
  <c r="U232" i="21" s="1"/>
  <c r="W232" i="21" s="1"/>
  <c r="T233" i="21" s="1"/>
  <c r="V233" i="21" s="1"/>
  <c r="U233" i="21" s="1"/>
  <c r="W233" i="21" s="1"/>
  <c r="T234" i="21" s="1"/>
  <c r="V234" i="21" s="1"/>
  <c r="U234" i="21" s="1"/>
  <c r="W234" i="21" s="1"/>
  <c r="T235" i="21" s="1"/>
  <c r="V235" i="21" s="1"/>
  <c r="U235" i="21" s="1"/>
  <c r="W235" i="21" s="1"/>
  <c r="T236" i="21" s="1"/>
  <c r="V236" i="21" s="1"/>
  <c r="U236" i="21" s="1"/>
  <c r="W236" i="21" s="1"/>
  <c r="T237" i="21" s="1"/>
  <c r="V237" i="21" s="1"/>
  <c r="U237" i="21" s="1"/>
  <c r="W237" i="21" s="1"/>
  <c r="T238" i="21" s="1"/>
  <c r="V238" i="21" s="1"/>
  <c r="U238" i="21" s="1"/>
  <c r="W238" i="21" s="1"/>
  <c r="T239" i="21" s="1"/>
  <c r="V239" i="21" s="1"/>
  <c r="U239" i="21" s="1"/>
  <c r="W239" i="21" s="1"/>
  <c r="T240" i="21" s="1"/>
  <c r="V240" i="21" s="1"/>
  <c r="U240" i="21" s="1"/>
  <c r="W240" i="21" s="1"/>
  <c r="T241" i="21" s="1"/>
  <c r="V241" i="21" s="1"/>
  <c r="U241" i="21" s="1"/>
  <c r="W241" i="21" s="1"/>
  <c r="T242" i="21" s="1"/>
  <c r="V242" i="21" s="1"/>
  <c r="U242" i="21" s="1"/>
  <c r="W242" i="21" s="1"/>
  <c r="T243" i="21" s="1"/>
  <c r="V243" i="21" s="1"/>
  <c r="U243" i="21" s="1"/>
  <c r="W243" i="21" s="1"/>
  <c r="T244" i="21" s="1"/>
  <c r="V244" i="21" s="1"/>
  <c r="U244" i="21" s="1"/>
  <c r="W244" i="21" s="1"/>
  <c r="T245" i="21" s="1"/>
  <c r="V245" i="21" s="1"/>
  <c r="U245" i="21" s="1"/>
  <c r="W245" i="21" s="1"/>
  <c r="T246" i="21" s="1"/>
  <c r="V246" i="21" s="1"/>
  <c r="U246" i="21" s="1"/>
  <c r="W246" i="21" s="1"/>
  <c r="T247" i="21" s="1"/>
  <c r="V247" i="21" s="1"/>
  <c r="U247" i="21" s="1"/>
  <c r="W247" i="21" s="1"/>
  <c r="T248" i="21" s="1"/>
  <c r="V248" i="21" s="1"/>
  <c r="U248" i="21" s="1"/>
  <c r="W248" i="21" s="1"/>
  <c r="T249" i="21" s="1"/>
  <c r="V249" i="21" s="1"/>
  <c r="U249" i="21" s="1"/>
  <c r="W249" i="21" s="1"/>
  <c r="T250" i="21" s="1"/>
  <c r="V250" i="21" s="1"/>
  <c r="U250" i="21" s="1"/>
  <c r="W250" i="21" s="1"/>
  <c r="T251" i="21" s="1"/>
  <c r="V251" i="21" s="1"/>
  <c r="U251" i="21" s="1"/>
  <c r="W251" i="21" s="1"/>
  <c r="T252" i="21" s="1"/>
  <c r="V252" i="21" s="1"/>
  <c r="U252" i="21" s="1"/>
  <c r="W252" i="21" s="1"/>
  <c r="T253" i="21" s="1"/>
  <c r="ED78" i="22"/>
  <c r="EC86" i="22"/>
  <c r="EP78" i="22"/>
  <c r="EP82" i="22" s="1"/>
  <c r="EP84" i="22" s="1"/>
  <c r="EC102" i="22" l="1"/>
  <c r="EC104" i="22" s="1"/>
  <c r="EC105" i="22" s="1"/>
  <c r="EC107" i="22" s="1"/>
  <c r="V253" i="21"/>
  <c r="U253" i="21" s="1"/>
  <c r="W253" i="21" s="1"/>
  <c r="T254" i="21" s="1"/>
  <c r="V254" i="21" s="1"/>
  <c r="U254" i="21" s="1"/>
  <c r="W254" i="21" s="1"/>
  <c r="T255" i="21" s="1"/>
  <c r="V255" i="21" s="1"/>
  <c r="U255" i="21" s="1"/>
  <c r="W255" i="21" s="1"/>
  <c r="T256" i="21" s="1"/>
  <c r="V256" i="21" s="1"/>
  <c r="U256" i="21" s="1"/>
  <c r="W256" i="21" s="1"/>
  <c r="T257" i="21" s="1"/>
  <c r="V257" i="21" s="1"/>
  <c r="U257" i="21" s="1"/>
  <c r="W257" i="21" s="1"/>
  <c r="T258" i="21" s="1"/>
  <c r="V258" i="21" s="1"/>
  <c r="U258" i="21" s="1"/>
  <c r="W258" i="21" s="1"/>
  <c r="T259" i="21" s="1"/>
  <c r="V259" i="21" s="1"/>
  <c r="U259" i="21" s="1"/>
  <c r="W259" i="21" s="1"/>
  <c r="T260" i="21" s="1"/>
  <c r="V260" i="21" s="1"/>
  <c r="U260" i="21" s="1"/>
  <c r="W260" i="21" s="1"/>
  <c r="T261" i="21" s="1"/>
  <c r="V261" i="21" s="1"/>
  <c r="U261" i="21" s="1"/>
  <c r="W261" i="21" s="1"/>
  <c r="T262" i="21" s="1"/>
  <c r="V262" i="21" s="1"/>
  <c r="U262" i="21" s="1"/>
  <c r="W262" i="21" s="1"/>
  <c r="T263" i="21" s="1"/>
  <c r="V263" i="21" s="1"/>
  <c r="U263" i="21" s="1"/>
  <c r="W263" i="21" s="1"/>
  <c r="T264" i="21" s="1"/>
  <c r="V264" i="21" s="1"/>
  <c r="U264" i="21" s="1"/>
  <c r="W264" i="21" s="1"/>
  <c r="T265" i="21" s="1"/>
  <c r="V265" i="21" s="1"/>
  <c r="U265" i="21" s="1"/>
  <c r="W265" i="21" s="1"/>
  <c r="T266" i="21" s="1"/>
  <c r="V266" i="21" s="1"/>
  <c r="U266" i="21" s="1"/>
  <c r="W266" i="21" s="1"/>
  <c r="T267" i="21" s="1"/>
  <c r="V267" i="21" s="1"/>
  <c r="U267" i="21" s="1"/>
  <c r="W267" i="21" s="1"/>
  <c r="T268" i="21" s="1"/>
  <c r="V268" i="21" s="1"/>
  <c r="U268" i="21" s="1"/>
  <c r="W268" i="21" s="1"/>
  <c r="T269" i="21" s="1"/>
  <c r="V269" i="21" s="1"/>
  <c r="U269" i="21" s="1"/>
  <c r="W269" i="21" s="1"/>
  <c r="T270" i="21" s="1"/>
  <c r="V270" i="21" s="1"/>
  <c r="U270" i="21" s="1"/>
  <c r="W270" i="21" s="1"/>
  <c r="T271" i="21" s="1"/>
  <c r="V271" i="21" s="1"/>
  <c r="U271" i="21" s="1"/>
  <c r="W271" i="21" s="1"/>
  <c r="T272" i="21" s="1"/>
  <c r="EQ78" i="22"/>
  <c r="EQ82" i="22" s="1"/>
  <c r="EQ84" i="22" s="1"/>
  <c r="ED81" i="22"/>
  <c r="ED82" i="22" s="1"/>
  <c r="ED84" i="22" s="1"/>
  <c r="ED75" i="22"/>
  <c r="ED83" i="22" s="1"/>
  <c r="V272" i="21" l="1"/>
  <c r="U272" i="21" s="1"/>
  <c r="W272" i="21" s="1"/>
  <c r="T273" i="21" s="1"/>
  <c r="V273" i="21" s="1"/>
  <c r="U273" i="21" s="1"/>
  <c r="W273" i="21" s="1"/>
  <c r="T274" i="21" s="1"/>
  <c r="V274" i="21" s="1"/>
  <c r="U274" i="21" s="1"/>
  <c r="W274" i="21" s="1"/>
  <c r="T275" i="21" s="1"/>
  <c r="V275" i="21" s="1"/>
  <c r="U275" i="21" s="1"/>
  <c r="W275" i="21" s="1"/>
  <c r="T276" i="21" s="1"/>
  <c r="V276" i="21" s="1"/>
  <c r="U276" i="21" s="1"/>
  <c r="W276" i="21" s="1"/>
  <c r="T277" i="21" s="1"/>
  <c r="V277" i="21" s="1"/>
  <c r="U277" i="21" s="1"/>
  <c r="W277" i="21" s="1"/>
  <c r="T278" i="21" s="1"/>
  <c r="V278" i="21" s="1"/>
  <c r="U278" i="21" s="1"/>
  <c r="W278" i="21" s="1"/>
  <c r="T279" i="21" s="1"/>
  <c r="V279" i="21" s="1"/>
  <c r="U279" i="21" s="1"/>
  <c r="W279" i="21" s="1"/>
  <c r="T280" i="21" s="1"/>
  <c r="V280" i="21" s="1"/>
  <c r="U280" i="21" s="1"/>
  <c r="W280" i="21" s="1"/>
  <c r="T281" i="21" s="1"/>
  <c r="V281" i="21" s="1"/>
  <c r="U281" i="21" s="1"/>
  <c r="W281" i="21" s="1"/>
  <c r="T282" i="21" s="1"/>
  <c r="V282" i="21" s="1"/>
  <c r="U282" i="21" s="1"/>
  <c r="W282" i="21" s="1"/>
  <c r="T283" i="21" s="1"/>
  <c r="V283" i="21" s="1"/>
  <c r="U283" i="21" s="1"/>
  <c r="W283" i="21" s="1"/>
  <c r="T284" i="21" s="1"/>
  <c r="V284" i="21" s="1"/>
  <c r="U284" i="21" s="1"/>
  <c r="W284" i="21" s="1"/>
  <c r="T285" i="21" s="1"/>
  <c r="V285" i="21" s="1"/>
  <c r="U285" i="21" s="1"/>
  <c r="W285" i="21" s="1"/>
  <c r="T286" i="21" s="1"/>
  <c r="V286" i="21" s="1"/>
  <c r="U286" i="21" s="1"/>
  <c r="W286" i="21" s="1"/>
  <c r="T287" i="21" s="1"/>
  <c r="V287" i="21" s="1"/>
  <c r="U287" i="21" s="1"/>
  <c r="W287" i="21" s="1"/>
  <c r="T288" i="21" s="1"/>
  <c r="V288" i="21" s="1"/>
  <c r="U288" i="21" s="1"/>
  <c r="W288" i="21" s="1"/>
  <c r="T289" i="21" s="1"/>
  <c r="V289" i="21" s="1"/>
  <c r="U289" i="21" s="1"/>
  <c r="W289" i="21" s="1"/>
  <c r="T290" i="21" s="1"/>
  <c r="V290" i="21" s="1"/>
  <c r="U290" i="21" s="1"/>
  <c r="W290" i="21" s="1"/>
  <c r="T291" i="21" s="1"/>
  <c r="V291" i="21" s="1"/>
  <c r="U291" i="21" s="1"/>
  <c r="W291" i="21" s="1"/>
  <c r="T292" i="21" s="1"/>
  <c r="V292" i="21" s="1"/>
  <c r="U292" i="21" s="1"/>
  <c r="W292" i="21" s="1"/>
  <c r="T293" i="21" s="1"/>
  <c r="V293" i="21" s="1"/>
  <c r="U293" i="21" s="1"/>
  <c r="W293" i="21" s="1"/>
  <c r="T294" i="21" s="1"/>
  <c r="V294" i="21" s="1"/>
  <c r="U294" i="21" s="1"/>
  <c r="W294" i="21" s="1"/>
  <c r="T295" i="21" s="1"/>
  <c r="V295" i="21" s="1"/>
  <c r="U295" i="21" s="1"/>
  <c r="W295" i="21" s="1"/>
  <c r="T296" i="21" s="1"/>
  <c r="V296" i="21" s="1"/>
  <c r="U296" i="21" s="1"/>
  <c r="W296" i="21" s="1"/>
  <c r="T297" i="21" s="1"/>
  <c r="EE78" i="22"/>
  <c r="ER78" i="22"/>
  <c r="ER82" i="22" s="1"/>
  <c r="ER84" i="22" s="1"/>
  <c r="ED86" i="22"/>
  <c r="ED102" i="22" l="1"/>
  <c r="V297" i="21"/>
  <c r="U297" i="21" s="1"/>
  <c r="W297" i="21" s="1"/>
  <c r="T298" i="21" s="1"/>
  <c r="V298" i="21" s="1"/>
  <c r="U298" i="21" s="1"/>
  <c r="W298" i="21" s="1"/>
  <c r="T299" i="21" s="1"/>
  <c r="V299" i="21" s="1"/>
  <c r="U299" i="21" s="1"/>
  <c r="W299" i="21" s="1"/>
  <c r="T300" i="21" s="1"/>
  <c r="V300" i="21" s="1"/>
  <c r="U300" i="21" s="1"/>
  <c r="W300" i="21" s="1"/>
  <c r="T301" i="21" s="1"/>
  <c r="V301" i="21" s="1"/>
  <c r="U301" i="21" s="1"/>
  <c r="W301" i="21" s="1"/>
  <c r="T302" i="21" s="1"/>
  <c r="V302" i="21" s="1"/>
  <c r="U302" i="21" s="1"/>
  <c r="W302" i="21" s="1"/>
  <c r="T303" i="21" s="1"/>
  <c r="ES78" i="22"/>
  <c r="ES82" i="22" s="1"/>
  <c r="ES84" i="22" s="1"/>
  <c r="EE75" i="22"/>
  <c r="EE83" i="22" s="1"/>
  <c r="EE81" i="22"/>
  <c r="EE82" i="22" s="1"/>
  <c r="EE84" i="22" s="1"/>
  <c r="ED104" i="22" l="1"/>
  <c r="ED105" i="22" s="1"/>
  <c r="ED107" i="22" s="1"/>
  <c r="V303" i="21"/>
  <c r="U303" i="21" s="1"/>
  <c r="W303" i="21" s="1"/>
  <c r="T304" i="21" s="1"/>
  <c r="V304" i="21" s="1"/>
  <c r="U304" i="21" s="1"/>
  <c r="W304" i="21" s="1"/>
  <c r="T305" i="21" s="1"/>
  <c r="V305" i="21" s="1"/>
  <c r="U305" i="21" s="1"/>
  <c r="W305" i="21" s="1"/>
  <c r="T306" i="21" s="1"/>
  <c r="V306" i="21" s="1"/>
  <c r="U306" i="21" s="1"/>
  <c r="W306" i="21" s="1"/>
  <c r="T307" i="21" s="1"/>
  <c r="EE86" i="22"/>
  <c r="EF78" i="22"/>
  <c r="ET78" i="22"/>
  <c r="ET82" i="22" s="1"/>
  <c r="ET84" i="22" s="1"/>
  <c r="EE102" i="22" l="1"/>
  <c r="EE104" i="22" s="1"/>
  <c r="EE105" i="22" s="1"/>
  <c r="EE107" i="22" s="1"/>
  <c r="EU78" i="22"/>
  <c r="EF81" i="22"/>
  <c r="EF82" i="22" s="1"/>
  <c r="EF84" i="22" s="1"/>
  <c r="EF75" i="22"/>
  <c r="EF83" i="22" s="1"/>
  <c r="V307" i="21"/>
  <c r="U307" i="21" s="1"/>
  <c r="W307" i="21" s="1"/>
  <c r="T308" i="21" s="1"/>
  <c r="V308" i="21" s="1"/>
  <c r="U308" i="21" s="1"/>
  <c r="W308" i="21" s="1"/>
  <c r="T309" i="21" s="1"/>
  <c r="V309" i="21" s="1"/>
  <c r="U309" i="21" s="1"/>
  <c r="W309" i="21" s="1"/>
  <c r="T310" i="21" s="1"/>
  <c r="V310" i="21" s="1"/>
  <c r="U310" i="21" s="1"/>
  <c r="W310" i="21" s="1"/>
  <c r="T311" i="21" s="1"/>
  <c r="V311" i="21" s="1"/>
  <c r="U311" i="21" s="1"/>
  <c r="W311" i="21" s="1"/>
  <c r="T312" i="21" s="1"/>
  <c r="V312" i="21" s="1"/>
  <c r="U312" i="21" s="1"/>
  <c r="W312" i="21" s="1"/>
  <c r="T313" i="21" s="1"/>
  <c r="V313" i="21" s="1"/>
  <c r="U313" i="21" s="1"/>
  <c r="W313" i="21" s="1"/>
  <c r="T314" i="21" s="1"/>
  <c r="V314" i="21" s="1"/>
  <c r="U314" i="21" s="1"/>
  <c r="W314" i="21" s="1"/>
  <c r="T315" i="21" s="1"/>
  <c r="V315" i="21" s="1"/>
  <c r="U315" i="21" s="1"/>
  <c r="W315" i="21" s="1"/>
  <c r="T316" i="21" s="1"/>
  <c r="V316" i="21" s="1"/>
  <c r="U316" i="21" s="1"/>
  <c r="W316" i="21" s="1"/>
  <c r="T317" i="21" s="1"/>
  <c r="V317" i="21" s="1"/>
  <c r="U317" i="21" s="1"/>
  <c r="W317" i="21" s="1"/>
  <c r="T318" i="21" s="1"/>
  <c r="V318" i="21" s="1"/>
  <c r="U318" i="21" s="1"/>
  <c r="W318" i="21" s="1"/>
  <c r="T319" i="21" s="1"/>
  <c r="V319" i="21" s="1"/>
  <c r="U319" i="21" s="1"/>
  <c r="W319" i="21" s="1"/>
  <c r="T320" i="21" s="1"/>
  <c r="V320" i="21" s="1"/>
  <c r="U320" i="21" s="1"/>
  <c r="W320" i="21" s="1"/>
  <c r="T321" i="21" s="1"/>
  <c r="V321" i="21" s="1"/>
  <c r="U321" i="21" s="1"/>
  <c r="W321" i="21" s="1"/>
  <c r="T322" i="21" s="1"/>
  <c r="V322" i="21" s="1"/>
  <c r="U322" i="21" s="1"/>
  <c r="W322" i="21" s="1"/>
  <c r="T323" i="21" s="1"/>
  <c r="V323" i="21" s="1"/>
  <c r="U323" i="21" s="1"/>
  <c r="W323" i="21" s="1"/>
  <c r="T324" i="21" s="1"/>
  <c r="V324" i="21" s="1"/>
  <c r="U324" i="21" s="1"/>
  <c r="W324" i="21" s="1"/>
  <c r="T325" i="21" s="1"/>
  <c r="V325" i="21" s="1"/>
  <c r="U325" i="21" s="1"/>
  <c r="W325" i="21" s="1"/>
  <c r="T326" i="21" s="1"/>
  <c r="V326" i="21" l="1"/>
  <c r="U326" i="21" s="1"/>
  <c r="W326" i="21" s="1"/>
  <c r="T327" i="21" s="1"/>
  <c r="V327" i="21" s="1"/>
  <c r="U327" i="21" s="1"/>
  <c r="W327" i="21" s="1"/>
  <c r="T328" i="21" s="1"/>
  <c r="V328" i="21" s="1"/>
  <c r="U328" i="21" s="1"/>
  <c r="W328" i="21" s="1"/>
  <c r="T329" i="21" s="1"/>
  <c r="V329" i="21" s="1"/>
  <c r="U329" i="21" s="1"/>
  <c r="W329" i="21" s="1"/>
  <c r="T330" i="21" s="1"/>
  <c r="V330" i="21" s="1"/>
  <c r="U330" i="21" s="1"/>
  <c r="W330" i="21" s="1"/>
  <c r="T331" i="21" s="1"/>
  <c r="EG78" i="22"/>
  <c r="EF86" i="22"/>
  <c r="EF102" i="22" s="1"/>
  <c r="EF104" i="22" s="1"/>
  <c r="EF105" i="22" s="1"/>
  <c r="EF107" i="22" s="1"/>
  <c r="V331" i="21" l="1"/>
  <c r="U331" i="21" s="1"/>
  <c r="W331" i="21" s="1"/>
  <c r="T332" i="21" s="1"/>
  <c r="V332" i="21" s="1"/>
  <c r="U332" i="21" s="1"/>
  <c r="W332" i="21" s="1"/>
  <c r="T333" i="21" s="1"/>
  <c r="V333" i="21" s="1"/>
  <c r="U333" i="21" s="1"/>
  <c r="W333" i="21" s="1"/>
  <c r="T334" i="21" s="1"/>
  <c r="V334" i="21" s="1"/>
  <c r="U334" i="21" s="1"/>
  <c r="W334" i="21" s="1"/>
  <c r="T335" i="21" s="1"/>
  <c r="EG81" i="22"/>
  <c r="EG82" i="22" s="1"/>
  <c r="EG84" i="22" s="1"/>
  <c r="EG75" i="22"/>
  <c r="EG83" i="22" s="1"/>
  <c r="V335" i="21" l="1"/>
  <c r="U335" i="21" s="1"/>
  <c r="W335" i="21" s="1"/>
  <c r="T336" i="21" s="1"/>
  <c r="V336" i="21" s="1"/>
  <c r="U336" i="21" s="1"/>
  <c r="W336" i="21" s="1"/>
  <c r="T337" i="21" s="1"/>
  <c r="V337" i="21" s="1"/>
  <c r="U337" i="21" s="1"/>
  <c r="W337" i="21" s="1"/>
  <c r="T338" i="21" s="1"/>
  <c r="V338" i="21" s="1"/>
  <c r="U338" i="21" s="1"/>
  <c r="W338" i="21" s="1"/>
  <c r="T339" i="21" s="1"/>
  <c r="V339" i="21" s="1"/>
  <c r="U339" i="21" s="1"/>
  <c r="W339" i="21" s="1"/>
  <c r="T340" i="21" s="1"/>
  <c r="V340" i="21" s="1"/>
  <c r="U340" i="21" s="1"/>
  <c r="W340" i="21" s="1"/>
  <c r="T341" i="21" s="1"/>
  <c r="V341" i="21" s="1"/>
  <c r="U341" i="21" s="1"/>
  <c r="W341" i="21" s="1"/>
  <c r="T342" i="21" s="1"/>
  <c r="V342" i="21" s="1"/>
  <c r="U342" i="21" s="1"/>
  <c r="W342" i="21" s="1"/>
  <c r="T343" i="21" s="1"/>
  <c r="V343" i="21" s="1"/>
  <c r="U343" i="21" s="1"/>
  <c r="W343" i="21" s="1"/>
  <c r="T344" i="21" s="1"/>
  <c r="V344" i="21" s="1"/>
  <c r="U344" i="21" s="1"/>
  <c r="W344" i="21" s="1"/>
  <c r="T345" i="21" s="1"/>
  <c r="V345" i="21" s="1"/>
  <c r="U345" i="21" s="1"/>
  <c r="W345" i="21" s="1"/>
  <c r="T346" i="21" s="1"/>
  <c r="V346" i="21" s="1"/>
  <c r="U346" i="21" s="1"/>
  <c r="W346" i="21" s="1"/>
  <c r="T347" i="21" s="1"/>
  <c r="V347" i="21" s="1"/>
  <c r="U347" i="21" s="1"/>
  <c r="W347" i="21" s="1"/>
  <c r="T348" i="21" s="1"/>
  <c r="V348" i="21" s="1"/>
  <c r="U348" i="21" s="1"/>
  <c r="W348" i="21" s="1"/>
  <c r="T349" i="21" s="1"/>
  <c r="V349" i="21" s="1"/>
  <c r="U349" i="21" s="1"/>
  <c r="W349" i="21" s="1"/>
  <c r="T350" i="21" s="1"/>
  <c r="V350" i="21" s="1"/>
  <c r="U350" i="21" s="1"/>
  <c r="W350" i="21" s="1"/>
  <c r="T351" i="21" s="1"/>
  <c r="V351" i="21" s="1"/>
  <c r="U351" i="21" s="1"/>
  <c r="W351" i="21" s="1"/>
  <c r="T352" i="21" s="1"/>
  <c r="V352" i="21" s="1"/>
  <c r="U352" i="21" s="1"/>
  <c r="W352" i="21" s="1"/>
  <c r="T353" i="21" s="1"/>
  <c r="V353" i="21" s="1"/>
  <c r="U353" i="21" s="1"/>
  <c r="W353" i="21" s="1"/>
  <c r="T354" i="21" s="1"/>
  <c r="V354" i="21" s="1"/>
  <c r="U354" i="21" s="1"/>
  <c r="W354" i="21" s="1"/>
  <c r="T355" i="21" s="1"/>
  <c r="V355" i="21" s="1"/>
  <c r="U355" i="21" s="1"/>
  <c r="W355" i="21" s="1"/>
  <c r="T356" i="21" s="1"/>
  <c r="V356" i="21" s="1"/>
  <c r="U356" i="21" s="1"/>
  <c r="W356" i="21" s="1"/>
  <c r="T357" i="21" s="1"/>
  <c r="V357" i="21" s="1"/>
  <c r="U357" i="21" s="1"/>
  <c r="W357" i="21" s="1"/>
  <c r="T358" i="21" s="1"/>
  <c r="V358" i="21" s="1"/>
  <c r="U358" i="21" s="1"/>
  <c r="W358" i="21" s="1"/>
  <c r="T359" i="21" s="1"/>
  <c r="V359" i="21" s="1"/>
  <c r="U359" i="21" s="1"/>
  <c r="W359" i="21" s="1"/>
  <c r="T360" i="21" s="1"/>
  <c r="V360" i="21" s="1"/>
  <c r="U360" i="21" s="1"/>
  <c r="W360" i="21" s="1"/>
  <c r="T361" i="21" s="1"/>
  <c r="V361" i="21" s="1"/>
  <c r="U361" i="21" s="1"/>
  <c r="W361" i="21" s="1"/>
  <c r="T362" i="21" s="1"/>
  <c r="V362" i="21" s="1"/>
  <c r="U362" i="21" s="1"/>
  <c r="W362" i="21" s="1"/>
  <c r="T363" i="21" s="1"/>
  <c r="V363" i="21" s="1"/>
  <c r="U363" i="21" s="1"/>
  <c r="W363" i="21" s="1"/>
  <c r="T364" i="21" s="1"/>
  <c r="V364" i="21" s="1"/>
  <c r="U364" i="21" s="1"/>
  <c r="W364" i="21" s="1"/>
  <c r="T365" i="21" s="1"/>
  <c r="V365" i="21" s="1"/>
  <c r="U365" i="21" s="1"/>
  <c r="W365" i="21" s="1"/>
  <c r="EH78" i="22"/>
  <c r="EG86" i="22"/>
  <c r="EG102" i="22" s="1"/>
  <c r="EG104" i="22" l="1"/>
  <c r="EG105" i="22" s="1"/>
  <c r="EG107" i="22" s="1"/>
  <c r="EH75" i="22"/>
  <c r="EH83" i="22" s="1"/>
  <c r="EH81" i="22"/>
  <c r="EH82" i="22" s="1"/>
  <c r="EH84" i="22" s="1"/>
  <c r="EH86" i="22" l="1"/>
  <c r="EH102" i="22" s="1"/>
  <c r="EI78" i="22"/>
  <c r="EH104" i="22" l="1"/>
  <c r="EH105" i="22" s="1"/>
  <c r="EH107" i="22" s="1"/>
  <c r="EI81" i="22"/>
  <c r="EI82" i="22" s="1"/>
  <c r="EI84" i="22" s="1"/>
  <c r="EI75" i="22"/>
  <c r="EI83" i="22" s="1"/>
  <c r="EI86" i="22" l="1"/>
  <c r="EI102" i="22" s="1"/>
  <c r="EI104" i="22" s="1"/>
  <c r="EI105" i="22" s="1"/>
  <c r="EI107" i="22" s="1"/>
  <c r="EJ78" i="22"/>
  <c r="EJ81" i="22" l="1"/>
  <c r="EJ82" i="22" s="1"/>
  <c r="EJ84" i="22" s="1"/>
  <c r="EJ75" i="22"/>
  <c r="EJ83" i="22" s="1"/>
  <c r="EJ86" i="22" l="1"/>
  <c r="EJ102" i="22" s="1"/>
  <c r="EJ104" i="22" s="1"/>
  <c r="EJ105" i="22" s="1"/>
  <c r="EJ107" i="22" s="1"/>
  <c r="EK78" i="22"/>
  <c r="EK81" i="22" l="1"/>
  <c r="EK82" i="22" s="1"/>
  <c r="EK84" i="22" s="1"/>
  <c r="EK75" i="22"/>
  <c r="EK83" i="22" s="1"/>
  <c r="EU81" i="22" l="1"/>
  <c r="EU82" i="22" s="1"/>
  <c r="EU84" i="22" s="1"/>
  <c r="EV81" i="22"/>
  <c r="EW81" i="22"/>
  <c r="EX81" i="22"/>
  <c r="EK86" i="22"/>
  <c r="EK102" i="22" s="1"/>
  <c r="EU75" i="22"/>
  <c r="EU83" i="22" s="1"/>
  <c r="EV75" i="22"/>
  <c r="EV83" i="22" s="1"/>
  <c r="EW75" i="22"/>
  <c r="EW83" i="22" s="1"/>
  <c r="EX75" i="22"/>
  <c r="EX83" i="22" s="1"/>
  <c r="EK104" i="22" l="1"/>
  <c r="F102" i="22"/>
  <c r="EW86" i="22"/>
  <c r="EV86" i="22"/>
  <c r="EU86" i="22"/>
  <c r="C91" i="22"/>
  <c r="C89" i="22"/>
  <c r="C88" i="22"/>
  <c r="C90" i="22"/>
  <c r="EX86" i="22"/>
  <c r="EV78" i="22"/>
  <c r="EV82" i="22" s="1"/>
  <c r="EV84" i="22" s="1"/>
  <c r="H15" i="48" l="1"/>
  <c r="EK105" i="22"/>
  <c r="EK107" i="22" s="1"/>
  <c r="F104" i="22"/>
  <c r="H17" i="48" s="1"/>
  <c r="C23" i="48" a="1"/>
  <c r="EX104" i="22"/>
  <c r="EX102" i="22"/>
  <c r="EW78" i="22"/>
  <c r="EW82" i="22" s="1"/>
  <c r="EW84" i="22" s="1"/>
  <c r="J17" i="48" l="1"/>
  <c r="F105" i="22"/>
  <c r="F107" i="22" s="1"/>
  <c r="J15" i="48"/>
  <c r="H18" i="48"/>
  <c r="C23" i="48"/>
  <c r="F23" i="48"/>
  <c r="E23" i="48"/>
  <c r="D23" i="48"/>
  <c r="EX105" i="22"/>
  <c r="EX107" i="22" s="1"/>
  <c r="EX78" i="22"/>
  <c r="EX82" i="22" s="1"/>
  <c r="EX84" i="22" s="1"/>
  <c r="J18" i="48" l="1"/>
  <c r="E73" i="48"/>
  <c r="J40" i="48"/>
  <c r="D73" i="48"/>
  <c r="I15" i="48"/>
  <c r="E52" i="48"/>
  <c r="E53" i="48" s="1"/>
  <c r="G75" i="48"/>
  <c r="H75" i="48"/>
  <c r="I75" i="48"/>
  <c r="J75" i="48"/>
  <c r="F75" i="48"/>
  <c r="E36" i="48"/>
  <c r="F36" i="48" s="1"/>
  <c r="E33" i="48"/>
  <c r="F33" i="48" s="1"/>
  <c r="I16" i="48"/>
  <c r="E35" i="48"/>
  <c r="F35" i="48" s="1"/>
  <c r="E32" i="48"/>
  <c r="F32" i="48" s="1"/>
  <c r="E31" i="48"/>
  <c r="F31" i="48" s="1"/>
  <c r="E34" i="48"/>
  <c r="F34" i="48" s="1"/>
  <c r="I17" i="48"/>
  <c r="I18" i="48" l="1"/>
  <c r="E54" i="48"/>
  <c r="I105" i="22"/>
  <c r="I107" i="22" s="1"/>
  <c r="J105" i="22"/>
  <c r="J107" i="22" s="1"/>
  <c r="E55" i="48" l="1"/>
  <c r="D53" i="48" s="1"/>
  <c r="D54" i="48" l="1"/>
  <c r="D55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Aaron Hancock</author>
  </authors>
  <commentList>
    <comment ref="F30" authorId="0" shapeId="0" xr:uid="{41C11C8C-7959-4268-8B6D-EFFD01294A46}">
      <text>
        <r>
          <rPr>
            <b/>
            <sz val="9"/>
            <color indexed="81"/>
            <rFont val="Tahoma"/>
            <charset val="1"/>
          </rPr>
          <t>Aaron Hancock:</t>
        </r>
        <r>
          <rPr>
            <sz val="9"/>
            <color indexed="81"/>
            <rFont val="Tahoma"/>
            <charset val="1"/>
          </rPr>
          <t xml:space="preserve">
In order to be profitable upon exit, the stabilized YoC must be greater than the exit cap rate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Aaron Hancock</author>
  </authors>
  <commentList>
    <comment ref="D51" authorId="0" shapeId="0" xr:uid="{2427BA27-16D0-4669-87E4-ACEDD1DAE34A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Underwritten occupancy levels should generally be in-line with historicals. If significant improvements are being made to the asset, levels may be more varied.</t>
        </r>
      </text>
    </comment>
    <comment ref="E51" authorId="0" shapeId="0" xr:uid="{CA4086E2-0408-4A70-A8AA-21885538BC10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3% is generally accepeted as a market growth rate. Consider what is happening at the asset that may affect your ability to increase market rates - is occupancy moving significantly? Will there be disruptive renovations?</t>
        </r>
      </text>
    </comment>
    <comment ref="H51" authorId="0" shapeId="0" xr:uid="{B0805CC0-5C54-4A6F-A1C7-E029B3B5CB3F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RET is broken out separately because it makes up such a large chunk of opex. In a perfect world, RET will be informed by a third party analysis rather than just relying on growth rates. But, this methodology suffices for initial underwritings.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Aaron Hancock</author>
  </authors>
  <commentList>
    <comment ref="J12" authorId="0" shapeId="0" xr:uid="{87BBA376-CFD9-49E7-A97B-9948264291F6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There is an argument for both growing rates monthly and growing rates annually. Neither is incorrect. 
Argument for monthly: multifamily leases consistently roll, allowing rents to be moved to market.</t>
        </r>
      </text>
    </comment>
    <comment ref="J16" authorId="0" shapeId="0" xr:uid="{0AB1C1B6-C054-408E-9591-6F772B5A93B2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Vacancy loss is the inverse of occupancy.</t>
        </r>
      </text>
    </comment>
    <comment ref="B21" authorId="0" shapeId="0" xr:uid="{D4813152-0A96-4833-AF6E-0E60B3AEED69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Added a row for PSF</t>
        </r>
      </text>
    </comment>
    <comment ref="B22" authorId="0" shapeId="0" xr:uid="{4EA9A396-9657-4B4B-83C9-AC95A9C475D6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Change from "Occupancy" to "Physical Occupancy"</t>
        </r>
      </text>
    </comment>
    <comment ref="B23" authorId="0" shapeId="0" xr:uid="{4F5FAE0A-7B2C-4AAA-9E6E-4559055F52A8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Added row for economic occ</t>
        </r>
      </text>
    </comment>
    <comment ref="K25" authorId="0" shapeId="0" xr:uid="{341AA444-8FDE-4D39-AC5D-CDEAB33E2DA1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Similar to rent growth, there is an argument for both monthly and annually. Other revenue is much less impactful in terms of magnitude, therefore the difference is much less meaningful.</t>
        </r>
      </text>
    </comment>
    <comment ref="J37" authorId="0" shapeId="0" xr:uid="{8FF78C76-E36E-4C02-946F-F6FFDEC12AE8}">
      <text>
        <r>
          <rPr>
            <b/>
            <sz val="9"/>
            <color indexed="81"/>
            <rFont val="Tahoma"/>
            <family val="2"/>
          </rPr>
          <t xml:space="preserve">Aaron Hancock:
</t>
        </r>
        <r>
          <rPr>
            <sz val="9"/>
            <color indexed="81"/>
            <rFont val="Tahoma"/>
            <family val="2"/>
          </rPr>
          <t>Management fees are calculated as a percentage of rental income.</t>
        </r>
      </text>
    </comment>
    <comment ref="K41" authorId="0" shapeId="0" xr:uid="{5FD1AC2E-0D20-4E67-A19D-0BA2E235518A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Replacement reserves is not an actual cash flow; it is a modeling tool. Unlike other opex, it is held constant.</t>
        </r>
      </text>
    </comment>
    <comment ref="B46" authorId="0" shapeId="0" xr:uid="{61EC9589-E451-4171-B556-19ED2104CBF5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Add line for Margin</t>
        </r>
      </text>
    </comment>
    <comment ref="B47" authorId="0" shapeId="0" xr:uid="{763C1BAA-E33B-4077-AA66-522134522E9B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Add line for Unlevered YoC</t>
        </r>
      </text>
    </comment>
    <comment ref="EN78" authorId="0" shapeId="0" xr:uid="{83B74830-7353-446F-A533-8807B545A04C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Instead of SUMIF, link to previous period's ending balance.</t>
        </r>
      </text>
    </comment>
    <comment ref="I80" authorId="0" shapeId="0" xr:uid="{204AEDB8-357B-41D8-923A-3AF34993D374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Amortization is pulled from the amoritzation table on the inputs tab in order to cleanly model interest only periods.</t>
        </r>
      </text>
    </comment>
    <comment ref="B83" authorId="0" shapeId="0" xr:uid="{69C424A6-244F-4E17-AAAA-D1A7BCA99A13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Add line for DSCR</t>
        </r>
      </text>
    </comment>
    <comment ref="B84" authorId="0" shapeId="0" xr:uid="{69EBAAC9-93CB-4077-9280-EE6A57EFA708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Add line for DY</t>
        </r>
      </text>
    </comment>
    <comment ref="B94" authorId="0" shapeId="0" xr:uid="{6049D58D-33A2-43CF-B945-F0B75C14F46A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Added section for Sources &amp; Uses</t>
        </r>
      </text>
    </comment>
  </commentList>
</comments>
</file>

<file path=xl/sharedStrings.xml><?xml version="1.0" encoding="utf-8"?>
<sst xmlns="http://schemas.openxmlformats.org/spreadsheetml/2006/main" count="343" uniqueCount="230">
  <si>
    <t>Total</t>
  </si>
  <si>
    <t>Studio</t>
  </si>
  <si>
    <t>1 BR, 1 BA</t>
  </si>
  <si>
    <t>2 BR, 2 BA</t>
  </si>
  <si>
    <t>3 BR, 2 BA</t>
  </si>
  <si>
    <t>INCOME</t>
  </si>
  <si>
    <t>Rental Income</t>
  </si>
  <si>
    <t>Gross Potential Rent</t>
  </si>
  <si>
    <t>Concessions</t>
  </si>
  <si>
    <t>Loss to Lease</t>
  </si>
  <si>
    <t>Effective Rent / Unit</t>
  </si>
  <si>
    <t>Effective Rent / SF</t>
  </si>
  <si>
    <t>Occupancy</t>
  </si>
  <si>
    <t>Vacancy Loss</t>
  </si>
  <si>
    <t>Non-Revenue Units</t>
  </si>
  <si>
    <t>Uncollectible Rent</t>
  </si>
  <si>
    <t>Total Rental Income</t>
  </si>
  <si>
    <t>Utility Reimbursement</t>
  </si>
  <si>
    <t>Parking Revenue</t>
  </si>
  <si>
    <t>Other Revenue</t>
  </si>
  <si>
    <t>Total Other Revenue</t>
  </si>
  <si>
    <t>TOTAL INCOME</t>
  </si>
  <si>
    <t>OPERATING EXPENSES</t>
  </si>
  <si>
    <t>Repairs &amp; Maintenance</t>
  </si>
  <si>
    <t>Turnover Costs</t>
  </si>
  <si>
    <t>Marketing/Leasing Costs</t>
  </si>
  <si>
    <t>General/Administrative</t>
  </si>
  <si>
    <t>Property Payroll</t>
  </si>
  <si>
    <t>Management Fees</t>
  </si>
  <si>
    <t>Utilities</t>
  </si>
  <si>
    <t>Real Estate Taxes</t>
  </si>
  <si>
    <t>Property Insurance</t>
  </si>
  <si>
    <t>TOTAL OPERATING EXPENSES</t>
  </si>
  <si>
    <t>NET OPERATING INCOME</t>
  </si>
  <si>
    <t>2018 Historical Financials</t>
  </si>
  <si>
    <t>Inputs</t>
  </si>
  <si>
    <t>Property Overview</t>
  </si>
  <si>
    <t>Name</t>
  </si>
  <si>
    <t>Location</t>
  </si>
  <si>
    <t>Type</t>
  </si>
  <si>
    <t>Units</t>
  </si>
  <si>
    <t>Year Built</t>
  </si>
  <si>
    <t>Multifamily</t>
  </si>
  <si>
    <t>Rock Creek Apartments</t>
  </si>
  <si>
    <t>123 Wall Street, Boston, MA</t>
  </si>
  <si>
    <t>Acquisition Assumptions</t>
  </si>
  <si>
    <t>Acquisition Date</t>
  </si>
  <si>
    <t>Hold Period</t>
  </si>
  <si>
    <t>Exit Date</t>
  </si>
  <si>
    <t>Purchase Price</t>
  </si>
  <si>
    <t>Exit Assumptions</t>
  </si>
  <si>
    <t>Exit Cap Rate</t>
  </si>
  <si>
    <t>Sale Price</t>
  </si>
  <si>
    <t>Acquisition Closing Costs</t>
  </si>
  <si>
    <t>Exit Closing Costs</t>
  </si>
  <si>
    <t>Renovation Budget</t>
  </si>
  <si>
    <t>Unit Mix</t>
  </si>
  <si>
    <t>Defensive</t>
  </si>
  <si>
    <t>Amount</t>
  </si>
  <si>
    <t>Per Unit</t>
  </si>
  <si>
    <t>Offensive</t>
  </si>
  <si>
    <t>Start Date</t>
  </si>
  <si>
    <t>Duration</t>
  </si>
  <si>
    <t>Contingency</t>
  </si>
  <si>
    <t>Subtotal</t>
  </si>
  <si>
    <t>Financing Assumptions</t>
  </si>
  <si>
    <t>Term</t>
  </si>
  <si>
    <t>Maturity Date</t>
  </si>
  <si>
    <t>Loan Amount</t>
  </si>
  <si>
    <t>Loan-to-Purchase Price</t>
  </si>
  <si>
    <t>Interest Rate Spread</t>
  </si>
  <si>
    <t>Origination Fee</t>
  </si>
  <si>
    <t>Interest Only Period</t>
  </si>
  <si>
    <t>Amortization Period</t>
  </si>
  <si>
    <t>Drivers</t>
  </si>
  <si>
    <t>Effective Rent</t>
  </si>
  <si>
    <t>Collection Loss</t>
  </si>
  <si>
    <t>Other Income</t>
  </si>
  <si>
    <t>Total Income</t>
  </si>
  <si>
    <t>Operating Expenses</t>
  </si>
  <si>
    <t>Net Operating Income</t>
  </si>
  <si>
    <t>Assumption</t>
  </si>
  <si>
    <t>%</t>
  </si>
  <si>
    <t>Revenue &amp; Expense Assumptions</t>
  </si>
  <si>
    <t>General &amp; Administrative</t>
  </si>
  <si>
    <t>Turnover</t>
  </si>
  <si>
    <t>Marketing</t>
  </si>
  <si>
    <t>Payroll</t>
  </si>
  <si>
    <t>Year</t>
  </si>
  <si>
    <t>Rent Growth</t>
  </si>
  <si>
    <t>Rent</t>
  </si>
  <si>
    <t>Growth</t>
  </si>
  <si>
    <t>Expense</t>
  </si>
  <si>
    <t>RET</t>
  </si>
  <si>
    <t>Capital Expenditures</t>
  </si>
  <si>
    <t>Start</t>
  </si>
  <si>
    <t>End</t>
  </si>
  <si>
    <t>Schedule</t>
  </si>
  <si>
    <t>Unit Renovations</t>
  </si>
  <si>
    <t>Units Renovated</t>
  </si>
  <si>
    <t>Remaining Units</t>
  </si>
  <si>
    <t>Rent Premium</t>
  </si>
  <si>
    <t>Model</t>
  </si>
  <si>
    <t>Acq. Date</t>
  </si>
  <si>
    <t>Size</t>
  </si>
  <si>
    <t>T-12</t>
  </si>
  <si>
    <t>T-3 Ann.</t>
  </si>
  <si>
    <t>Dec 2018</t>
  </si>
  <si>
    <t>Replacement Reserve</t>
  </si>
  <si>
    <t>Count</t>
  </si>
  <si>
    <t>CAPITAL EXPENDITURES</t>
  </si>
  <si>
    <t>Defensive Renovations</t>
  </si>
  <si>
    <t>Offensive Renovations</t>
  </si>
  <si>
    <t>TOTAL CAPITAL EXPENDITURES</t>
  </si>
  <si>
    <t>ACQUISITION &amp; SALE</t>
  </si>
  <si>
    <t>Sale Proceeds</t>
  </si>
  <si>
    <t>TOTAL PURCHASE &amp; SALE</t>
  </si>
  <si>
    <t>Peak Equity</t>
  </si>
  <si>
    <t>IRR</t>
  </si>
  <si>
    <t>Profit</t>
  </si>
  <si>
    <t>Multiple</t>
  </si>
  <si>
    <t>Effective Rent / Month</t>
  </si>
  <si>
    <t>Renovated Effective Rent</t>
  </si>
  <si>
    <t>Unrenovated Effective Rent</t>
  </si>
  <si>
    <t>Units Unrenovated</t>
  </si>
  <si>
    <t>Units Renovated / Month</t>
  </si>
  <si>
    <t>Forward 12 Month NOI</t>
  </si>
  <si>
    <t>OPERATING CASH FLOW</t>
  </si>
  <si>
    <t>ROI</t>
  </si>
  <si>
    <t>FINANCING COSTS</t>
  </si>
  <si>
    <t>LIBOR Index</t>
  </si>
  <si>
    <t>All-in Rate</t>
  </si>
  <si>
    <t>Date</t>
  </si>
  <si>
    <t>LIBOR</t>
  </si>
  <si>
    <t>Interest Expense</t>
  </si>
  <si>
    <t>Financing Fees</t>
  </si>
  <si>
    <t>Beginning Balance</t>
  </si>
  <si>
    <t>Amortization</t>
  </si>
  <si>
    <t>Loan Funding</t>
  </si>
  <si>
    <t>Loan Payoff</t>
  </si>
  <si>
    <t>Ending Balance</t>
  </si>
  <si>
    <t>Amortization Table</t>
  </si>
  <si>
    <t>#</t>
  </si>
  <si>
    <t>Principal</t>
  </si>
  <si>
    <t>Interest</t>
  </si>
  <si>
    <t>Beg. Balance</t>
  </si>
  <si>
    <t>End Balance</t>
  </si>
  <si>
    <t>Payment</t>
  </si>
  <si>
    <t>LEVERED CASH FLOW</t>
  </si>
  <si>
    <t>UNLEVERED CASH FLOW</t>
  </si>
  <si>
    <t>Income Assumptions</t>
  </si>
  <si>
    <t>Operating Expense Assumptions</t>
  </si>
  <si>
    <t>Effective Rent PSF / Month</t>
  </si>
  <si>
    <t>Physical Occupancy</t>
  </si>
  <si>
    <t>Economic Occupancy</t>
  </si>
  <si>
    <t>Margin</t>
  </si>
  <si>
    <t>DSCR</t>
  </si>
  <si>
    <t>TOTAL USES</t>
  </si>
  <si>
    <t>Close</t>
  </si>
  <si>
    <t>Hold</t>
  </si>
  <si>
    <t>Closing Costs</t>
  </si>
  <si>
    <t>USES</t>
  </si>
  <si>
    <t>SOURCES</t>
  </si>
  <si>
    <t>Equity</t>
  </si>
  <si>
    <t>Debt</t>
  </si>
  <si>
    <t>Operating Cashflow</t>
  </si>
  <si>
    <t>TOTAL SOURCES</t>
  </si>
  <si>
    <t>Check</t>
  </si>
  <si>
    <t>Transaction Summary</t>
  </si>
  <si>
    <t>Sources &amp; Uses</t>
  </si>
  <si>
    <t>Uses</t>
  </si>
  <si>
    <t>Total Uses</t>
  </si>
  <si>
    <t>Sources</t>
  </si>
  <si>
    <t>CLOSE</t>
  </si>
  <si>
    <t>HOLD</t>
  </si>
  <si>
    <t>% of Total</t>
  </si>
  <si>
    <t>Total Sources</t>
  </si>
  <si>
    <t>Returns Summary</t>
  </si>
  <si>
    <t>Unlevered Project</t>
  </si>
  <si>
    <t>Levered Project</t>
  </si>
  <si>
    <t>Vintage</t>
  </si>
  <si>
    <t>Total Units</t>
  </si>
  <si>
    <t>Rentable SF</t>
  </si>
  <si>
    <t>Avg Unit Size</t>
  </si>
  <si>
    <t>Current Occ.</t>
  </si>
  <si>
    <t>NOI Summary</t>
  </si>
  <si>
    <t>NOI</t>
  </si>
  <si>
    <t>Delta to Exit Cap</t>
  </si>
  <si>
    <t>NOI YoC</t>
  </si>
  <si>
    <t>Debt Summary</t>
  </si>
  <si>
    <t>Loan Proceeds</t>
  </si>
  <si>
    <t>Leverage (Close / Life)</t>
  </si>
  <si>
    <t>Fees</t>
  </si>
  <si>
    <t>IO Period</t>
  </si>
  <si>
    <t>Maturity</t>
  </si>
  <si>
    <t>Rate</t>
  </si>
  <si>
    <t>Capital Expenditure Summary</t>
  </si>
  <si>
    <t>Deferred Maintenance</t>
  </si>
  <si>
    <t>Replacement Reserves</t>
  </si>
  <si>
    <t>Exit Summary</t>
  </si>
  <si>
    <t>Fwd NOI</t>
  </si>
  <si>
    <t>Exit Cap</t>
  </si>
  <si>
    <t>Total $</t>
  </si>
  <si>
    <t>Net Sale Proceeds</t>
  </si>
  <si>
    <t>Less: Sale Costs</t>
  </si>
  <si>
    <t>Less: Outstanding Debt</t>
  </si>
  <si>
    <t>Less: Equity</t>
  </si>
  <si>
    <t>Terminal Value Profit</t>
  </si>
  <si>
    <t>Interim Cash Flow</t>
  </si>
  <si>
    <t>Total Profit</t>
  </si>
  <si>
    <t>Value</t>
  </si>
  <si>
    <t>Allocation</t>
  </si>
  <si>
    <t>Unit Renovation ROI</t>
  </si>
  <si>
    <t>Upgrade Cost / Unit</t>
  </si>
  <si>
    <t>Revenue &amp; Expense Summary</t>
  </si>
  <si>
    <t>T-3</t>
  </si>
  <si>
    <t>Total Expenses</t>
  </si>
  <si>
    <t>Effective Rent Growth</t>
  </si>
  <si>
    <t>Revenue Growth</t>
  </si>
  <si>
    <t>Expense Growth</t>
  </si>
  <si>
    <t>Expense / Unit</t>
  </si>
  <si>
    <t>NOI Growth</t>
  </si>
  <si>
    <t>NOI Margin</t>
  </si>
  <si>
    <t>NOI / PP</t>
  </si>
  <si>
    <t>NOI / Cost</t>
  </si>
  <si>
    <t>NOI DSCR</t>
  </si>
  <si>
    <t>Cash-on-Cash</t>
  </si>
  <si>
    <t>Yield-on-Cost</t>
  </si>
  <si>
    <t>Debt Yield</t>
  </si>
  <si>
    <t>Brooks Phillips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</si>
</sst>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7" formatCode="&quot;$&quot;#,##0.00_);\(&quot;$&quot;#,##0.00\)"/>
    <numFmt numFmtId="43" formatCode="_(* #,##0.00_);_(* \(#,##0.00\);_(* &quot;-&quot;??_);_(@_)"/>
    <numFmt numFmtId="166" formatCode="#,##0.0_);\(#,##0.0\);\–_);&quot;–&quot;_)"/>
    <numFmt numFmtId="167" formatCode="#,##0_);\(#,##0\);\–_);&quot;–&quot;_)"/>
    <numFmt numFmtId="168" formatCode="#,##0.00_);\(#,##0.00\);\–_);&quot;–&quot;_)"/>
    <numFmt numFmtId="169" formatCode="0.0%_);\(0.0%\);&quot;–&quot;_)"/>
    <numFmt numFmtId="170" formatCode="0%_);\(0%\);&quot;–&quot;_)"/>
    <numFmt numFmtId="171" formatCode="&quot;$&quot;#,##0_);\(&quot;$&quot;#,##0\);\–_);&quot;–&quot;_)"/>
    <numFmt numFmtId="172" formatCode="0.00%_);\(0.00%\);&quot;–&quot;_)"/>
    <numFmt numFmtId="173" formatCode="&quot;Year &quot;General"/>
    <numFmt numFmtId="174" formatCode="&quot;Month &quot;General"/>
    <numFmt numFmtId="175" formatCode="0.00\x_);\(0.00\x\);&quot;–&quot;_)"/>
    <numFmt numFmtId="176" formatCode="#,##0.00%_);\(#,##0.00%\)"/>
    <numFmt numFmtId="177" formatCode="General&quot; Months&quot;"/>
    <numFmt numFmtId="178" formatCode="General&quot; bps&quot;"/>
    <numFmt numFmtId="179" formatCode="General&quot; Years&quot;"/>
    <numFmt numFmtId="180" formatCode="#,##0;\(#,##0\);&quot;–&quot;;@"/>
    <numFmt numFmtId="181" formatCode="[$$]#,##0;\([$$]#,##0\);&quot;–&quot;;@"/>
    <numFmt numFmtId="182" formatCode="0.0\x;\(0.0\x\);&quot;–&quot;"/>
    <numFmt numFmtId="183" formatCode="0.00\x;\(0.00\x\);&quot;–&quot;"/>
    <numFmt numFmtId="184" formatCode="[$$-380A]\ #,##0.00;\-[$$-380A]\ #,##0.00"/>
    <numFmt numFmtId="185" formatCode="[$$-380A]\ #,##0;\-[$$-380A]\ #,##0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theme="1"/>
      <name val="Palatino Linotype"/>
      <family val="1"/>
    </font>
    <font>
      <b/>
      <sz val="10"/>
      <color theme="1"/>
      <name val="Palatino Linotype"/>
      <family val="1"/>
    </font>
    <font>
      <b/>
      <sz val="10"/>
      <name val="Palatino Linotype"/>
      <family val="1"/>
    </font>
    <font>
      <sz val="10"/>
      <name val="Palatino Linotype"/>
      <family val="1"/>
    </font>
    <font>
      <sz val="10"/>
      <color rgb="FF0000FF"/>
      <name val="Palatino Linotype"/>
      <family val="1"/>
    </font>
    <font>
      <sz val="10"/>
      <color rgb="FF008000"/>
      <name val="Palatino Linotype"/>
      <family val="1"/>
    </font>
    <font>
      <b/>
      <sz val="10"/>
      <color rgb="FFFFFFFF"/>
      <name val="Palatino Linotype"/>
      <family val="1"/>
    </font>
    <font>
      <b/>
      <sz val="10"/>
      <color rgb="FF000000"/>
      <name val="Palatino Linotype"/>
      <family val="1"/>
    </font>
    <font>
      <b/>
      <u/>
      <sz val="10"/>
      <color theme="1"/>
      <name val="Palatino Linotype"/>
      <family val="1"/>
    </font>
    <font>
      <u/>
      <sz val="10"/>
      <color theme="1"/>
      <name val="Palatino Linotype"/>
      <family val="1"/>
    </font>
    <font>
      <b/>
      <i/>
      <sz val="10"/>
      <color theme="1"/>
      <name val="Palatino Linotype"/>
      <family val="1"/>
    </font>
    <font>
      <b/>
      <i/>
      <sz val="10"/>
      <color rgb="FF008000"/>
      <name val="Palatino Linotype"/>
      <family val="1"/>
    </font>
    <font>
      <u/>
      <sz val="10"/>
      <color rgb="FF0000FF"/>
      <name val="Palatino Linotype"/>
      <family val="1"/>
    </font>
    <font>
      <i/>
      <sz val="10"/>
      <color theme="1"/>
      <name val="Palatino Linotype"/>
      <family val="1"/>
    </font>
    <font>
      <sz val="10"/>
      <color rgb="FF000000"/>
      <name val="Palatino Linotype"/>
      <family val="1"/>
    </font>
    <font>
      <b/>
      <u/>
      <sz val="10"/>
      <name val="Palatino Linotype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rgb="FFFF0000"/>
      <name val="Palatino Linotype"/>
      <family val="1"/>
    </font>
    <font>
      <u val="singleAccounting"/>
      <sz val="10"/>
      <color theme="1"/>
      <name val="Palatino Linotype"/>
      <family val="1"/>
    </font>
    <font>
      <u val="singleAccounting"/>
      <sz val="10"/>
      <name val="Palatino Linotype"/>
      <family val="1"/>
    </font>
    <font>
      <sz val="10"/>
      <color theme="0"/>
      <name val="Palatino Linotype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002D7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EDED"/>
        <bgColor rgb="FF000000"/>
      </patternFill>
    </fill>
    <fill>
      <patternFill patternType="solid">
        <fgColor rgb="FFE2EFDA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rgb="FF000000"/>
      </top>
      <bottom/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4" fontId="2" fillId="0" borderId="1" applyFont="0" applyFill="0" applyBorder="0" applyAlignment="0" applyProtection="0"/>
    <xf numFmtId="0" fontId="3" fillId="0" borderId="0"/>
    <xf numFmtId="9" fontId="22" fillId="0" borderId="0" applyFont="0" applyFill="0" applyBorder="0" applyAlignment="0" applyProtection="0"/>
  </cellStyleXfs>
  <cellXfs count="181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2" xfId="0" applyFont="1" applyBorder="1"/>
    <xf numFmtId="0" fontId="10" fillId="2" borderId="0" xfId="0" applyFont="1" applyFill="1" applyAlignment="1">
      <alignment horizontal="centerContinuous"/>
    </xf>
    <xf numFmtId="14" fontId="4" fillId="0" borderId="0" xfId="0" applyNumberFormat="1" applyFont="1"/>
    <xf numFmtId="10" fontId="8" fillId="0" borderId="0" xfId="0" applyNumberFormat="1" applyFont="1"/>
    <xf numFmtId="167" fontId="4" fillId="0" borderId="0" xfId="0" applyNumberFormat="1" applyFont="1"/>
    <xf numFmtId="0" fontId="5" fillId="0" borderId="2" xfId="0" applyFont="1" applyBorder="1"/>
    <xf numFmtId="14" fontId="7" fillId="0" borderId="0" xfId="0" applyNumberFormat="1" applyFont="1"/>
    <xf numFmtId="167" fontId="5" fillId="0" borderId="2" xfId="0" applyNumberFormat="1" applyFont="1" applyBorder="1"/>
    <xf numFmtId="0" fontId="12" fillId="0" borderId="0" xfId="0" applyFont="1" applyAlignment="1">
      <alignment horizontal="center"/>
    </xf>
    <xf numFmtId="0" fontId="5" fillId="3" borderId="0" xfId="0" applyFont="1" applyFill="1" applyAlignment="1">
      <alignment horizontal="centerContinuous"/>
    </xf>
    <xf numFmtId="0" fontId="4" fillId="3" borderId="0" xfId="0" applyFont="1" applyFill="1" applyAlignment="1">
      <alignment horizontal="centerContinuous"/>
    </xf>
    <xf numFmtId="171" fontId="4" fillId="0" borderId="0" xfId="0" applyNumberFormat="1" applyFont="1"/>
    <xf numFmtId="169" fontId="7" fillId="0" borderId="0" xfId="0" applyNumberFormat="1" applyFont="1"/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9" fontId="4" fillId="0" borderId="0" xfId="0" applyNumberFormat="1" applyFont="1"/>
    <xf numFmtId="170" fontId="4" fillId="0" borderId="0" xfId="0" applyNumberFormat="1" applyFont="1"/>
    <xf numFmtId="0" fontId="12" fillId="0" borderId="0" xfId="0" applyFont="1" applyAlignment="1">
      <alignment horizontal="centerContinuous"/>
    </xf>
    <xf numFmtId="168" fontId="4" fillId="0" borderId="0" xfId="0" applyNumberFormat="1" applyFont="1"/>
    <xf numFmtId="166" fontId="4" fillId="0" borderId="0" xfId="0" applyNumberFormat="1" applyFont="1"/>
    <xf numFmtId="167" fontId="5" fillId="0" borderId="0" xfId="0" applyNumberFormat="1" applyFont="1"/>
    <xf numFmtId="173" fontId="8" fillId="0" borderId="0" xfId="0" applyNumberFormat="1" applyFont="1" applyAlignment="1">
      <alignment horizontal="center"/>
    </xf>
    <xf numFmtId="174" fontId="8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73" fontId="4" fillId="0" borderId="0" xfId="0" applyNumberFormat="1" applyFont="1" applyAlignment="1">
      <alignment horizontal="center"/>
    </xf>
    <xf numFmtId="174" fontId="4" fillId="0" borderId="0" xfId="0" applyNumberFormat="1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14" fillId="0" borderId="0" xfId="0" applyFont="1"/>
    <xf numFmtId="14" fontId="16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167" fontId="5" fillId="0" borderId="2" xfId="0" applyNumberFormat="1" applyFont="1" applyBorder="1" applyAlignment="1">
      <alignment horizontal="center"/>
    </xf>
    <xf numFmtId="167" fontId="11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/>
    <xf numFmtId="167" fontId="9" fillId="0" borderId="0" xfId="0" applyNumberFormat="1" applyFont="1"/>
    <xf numFmtId="0" fontId="17" fillId="0" borderId="0" xfId="0" applyFont="1"/>
    <xf numFmtId="171" fontId="17" fillId="0" borderId="0" xfId="0" applyNumberFormat="1" applyFont="1"/>
    <xf numFmtId="170" fontId="17" fillId="0" borderId="0" xfId="0" applyNumberFormat="1" applyFont="1"/>
    <xf numFmtId="5" fontId="5" fillId="0" borderId="2" xfId="0" applyNumberFormat="1" applyFont="1" applyBorder="1"/>
    <xf numFmtId="171" fontId="5" fillId="0" borderId="2" xfId="0" applyNumberFormat="1" applyFont="1" applyBorder="1"/>
    <xf numFmtId="167" fontId="4" fillId="0" borderId="2" xfId="0" applyNumberFormat="1" applyFont="1" applyBorder="1"/>
    <xf numFmtId="172" fontId="4" fillId="0" borderId="0" xfId="0" applyNumberFormat="1" applyFont="1"/>
    <xf numFmtId="172" fontId="4" fillId="0" borderId="2" xfId="0" applyNumberFormat="1" applyFont="1" applyBorder="1"/>
    <xf numFmtId="14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176" fontId="8" fillId="0" borderId="0" xfId="0" applyNumberFormat="1" applyFont="1" applyAlignment="1">
      <alignment horizontal="center"/>
    </xf>
    <xf numFmtId="0" fontId="19" fillId="0" borderId="0" xfId="0" applyFont="1" applyAlignment="1">
      <alignment horizontal="centerContinuous"/>
    </xf>
    <xf numFmtId="167" fontId="4" fillId="0" borderId="0" xfId="0" applyNumberFormat="1" applyFont="1" applyAlignment="1">
      <alignment horizontal="center"/>
    </xf>
    <xf numFmtId="177" fontId="7" fillId="0" borderId="0" xfId="0" applyNumberFormat="1" applyFont="1"/>
    <xf numFmtId="0" fontId="8" fillId="4" borderId="0" xfId="0" applyFont="1" applyFill="1" applyAlignment="1">
      <alignment horizontal="right"/>
    </xf>
    <xf numFmtId="167" fontId="8" fillId="4" borderId="0" xfId="0" applyNumberFormat="1" applyFont="1" applyFill="1"/>
    <xf numFmtId="167" fontId="8" fillId="4" borderId="0" xfId="0" applyNumberFormat="1" applyFont="1" applyFill="1" applyAlignment="1">
      <alignment horizontal="center"/>
    </xf>
    <xf numFmtId="9" fontId="8" fillId="4" borderId="0" xfId="0" applyNumberFormat="1" applyFont="1" applyFill="1"/>
    <xf numFmtId="14" fontId="8" fillId="4" borderId="0" xfId="0" applyNumberFormat="1" applyFont="1" applyFill="1"/>
    <xf numFmtId="177" fontId="8" fillId="4" borderId="0" xfId="0" applyNumberFormat="1" applyFont="1" applyFill="1"/>
    <xf numFmtId="10" fontId="8" fillId="4" borderId="0" xfId="0" applyNumberFormat="1" applyFont="1" applyFill="1"/>
    <xf numFmtId="172" fontId="8" fillId="4" borderId="0" xfId="0" applyNumberFormat="1" applyFont="1" applyFill="1"/>
    <xf numFmtId="178" fontId="8" fillId="4" borderId="0" xfId="0" applyNumberFormat="1" applyFont="1" applyFill="1"/>
    <xf numFmtId="179" fontId="8" fillId="4" borderId="0" xfId="0" applyNumberFormat="1" applyFont="1" applyFill="1"/>
    <xf numFmtId="170" fontId="9" fillId="4" borderId="0" xfId="0" applyNumberFormat="1" applyFont="1" applyFill="1"/>
    <xf numFmtId="171" fontId="9" fillId="4" borderId="0" xfId="0" applyNumberFormat="1" applyFont="1" applyFill="1"/>
    <xf numFmtId="5" fontId="4" fillId="4" borderId="0" xfId="0" applyNumberFormat="1" applyFont="1" applyFill="1"/>
    <xf numFmtId="167" fontId="9" fillId="4" borderId="0" xfId="0" applyNumberFormat="1" applyFont="1" applyFill="1"/>
    <xf numFmtId="171" fontId="4" fillId="4" borderId="0" xfId="0" applyNumberFormat="1" applyFont="1" applyFill="1"/>
    <xf numFmtId="167" fontId="8" fillId="4" borderId="2" xfId="0" applyNumberFormat="1" applyFont="1" applyFill="1" applyBorder="1"/>
    <xf numFmtId="169" fontId="8" fillId="4" borderId="0" xfId="0" applyNumberFormat="1" applyFont="1" applyFill="1"/>
    <xf numFmtId="167" fontId="7" fillId="4" borderId="0" xfId="0" applyNumberFormat="1" applyFont="1" applyFill="1"/>
    <xf numFmtId="167" fontId="7" fillId="0" borderId="0" xfId="0" applyNumberFormat="1" applyFont="1"/>
    <xf numFmtId="10" fontId="8" fillId="4" borderId="0" xfId="0" applyNumberFormat="1" applyFont="1" applyFill="1" applyAlignment="1">
      <alignment horizontal="center"/>
    </xf>
    <xf numFmtId="10" fontId="4" fillId="4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14" fontId="7" fillId="4" borderId="0" xfId="0" applyNumberFormat="1" applyFont="1" applyFill="1"/>
    <xf numFmtId="0" fontId="8" fillId="4" borderId="0" xfId="0" applyFont="1" applyFill="1"/>
    <xf numFmtId="0" fontId="4" fillId="4" borderId="0" xfId="0" applyFont="1" applyFill="1"/>
    <xf numFmtId="167" fontId="4" fillId="4" borderId="0" xfId="0" applyNumberFormat="1" applyFont="1" applyFill="1"/>
    <xf numFmtId="169" fontId="7" fillId="4" borderId="0" xfId="0" applyNumberFormat="1" applyFont="1" applyFill="1"/>
    <xf numFmtId="171" fontId="17" fillId="4" borderId="0" xfId="0" applyNumberFormat="1" applyFont="1" applyFill="1"/>
    <xf numFmtId="170" fontId="17" fillId="4" borderId="0" xfId="0" applyNumberFormat="1" applyFont="1" applyFill="1"/>
    <xf numFmtId="166" fontId="18" fillId="4" borderId="0" xfId="0" applyNumberFormat="1" applyFont="1" applyFill="1"/>
    <xf numFmtId="167" fontId="17" fillId="4" borderId="0" xfId="0" applyNumberFormat="1" applyFont="1" applyFill="1"/>
    <xf numFmtId="166" fontId="4" fillId="4" borderId="0" xfId="0" applyNumberFormat="1" applyFont="1" applyFill="1"/>
    <xf numFmtId="171" fontId="5" fillId="4" borderId="4" xfId="0" applyNumberFormat="1" applyFont="1" applyFill="1" applyBorder="1"/>
    <xf numFmtId="169" fontId="5" fillId="4" borderId="6" xfId="0" applyNumberFormat="1" applyFont="1" applyFill="1" applyBorder="1"/>
    <xf numFmtId="171" fontId="5" fillId="4" borderId="6" xfId="0" applyNumberFormat="1" applyFont="1" applyFill="1" applyBorder="1"/>
    <xf numFmtId="175" fontId="5" fillId="4" borderId="8" xfId="0" applyNumberFormat="1" applyFont="1" applyFill="1" applyBorder="1"/>
    <xf numFmtId="0" fontId="5" fillId="0" borderId="3" xfId="0" applyFont="1" applyBorder="1"/>
    <xf numFmtId="0" fontId="5" fillId="0" borderId="5" xfId="0" applyFont="1" applyBorder="1"/>
    <xf numFmtId="0" fontId="5" fillId="0" borderId="7" xfId="0" applyFont="1" applyBorder="1"/>
    <xf numFmtId="172" fontId="9" fillId="4" borderId="0" xfId="0" applyNumberFormat="1" applyFont="1" applyFill="1"/>
    <xf numFmtId="172" fontId="7" fillId="4" borderId="0" xfId="0" applyNumberFormat="1" applyFont="1" applyFill="1"/>
    <xf numFmtId="171" fontId="5" fillId="4" borderId="2" xfId="0" applyNumberFormat="1" applyFont="1" applyFill="1" applyBorder="1"/>
    <xf numFmtId="171" fontId="5" fillId="4" borderId="0" xfId="0" applyNumberFormat="1" applyFont="1" applyFill="1"/>
    <xf numFmtId="167" fontId="5" fillId="4" borderId="0" xfId="0" applyNumberFormat="1" applyFont="1" applyFill="1"/>
    <xf numFmtId="14" fontId="15" fillId="0" borderId="0" xfId="0" applyNumberFormat="1" applyFont="1"/>
    <xf numFmtId="0" fontId="15" fillId="0" borderId="0" xfId="0" applyFont="1"/>
    <xf numFmtId="172" fontId="9" fillId="0" borderId="0" xfId="0" applyNumberFormat="1" applyFont="1"/>
    <xf numFmtId="167" fontId="7" fillId="0" borderId="0" xfId="0" applyNumberFormat="1" applyFont="1" applyAlignment="1">
      <alignment horizontal="center"/>
    </xf>
    <xf numFmtId="0" fontId="8" fillId="4" borderId="0" xfId="0" applyFont="1" applyFill="1" applyAlignment="1">
      <alignment horizontal="center"/>
    </xf>
    <xf numFmtId="173" fontId="8" fillId="6" borderId="0" xfId="0" applyNumberFormat="1" applyFont="1" applyFill="1" applyAlignment="1">
      <alignment horizontal="center"/>
    </xf>
    <xf numFmtId="173" fontId="7" fillId="6" borderId="0" xfId="0" applyNumberFormat="1" applyFont="1" applyFill="1" applyAlignment="1">
      <alignment horizontal="center"/>
    </xf>
    <xf numFmtId="14" fontId="13" fillId="6" borderId="0" xfId="0" applyNumberFormat="1" applyFont="1" applyFill="1" applyAlignment="1">
      <alignment horizontal="center"/>
    </xf>
    <xf numFmtId="180" fontId="4" fillId="0" borderId="0" xfId="0" applyNumberFormat="1" applyFont="1"/>
    <xf numFmtId="180" fontId="4" fillId="6" borderId="0" xfId="0" applyNumberFormat="1" applyFont="1" applyFill="1"/>
    <xf numFmtId="181" fontId="4" fillId="6" borderId="0" xfId="0" applyNumberFormat="1" applyFont="1" applyFill="1"/>
    <xf numFmtId="0" fontId="4" fillId="6" borderId="0" xfId="0" applyFont="1" applyFill="1"/>
    <xf numFmtId="0" fontId="17" fillId="6" borderId="0" xfId="0" applyFont="1" applyFill="1"/>
    <xf numFmtId="7" fontId="17" fillId="4" borderId="0" xfId="0" applyNumberFormat="1" applyFont="1" applyFill="1"/>
    <xf numFmtId="170" fontId="17" fillId="6" borderId="0" xfId="0" applyNumberFormat="1" applyFont="1" applyFill="1"/>
    <xf numFmtId="171" fontId="17" fillId="6" borderId="0" xfId="0" applyNumberFormat="1" applyFont="1" applyFill="1"/>
    <xf numFmtId="170" fontId="17" fillId="6" borderId="0" xfId="5" applyNumberFormat="1" applyFont="1" applyFill="1"/>
    <xf numFmtId="170" fontId="17" fillId="0" borderId="0" xfId="5" applyNumberFormat="1" applyFont="1" applyFill="1"/>
    <xf numFmtId="171" fontId="5" fillId="0" borderId="0" xfId="0" applyNumberFormat="1" applyFont="1"/>
    <xf numFmtId="182" fontId="17" fillId="6" borderId="0" xfId="0" applyNumberFormat="1" applyFont="1" applyFill="1" applyAlignment="1">
      <alignment horizontal="right"/>
    </xf>
    <xf numFmtId="180" fontId="4" fillId="0" borderId="2" xfId="0" applyNumberFormat="1" applyFont="1" applyBorder="1"/>
    <xf numFmtId="181" fontId="4" fillId="0" borderId="2" xfId="0" applyNumberFormat="1" applyFont="1" applyBorder="1"/>
    <xf numFmtId="181" fontId="4" fillId="6" borderId="2" xfId="0" applyNumberFormat="1" applyFont="1" applyFill="1" applyBorder="1"/>
    <xf numFmtId="180" fontId="23" fillId="6" borderId="0" xfId="0" applyNumberFormat="1" applyFont="1" applyFill="1"/>
    <xf numFmtId="180" fontId="7" fillId="6" borderId="0" xfId="0" applyNumberFormat="1" applyFont="1" applyFill="1"/>
    <xf numFmtId="181" fontId="5" fillId="6" borderId="2" xfId="0" applyNumberFormat="1" applyFont="1" applyFill="1" applyBorder="1"/>
    <xf numFmtId="181" fontId="5" fillId="0" borderId="2" xfId="0" applyNumberFormat="1" applyFont="1" applyBorder="1"/>
    <xf numFmtId="181" fontId="5" fillId="5" borderId="2" xfId="0" applyNumberFormat="1" applyFont="1" applyFill="1" applyBorder="1"/>
    <xf numFmtId="0" fontId="17" fillId="6" borderId="0" xfId="0" applyFont="1" applyFill="1" applyAlignment="1">
      <alignment horizontal="right"/>
    </xf>
    <xf numFmtId="181" fontId="5" fillId="0" borderId="0" xfId="0" applyNumberFormat="1" applyFont="1"/>
    <xf numFmtId="0" fontId="5" fillId="5" borderId="0" xfId="0" applyFont="1" applyFill="1"/>
    <xf numFmtId="0" fontId="12" fillId="6" borderId="0" xfId="0" applyFont="1" applyFill="1"/>
    <xf numFmtId="0" fontId="5" fillId="6" borderId="0" xfId="0" applyFont="1" applyFill="1"/>
    <xf numFmtId="0" fontId="13" fillId="6" borderId="0" xfId="0" applyFont="1" applyFill="1" applyAlignment="1">
      <alignment horizontal="center"/>
    </xf>
    <xf numFmtId="0" fontId="24" fillId="0" borderId="0" xfId="0" applyFont="1" applyAlignment="1">
      <alignment horizontal="centerContinuous"/>
    </xf>
    <xf numFmtId="184" fontId="4" fillId="0" borderId="0" xfId="0" applyNumberFormat="1" applyFont="1"/>
    <xf numFmtId="170" fontId="5" fillId="5" borderId="2" xfId="0" applyNumberFormat="1" applyFont="1" applyFill="1" applyBorder="1"/>
    <xf numFmtId="170" fontId="4" fillId="6" borderId="0" xfId="0" applyNumberFormat="1" applyFont="1" applyFill="1"/>
    <xf numFmtId="169" fontId="4" fillId="6" borderId="0" xfId="0" applyNumberFormat="1" applyFont="1" applyFill="1"/>
    <xf numFmtId="183" fontId="4" fillId="6" borderId="0" xfId="0" applyNumberFormat="1" applyFont="1" applyFill="1"/>
    <xf numFmtId="0" fontId="4" fillId="6" borderId="0" xfId="0" applyFont="1" applyFill="1" applyAlignment="1">
      <alignment horizontal="right"/>
    </xf>
    <xf numFmtId="173" fontId="7" fillId="0" borderId="0" xfId="0" applyNumberFormat="1" applyFont="1" applyAlignment="1">
      <alignment horizontal="left"/>
    </xf>
    <xf numFmtId="172" fontId="4" fillId="6" borderId="0" xfId="0" applyNumberFormat="1" applyFont="1" applyFill="1"/>
    <xf numFmtId="177" fontId="7" fillId="6" borderId="0" xfId="0" applyNumberFormat="1" applyFont="1" applyFill="1"/>
    <xf numFmtId="14" fontId="4" fillId="6" borderId="0" xfId="0" applyNumberFormat="1" applyFont="1" applyFill="1"/>
    <xf numFmtId="170" fontId="4" fillId="0" borderId="2" xfId="0" applyNumberFormat="1" applyFont="1" applyBorder="1"/>
    <xf numFmtId="185" fontId="4" fillId="6" borderId="0" xfId="0" applyNumberFormat="1" applyFont="1" applyFill="1"/>
    <xf numFmtId="185" fontId="5" fillId="0" borderId="2" xfId="0" applyNumberFormat="1" applyFont="1" applyBorder="1"/>
    <xf numFmtId="173" fontId="25" fillId="0" borderId="0" xfId="0" applyNumberFormat="1" applyFont="1" applyAlignment="1">
      <alignment horizontal="center"/>
    </xf>
    <xf numFmtId="14" fontId="24" fillId="0" borderId="0" xfId="0" applyNumberFormat="1" applyFont="1" applyAlignment="1">
      <alignment horizontal="center"/>
    </xf>
    <xf numFmtId="0" fontId="4" fillId="0" borderId="9" xfId="0" applyFont="1" applyBorder="1"/>
    <xf numFmtId="173" fontId="25" fillId="0" borderId="9" xfId="0" applyNumberFormat="1" applyFont="1" applyBorder="1" applyAlignment="1">
      <alignment horizontal="center"/>
    </xf>
    <xf numFmtId="181" fontId="4" fillId="6" borderId="9" xfId="0" applyNumberFormat="1" applyFont="1" applyFill="1" applyBorder="1"/>
    <xf numFmtId="170" fontId="4" fillId="6" borderId="9" xfId="0" applyNumberFormat="1" applyFont="1" applyFill="1" applyBorder="1"/>
    <xf numFmtId="181" fontId="4" fillId="6" borderId="10" xfId="0" applyNumberFormat="1" applyFont="1" applyFill="1" applyBorder="1"/>
    <xf numFmtId="180" fontId="4" fillId="6" borderId="9" xfId="0" applyNumberFormat="1" applyFont="1" applyFill="1" applyBorder="1"/>
    <xf numFmtId="169" fontId="4" fillId="6" borderId="9" xfId="0" applyNumberFormat="1" applyFont="1" applyFill="1" applyBorder="1"/>
    <xf numFmtId="182" fontId="4" fillId="6" borderId="9" xfId="0" applyNumberFormat="1" applyFont="1" applyFill="1" applyBorder="1"/>
    <xf numFmtId="182" fontId="4" fillId="6" borderId="0" xfId="0" applyNumberFormat="1" applyFont="1" applyFill="1"/>
    <xf numFmtId="172" fontId="17" fillId="6" borderId="0" xfId="5" applyNumberFormat="1" applyFont="1" applyFill="1"/>
    <xf numFmtId="169" fontId="17" fillId="6" borderId="0" xfId="0" applyNumberFormat="1" applyFont="1" applyFill="1" applyAlignment="1">
      <alignment horizontal="right"/>
    </xf>
    <xf numFmtId="180" fontId="26" fillId="0" borderId="0" xfId="0" applyNumberFormat="1" applyFont="1"/>
    <xf numFmtId="181" fontId="26" fillId="0" borderId="2" xfId="0" applyNumberFormat="1" applyFont="1" applyBorder="1"/>
    <xf numFmtId="170" fontId="26" fillId="0" borderId="0" xfId="0" applyNumberFormat="1" applyFont="1"/>
    <xf numFmtId="181" fontId="4" fillId="0" borderId="0" xfId="0" applyNumberFormat="1" applyFont="1"/>
    <xf numFmtId="180" fontId="4" fillId="6" borderId="0" xfId="0" applyNumberFormat="1" applyFont="1" applyFill="1" applyAlignment="1">
      <alignment horizontal="right"/>
    </xf>
    <xf numFmtId="180" fontId="7" fillId="0" borderId="0" xfId="0" applyNumberFormat="1" applyFont="1"/>
    <xf numFmtId="181" fontId="7" fillId="0" borderId="2" xfId="0" applyNumberFormat="1" applyFont="1" applyBorder="1"/>
    <xf numFmtId="185" fontId="7" fillId="0" borderId="0" xfId="0" applyNumberFormat="1" applyFont="1"/>
    <xf numFmtId="170" fontId="7" fillId="6" borderId="2" xfId="0" applyNumberFormat="1" applyFont="1" applyFill="1" applyBorder="1"/>
    <xf numFmtId="170" fontId="7" fillId="6" borderId="0" xfId="0" applyNumberFormat="1" applyFont="1" applyFill="1"/>
    <xf numFmtId="170" fontId="6" fillId="0" borderId="2" xfId="0" applyNumberFormat="1" applyFont="1" applyBorder="1"/>
    <xf numFmtId="185" fontId="4" fillId="0" borderId="0" xfId="0" applyNumberFormat="1" applyFont="1"/>
    <xf numFmtId="171" fontId="8" fillId="6" borderId="0" xfId="0" applyNumberFormat="1" applyFont="1" applyFill="1"/>
    <xf numFmtId="172" fontId="8" fillId="6" borderId="0" xfId="0" applyNumberFormat="1" applyFont="1" applyFill="1"/>
    <xf numFmtId="9" fontId="8" fillId="6" borderId="0" xfId="0" applyNumberFormat="1" applyFont="1" applyFill="1"/>
    <xf numFmtId="9" fontId="8" fillId="6" borderId="0" xfId="0" applyNumberFormat="1" applyFont="1" applyFill="1" applyAlignment="1">
      <alignment horizontal="center"/>
    </xf>
    <xf numFmtId="10" fontId="8" fillId="6" borderId="0" xfId="0" applyNumberFormat="1" applyFont="1" applyFill="1" applyAlignment="1">
      <alignment horizontal="center"/>
    </xf>
    <xf numFmtId="9" fontId="4" fillId="6" borderId="0" xfId="0" applyNumberFormat="1" applyFont="1" applyFill="1" applyAlignment="1">
      <alignment horizontal="center"/>
    </xf>
    <xf numFmtId="10" fontId="4" fillId="6" borderId="0" xfId="0" applyNumberFormat="1" applyFont="1" applyFill="1" applyAlignment="1">
      <alignment horizontal="center"/>
    </xf>
  </cellXfs>
  <cellStyles count="6">
    <cellStyle name="Comma 3" xfId="2" xr:uid="{00000000-0005-0000-0000-000000000000}"/>
    <cellStyle name="m/d/yy" xfId="3" xr:uid="{00000000-0005-0000-0000-000002000000}"/>
    <cellStyle name="Normal" xfId="0" builtinId="0"/>
    <cellStyle name="Normal 2" xfId="1" xr:uid="{00000000-0005-0000-0000-000004000000}"/>
    <cellStyle name="Normal 3" xfId="4" xr:uid="{00000000-0005-0000-0000-000005000000}"/>
    <cellStyle name="Percent" xfId="5" builtinId="5"/>
  </cellStyles>
  <dxfs count="0"/>
  <tableStyles count="0" defaultTableStyle="TableStyleMedium2" defaultPivotStyle="PivotStyleLight16"/>
  <colors>
    <mruColors>
      <color rgb="FF33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doug/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mahers/conoco%20old-fixe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doug/x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Startup" Target="doug/REFINE/TS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Startup" Target="TEMP/data/excel/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Startup" Target="DOUG/Modelware/Co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Startup" Target="DOUG/Modelware/Copy%20of%20CO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Startup" Target="Dave/Company/VSE/VS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Startup" Target="ENERGY/LLOYD/E_&amp;_P/STOCKS/PXP/old%20models/PXP%20Model%20bas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kady\Dropbox%20(Wall%20Street%20Prep)\Course%20Materials-%20WSP\Oil%20&amp;%20Gas%20Modeling\2014\Introduction%20to%20O&amp;G\Interesting%20readings%20&amp;%20resources\O&amp;Gprojectionmodel_comple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"/>
      <sheetName val="BS"/>
      <sheetName val="Variance"/>
      <sheetName val="Segment ROCE"/>
      <sheetName val="Capex"/>
      <sheetName val="E&amp;P"/>
      <sheetName val="Relative"/>
      <sheetName val="ROGIC"/>
      <sheetName val="NEPS"/>
      <sheetName val="Hamaca"/>
      <sheetName val="Bohai"/>
      <sheetName val="Bayu Undan"/>
      <sheetName val="R&amp;M"/>
      <sheetName val="GPM"/>
      <sheetName val="ARCO - Alaska"/>
      <sheetName val="RefineryMaint"/>
      <sheetName val="TOSCO"/>
      <sheetName val="Reserves"/>
      <sheetName val="WACC"/>
      <sheetName val="Valuation"/>
      <sheetName val="NAV"/>
      <sheetName val="Chemical JV"/>
      <sheetName val="Chems"/>
      <sheetName val="EKOFISK"/>
      <sheetName val="PUDS"/>
      <sheetName val="GE Data"/>
      <sheetName val="MainCode"/>
      <sheetName val="NY UPLOAD"/>
      <sheetName val="NY UPLOAD shadow"/>
      <sheetName val="Disclaimer"/>
      <sheetName val="Quarterly"/>
      <sheetName val="IndexInformation"/>
      <sheetName val="NORM"/>
      <sheetName val="NY UPLOAD.bak"/>
      <sheetName val="NY UPLOAD Shadow.bak"/>
      <sheetName val="Normalized"/>
      <sheetName val="DDM"/>
      <sheetName val="B Sheet"/>
      <sheetName val="Ratios"/>
      <sheetName val="SOLP"/>
      <sheetName val="Liquids"/>
      <sheetName val="charts"/>
      <sheetName val="Apples-Ratios"/>
      <sheetName val="IS"/>
      <sheetName val="Quarterly Data"/>
      <sheetName val="Debt"/>
      <sheetName val="Sheet1"/>
      <sheetName val="A-Link Source"/>
      <sheetName val="IBES"/>
      <sheetName val="Model"/>
      <sheetName val="Value-A"/>
      <sheetName val="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"/>
      <sheetName val="Variance"/>
      <sheetName val="BS"/>
      <sheetName val="Capex"/>
      <sheetName val="ROCE"/>
      <sheetName val="Corp. "/>
      <sheetName val="Emerging Bus."/>
      <sheetName val="NEPS"/>
      <sheetName val="Quarterly"/>
      <sheetName val="US E&amp;P"/>
      <sheetName val="Eu.E&amp;P"/>
      <sheetName val="Other E&amp;P"/>
      <sheetName val="P"/>
      <sheetName val="R&amp;M"/>
      <sheetName val="COC vs. Wood Mac Prod. Profile"/>
      <sheetName val="E&amp;P-Conoco"/>
      <sheetName val="E&amp;P-Total"/>
      <sheetName val="GOU"/>
      <sheetName val="PETROZUATA"/>
      <sheetName val="Lifting_DD&amp;A"/>
      <sheetName val="PZ2"/>
      <sheetName val="Corporate ROGIC"/>
      <sheetName val="WACC"/>
      <sheetName val="NAV"/>
      <sheetName val="Reserves"/>
      <sheetName val="Charts"/>
      <sheetName val="Debt Cov"/>
      <sheetName val="NG&amp;GP"/>
      <sheetName val="LOBO"/>
      <sheetName val="Pro-Forma Reserves"/>
      <sheetName val="F&amp;D"/>
      <sheetName val="Split"/>
      <sheetName val="GE Data"/>
      <sheetName val="mStartup"/>
      <sheetName val="NY UPLOAD"/>
      <sheetName val="NY UPLOAD shad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OM"/>
      <sheetName val="BS"/>
      <sheetName val="ROCE"/>
      <sheetName val="Variance"/>
      <sheetName val="E&amp;P"/>
      <sheetName val="CapEx"/>
      <sheetName val="NSOURCE"/>
      <sheetName val="EE&amp;P"/>
      <sheetName val="Global E&amp;P Field Percentages"/>
      <sheetName val="Chems"/>
      <sheetName val="Realtive"/>
      <sheetName val="DIVIS"/>
      <sheetName val="MobilPurchase"/>
      <sheetName val="MKT"/>
      <sheetName val="I R&amp;M"/>
      <sheetName val="R&amp;M"/>
      <sheetName val="NEPS"/>
      <sheetName val="ROGIC"/>
      <sheetName val="Sheet1"/>
      <sheetName val="WACC"/>
      <sheetName val="Reserves"/>
      <sheetName val="MainCode"/>
      <sheetName val="RefineryMaint"/>
      <sheetName val="GE Data"/>
      <sheetName val="NY UPLOAD"/>
      <sheetName val="NY UPLOAD shadow"/>
      <sheetName val="EPPR."/>
      <sheetName val="Disclaimer"/>
      <sheetName val="I.MKT"/>
      <sheetName val="IndexInformation"/>
      <sheetName val="Quarterly"/>
      <sheetName val="NY UPLOAD.bak"/>
      <sheetName val="NY UPLOAD Shadow.bak"/>
      <sheetName val="E&amp;P-2"/>
      <sheetName val="Sheet2"/>
      <sheetName val="OPEBs"/>
      <sheetName val="DCF"/>
      <sheetName val="YUKOS"/>
      <sheetName val="Pensions"/>
      <sheetName val="DEKA"/>
      <sheetName val=""/>
      <sheetName val="mwareTaxoPres"/>
      <sheetName val="Model_Template"/>
      <sheetName val="mwareValPrintout"/>
      <sheetName val="mwarePreview"/>
      <sheetName val="IS"/>
      <sheetName val="E&amp;PIS"/>
      <sheetName val="R&amp;MIS"/>
      <sheetName val="ChemsIS"/>
      <sheetName val="Corporate"/>
      <sheetName val="MODELWARE"/>
      <sheetName val="ReservesRegion"/>
      <sheetName val="Share Repurchase"/>
      <sheetName val="WorkingCapital"/>
      <sheetName val="R&amp;M ROCE by Region"/>
      <sheetName val="IR&amp;M"/>
      <sheetName val="Marketing"/>
      <sheetName val="US Pension"/>
      <sheetName val="Intl Pension"/>
      <sheetName val="A-Link Source"/>
      <sheetName val="DRC"/>
      <sheetName val="Q-Link Source"/>
      <sheetName val="Turnarounds"/>
      <sheetName val="Global Product Sum"/>
      <sheetName val="mwareDates"/>
      <sheetName val="mwareSettings"/>
      <sheetName val="GҘ Data"/>
      <sheetName val="ES_x0009_SHOW.INFO_x0005_SPLIT_x0009_ON.WINDOW_x0007_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O"/>
      <sheetName val="Stats"/>
      <sheetName val="BS"/>
      <sheetName val="NORM"/>
      <sheetName val="ROCE"/>
      <sheetName val="WACC"/>
      <sheetName val="Capex"/>
      <sheetName val="MainCode"/>
      <sheetName val="BP Acquisition"/>
      <sheetName val="Golden Eagle"/>
      <sheetName val="Variance"/>
      <sheetName val="GE Data"/>
      <sheetName val="NY UPLOAD"/>
      <sheetName val="NY UPLOAD Shadow"/>
      <sheetName val="MWare_Cached"/>
      <sheetName val="NYMEX"/>
      <sheetName val="mwareTaxoPres"/>
      <sheetName val="R-Stats"/>
      <sheetName val="M-Stats"/>
      <sheetName val="Debt"/>
      <sheetName val="ShareRepurchase"/>
      <sheetName val="mwareValPrintout"/>
      <sheetName val="mwarePreview"/>
      <sheetName val="Modelware"/>
      <sheetName val="Pensions"/>
      <sheetName val="OPEB"/>
      <sheetName val="TSOIS"/>
      <sheetName val="mwareDates"/>
      <sheetName val="mwareSettings"/>
      <sheetName val="A-Link 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P"/>
      <sheetName val="BS"/>
      <sheetName val="TOSCO"/>
      <sheetName val="Segment ROCE"/>
      <sheetName val="ROGIC"/>
      <sheetName val="E&amp;P"/>
      <sheetName val="NEPS"/>
      <sheetName val="RefineryMaint"/>
      <sheetName val="Hamaca"/>
      <sheetName val="Bohai"/>
      <sheetName val="Bayu Undan"/>
      <sheetName val="R&amp;M"/>
      <sheetName val="GPM"/>
      <sheetName val="Variance"/>
      <sheetName val="ARCO - Alaska"/>
      <sheetName val="Capex"/>
      <sheetName val="Reserves"/>
      <sheetName val="WACC"/>
      <sheetName val="Valuation"/>
      <sheetName val="NAV"/>
      <sheetName val="Chemical JV"/>
      <sheetName val="Chems"/>
      <sheetName val="EKOFISK"/>
      <sheetName val="PUDS"/>
      <sheetName val="GE Data"/>
      <sheetName val="IndexInformation"/>
      <sheetName val="MainCode"/>
      <sheetName val="NY UPLOAD"/>
      <sheetName val="NY UPLOAD Shadow"/>
      <sheetName val="Distribu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wareValPrintout"/>
      <sheetName val="Summary"/>
      <sheetName val="mwarePreview"/>
      <sheetName val="COP"/>
      <sheetName val="TOTIS"/>
      <sheetName val="BS"/>
      <sheetName val="Segment ROCE"/>
      <sheetName val="Modelware"/>
      <sheetName val="E&amp;PIS"/>
      <sheetName val="E&amp;P"/>
      <sheetName val="R&amp;MIS"/>
      <sheetName val="NEW SOURCE"/>
      <sheetName val="CHEMIS"/>
      <sheetName val="Midstream"/>
      <sheetName val="ALASKA"/>
      <sheetName val="Working Cap"/>
      <sheetName val="Corp"/>
      <sheetName val="Capex"/>
      <sheetName val="SYNCRUDE"/>
      <sheetName val="ShareRepurchase"/>
      <sheetName val="OP"/>
      <sheetName val="Debt Schedule"/>
      <sheetName val="COP_Bear_to_Bull_Chart"/>
      <sheetName val="Reserves"/>
      <sheetName val="COP_Bear_to_Bull_Data"/>
      <sheetName val="COP-EN"/>
      <sheetName val="COP_Risk-Reward_View_Chart"/>
      <sheetName val="COP-BR"/>
      <sheetName val="A-Link Source"/>
      <sheetName val="COP-BR Update"/>
      <sheetName val="New Source Charts"/>
      <sheetName val="LNG"/>
      <sheetName val="Q-Link Source"/>
      <sheetName val="mwareTaxoPres"/>
      <sheetName val="US Pension"/>
      <sheetName val="Intl Pension"/>
      <sheetName val="OPEBs"/>
      <sheetName val="Pension Adjustment"/>
      <sheetName val="Variance"/>
      <sheetName val="Admin Pages Follow"/>
      <sheetName val="E&amp;P Growth &amp; Returns"/>
      <sheetName val="STRAT"/>
      <sheetName val="Bayu Undan"/>
      <sheetName val="R&amp;M"/>
      <sheetName val="Hamaca"/>
      <sheetName val="GPM"/>
      <sheetName val="Global Production Interest"/>
      <sheetName val="Bohai"/>
      <sheetName val="Chemical JV"/>
      <sheetName val="Chems"/>
      <sheetName val="EKOFISK"/>
      <sheetName val="PUDS"/>
      <sheetName val="MainCode"/>
      <sheetName val="mwareSettings"/>
      <sheetName val="Global Product Sum"/>
      <sheetName val="mwareDates"/>
      <sheetName val="NY UPLOAD shadow"/>
      <sheetName val="COP - RRV"/>
      <sheetName val="mwareDates_39111_8204615"/>
      <sheetName val="MWare_Cached"/>
      <sheetName val="NewReserves"/>
      <sheetName val="DEKA"/>
      <sheetName val="GE Data"/>
      <sheetName val="NY UP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wareValPrintout"/>
      <sheetName val="Summary"/>
      <sheetName val="mwarePreview"/>
      <sheetName val="COP"/>
      <sheetName val="TOTIS"/>
      <sheetName val="Variance"/>
      <sheetName val="Segment ROCE"/>
      <sheetName val="BS"/>
      <sheetName val="E&amp;PIS"/>
      <sheetName val="RRV"/>
      <sheetName val="R&amp;MIS"/>
      <sheetName val="CHEMIS"/>
      <sheetName val="E&amp;P"/>
      <sheetName val="Corp"/>
      <sheetName val="NEW SOURCE"/>
      <sheetName val="COP-BR"/>
      <sheetName val="COP-BR Update"/>
      <sheetName val="Modelware"/>
      <sheetName val="Capex"/>
      <sheetName val="Midstream"/>
      <sheetName val="Reserves"/>
      <sheetName val="Working Cap"/>
      <sheetName val="Debt Schedule"/>
      <sheetName val="A-Link Source"/>
      <sheetName val="ShareRepurchase"/>
      <sheetName val="New Source Charts"/>
      <sheetName val="LNG"/>
      <sheetName val="Q-Link Source"/>
      <sheetName val="mwareTaxoPres"/>
      <sheetName val="US Pension"/>
      <sheetName val="Intl Pension"/>
      <sheetName val="OPEBs"/>
      <sheetName val="Pension Adjustment"/>
      <sheetName val="Admin Pages Follow"/>
      <sheetName val="E&amp;P Growth &amp; Returns"/>
      <sheetName val="STRAT"/>
      <sheetName val="Bayu Undan"/>
      <sheetName val="R&amp;M"/>
      <sheetName val="Hamaca"/>
      <sheetName val="GPM"/>
      <sheetName val="Global Production Interest"/>
      <sheetName val="Bohai"/>
      <sheetName val="Chemical JV"/>
      <sheetName val="Chems"/>
      <sheetName val="EKOFISK"/>
      <sheetName val="PUDS"/>
      <sheetName val="MainCode"/>
      <sheetName val="mwareDates"/>
      <sheetName val="mwareSettings"/>
      <sheetName val="Global Product Sum"/>
      <sheetName val="NY UPLOAD shadow"/>
      <sheetName val="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nce (2)"/>
      <sheetName val="Forecast Change"/>
      <sheetName val="Variance"/>
      <sheetName val="INPUTS"/>
      <sheetName val="VeraSun"/>
      <sheetName val="DCF"/>
      <sheetName val="Comps"/>
      <sheetName val="VE85"/>
      <sheetName val="Conversions"/>
      <sheetName val="calc summary"/>
      <sheetName val="Plants"/>
      <sheetName val="Risk-Reward_View_Chart"/>
      <sheetName val="Bear_to_Bull_Chart"/>
      <sheetName val="Bear_to_Bull_Data"/>
      <sheetName val="Modelware"/>
      <sheetName val="mwareDates"/>
      <sheetName val="mwareSettings"/>
      <sheetName val="A-Link Source"/>
      <sheetName val="Val Snapshot"/>
      <sheetName val="Q-Link Source"/>
      <sheetName val="DCF Summary"/>
      <sheetName val="New Source Charts"/>
      <sheetName val="Segment ROCE"/>
      <sheetName val="BS"/>
      <sheetName val="COP"/>
      <sheetName val="R&amp;MIS"/>
      <sheetName val="E&amp;P Growth &amp; Retur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ware items"/>
      <sheetName val="charts"/>
      <sheetName val="Old_NEW"/>
      <sheetName val="EPS notes"/>
      <sheetName val="Est v Act"/>
      <sheetName val="GUIDANCE"/>
      <sheetName val="PXP"/>
      <sheetName val="__FDSCACHE__"/>
      <sheetName val="Valuation"/>
      <sheetName val="Hedges"/>
      <sheetName val="Reserves &amp; Capex"/>
      <sheetName val="Unbooked Summary"/>
      <sheetName val="Benchmark Prices"/>
      <sheetName val="Oil sale split"/>
      <sheetName val="ASSETS"/>
      <sheetName val="Basin summary"/>
      <sheetName val="Pension"/>
      <sheetName val="Deferred taxes"/>
      <sheetName val="mwareDates"/>
      <sheetName val="test"/>
      <sheetName val="mwareSettings"/>
      <sheetName val="Plants"/>
      <sheetName val="VeraSun"/>
      <sheetName val="Forecast Change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finmodeling"/>
      <sheetName val="E&amp;P"/>
      <sheetName val="Price  Deck"/>
      <sheetName val="E&amp;PIS"/>
      <sheetName val="CAPEX"/>
      <sheetName val="Chemicals"/>
      <sheetName val="BoostToolkitClipBoard2010"/>
      <sheetName val="Reserves"/>
      <sheetName val="Hedge"/>
      <sheetName val="SEC PV 10"/>
    </sheetNames>
    <sheetDataSet>
      <sheetData sheetId="0"/>
      <sheetData sheetId="1"/>
      <sheetData sheetId="2">
        <row r="6">
          <cell r="D6">
            <v>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71C9-04BF-4A66-B200-1F2B0B7AA8BD}">
  <dimension ref="B2:K77"/>
  <sheetViews>
    <sheetView showGridLines="0" tabSelected="1" workbookViewId="0">
      <selection activeCell="D2" sqref="D2"/>
    </sheetView>
  </sheetViews>
  <sheetFormatPr defaultRowHeight="15" customHeight="1" x14ac:dyDescent="0.3"/>
  <cols>
    <col min="1" max="1" width="8.7109375" style="1" customWidth="1"/>
    <col min="2" max="2" width="21.140625" style="1" bestFit="1" customWidth="1"/>
    <col min="3" max="3" width="19.28515625" style="1" customWidth="1"/>
    <col min="4" max="10" width="15.7109375" style="1" customWidth="1"/>
    <col min="11" max="16384" width="9.140625" style="1"/>
  </cols>
  <sheetData>
    <row r="2" spans="2:10" ht="15" customHeight="1" x14ac:dyDescent="0.3">
      <c r="B2" s="2" t="s">
        <v>168</v>
      </c>
      <c r="C2" s="2"/>
      <c r="D2" s="2" t="s">
        <v>229</v>
      </c>
    </row>
    <row r="3" spans="2:10" ht="15" customHeight="1" x14ac:dyDescent="0.3">
      <c r="B3" s="3"/>
      <c r="C3" s="3"/>
      <c r="D3" s="3"/>
      <c r="E3" s="3"/>
      <c r="F3" s="3"/>
      <c r="G3" s="3"/>
      <c r="H3" s="3"/>
      <c r="I3" s="3"/>
      <c r="J3" s="3"/>
    </row>
    <row r="4" spans="2:10" ht="15" customHeight="1" x14ac:dyDescent="0.3">
      <c r="B4" s="4" t="s">
        <v>169</v>
      </c>
      <c r="C4" s="4"/>
      <c r="D4" s="4"/>
      <c r="E4" s="4"/>
      <c r="F4" s="4"/>
      <c r="G4" s="4"/>
      <c r="H4" s="4"/>
      <c r="I4" s="4"/>
      <c r="J4" s="4"/>
    </row>
    <row r="5" spans="2:10" ht="17.25" x14ac:dyDescent="0.45">
      <c r="D5" s="135" t="s">
        <v>173</v>
      </c>
      <c r="E5" s="135"/>
      <c r="F5" s="135"/>
      <c r="H5" s="135" t="s">
        <v>174</v>
      </c>
      <c r="I5" s="135"/>
      <c r="J5" s="135"/>
    </row>
    <row r="6" spans="2:10" ht="17.25" x14ac:dyDescent="0.45">
      <c r="D6" s="135" t="s">
        <v>0</v>
      </c>
      <c r="E6" s="135" t="s">
        <v>175</v>
      </c>
      <c r="F6" s="135" t="s">
        <v>59</v>
      </c>
      <c r="H6" s="135" t="s">
        <v>0</v>
      </c>
      <c r="I6" s="135" t="s">
        <v>175</v>
      </c>
      <c r="J6" s="135" t="s">
        <v>59</v>
      </c>
    </row>
    <row r="7" spans="2:10" ht="15" customHeight="1" x14ac:dyDescent="0.3">
      <c r="B7" s="40" t="s">
        <v>170</v>
      </c>
      <c r="C7" s="40"/>
    </row>
    <row r="8" spans="2:10" ht="15" customHeight="1" x14ac:dyDescent="0.3">
      <c r="B8" s="1" t="s">
        <v>49</v>
      </c>
      <c r="D8" s="110">
        <f>Model!E95</f>
        <v>51000000</v>
      </c>
      <c r="E8" s="138">
        <f>D8/$D$12</f>
        <v>0.98425196850393704</v>
      </c>
      <c r="F8" s="110">
        <f>D8/$J$23</f>
        <v>204000</v>
      </c>
      <c r="H8" s="110">
        <f>Model!F95</f>
        <v>51000000</v>
      </c>
      <c r="I8" s="138">
        <f>H8/$H$12</f>
        <v>0.95054376694903409</v>
      </c>
      <c r="J8" s="110">
        <f>H8/$J$23</f>
        <v>204000</v>
      </c>
    </row>
    <row r="9" spans="2:10" ht="15" customHeight="1" x14ac:dyDescent="0.3">
      <c r="B9" s="1" t="s">
        <v>160</v>
      </c>
      <c r="D9" s="110">
        <f>Model!E96</f>
        <v>637500</v>
      </c>
      <c r="E9" s="138">
        <f t="shared" ref="E9:E11" si="0">D9/$D$12</f>
        <v>1.2303149606299213E-2</v>
      </c>
      <c r="F9" s="110">
        <f t="shared" ref="F9:F11" si="1">D9/$J$23</f>
        <v>2550</v>
      </c>
      <c r="H9" s="110">
        <f>Model!F96</f>
        <v>637500</v>
      </c>
      <c r="I9" s="138">
        <f t="shared" ref="I9:I11" si="2">H9/$H$12</f>
        <v>1.1881797086862926E-2</v>
      </c>
      <c r="J9" s="110">
        <f t="shared" ref="J9:J11" si="3">H9/$J$23</f>
        <v>2550</v>
      </c>
    </row>
    <row r="10" spans="2:10" ht="15" customHeight="1" x14ac:dyDescent="0.3">
      <c r="B10" s="1" t="s">
        <v>94</v>
      </c>
      <c r="D10" s="110">
        <f>Model!E97</f>
        <v>0</v>
      </c>
      <c r="E10" s="138">
        <f t="shared" si="0"/>
        <v>0</v>
      </c>
      <c r="F10" s="110">
        <f t="shared" si="1"/>
        <v>0</v>
      </c>
      <c r="H10" s="110">
        <f>Model!F97</f>
        <v>1837500</v>
      </c>
      <c r="I10" s="138">
        <f t="shared" si="2"/>
        <v>3.4247532779781376E-2</v>
      </c>
      <c r="J10" s="110">
        <f t="shared" si="3"/>
        <v>7350</v>
      </c>
    </row>
    <row r="11" spans="2:10" ht="15" customHeight="1" x14ac:dyDescent="0.3">
      <c r="B11" s="1" t="s">
        <v>135</v>
      </c>
      <c r="D11" s="110">
        <f>Model!E98</f>
        <v>178500</v>
      </c>
      <c r="E11" s="138">
        <f t="shared" si="0"/>
        <v>3.4448818897637795E-3</v>
      </c>
      <c r="F11" s="110">
        <f t="shared" si="1"/>
        <v>714</v>
      </c>
      <c r="H11" s="110">
        <f>Model!F98</f>
        <v>178500</v>
      </c>
      <c r="I11" s="138">
        <f t="shared" si="2"/>
        <v>3.3269031843216191E-3</v>
      </c>
      <c r="J11" s="110">
        <f t="shared" si="3"/>
        <v>714</v>
      </c>
    </row>
    <row r="12" spans="2:10" ht="15" customHeight="1" x14ac:dyDescent="0.3">
      <c r="B12" s="131" t="s">
        <v>171</v>
      </c>
      <c r="C12" s="131"/>
      <c r="D12" s="128">
        <f>SUM(D8:D11)</f>
        <v>51816000</v>
      </c>
      <c r="E12" s="137">
        <f>SUM(E8:E11)</f>
        <v>1</v>
      </c>
      <c r="F12" s="128">
        <f>SUM(F8:F11)</f>
        <v>207264</v>
      </c>
      <c r="G12" s="131"/>
      <c r="H12" s="128">
        <f>SUM(H8:H11)</f>
        <v>53653500</v>
      </c>
      <c r="I12" s="137">
        <f>SUM(I8:I11)</f>
        <v>0.99999999999999989</v>
      </c>
      <c r="J12" s="128">
        <f>SUM(J8:J11)</f>
        <v>214614</v>
      </c>
    </row>
    <row r="14" spans="2:10" ht="15" customHeight="1" x14ac:dyDescent="0.3">
      <c r="B14" s="40" t="s">
        <v>172</v>
      </c>
      <c r="C14" s="40"/>
    </row>
    <row r="15" spans="2:10" ht="15" customHeight="1" x14ac:dyDescent="0.3">
      <c r="B15" s="1" t="s">
        <v>163</v>
      </c>
      <c r="D15" s="110">
        <f>Model!E102</f>
        <v>16116000</v>
      </c>
      <c r="E15" s="138">
        <f>D15/$D$18</f>
        <v>0.3110236220472441</v>
      </c>
      <c r="F15" s="110">
        <f>D15/$J$23</f>
        <v>64464</v>
      </c>
      <c r="H15" s="110">
        <f>Model!F102</f>
        <v>16204470.990091054</v>
      </c>
      <c r="I15" s="138">
        <f>H15/$H$18</f>
        <v>0.3020207626732842</v>
      </c>
      <c r="J15" s="110">
        <f>H15/$J$23</f>
        <v>64817.883960364212</v>
      </c>
    </row>
    <row r="16" spans="2:10" ht="15" customHeight="1" x14ac:dyDescent="0.3">
      <c r="B16" s="1" t="s">
        <v>164</v>
      </c>
      <c r="D16" s="110">
        <f>Model!E103</f>
        <v>35700000</v>
      </c>
      <c r="E16" s="138">
        <f t="shared" ref="E16:E17" si="4">D16/$D$18</f>
        <v>0.6889763779527559</v>
      </c>
      <c r="F16" s="110">
        <f t="shared" ref="F16:F17" si="5">D16/$J$23</f>
        <v>142800</v>
      </c>
      <c r="H16" s="110">
        <f>Model!F103</f>
        <v>35700000</v>
      </c>
      <c r="I16" s="138">
        <f t="shared" ref="I16:I17" si="6">H16/$H$18</f>
        <v>0.6653806368643238</v>
      </c>
      <c r="J16" s="110">
        <f t="shared" ref="J16:J17" si="7">H16/$J$23</f>
        <v>142800</v>
      </c>
    </row>
    <row r="17" spans="2:10" ht="15" customHeight="1" x14ac:dyDescent="0.3">
      <c r="B17" s="1" t="s">
        <v>165</v>
      </c>
      <c r="D17" s="110">
        <f>Model!E104</f>
        <v>0</v>
      </c>
      <c r="E17" s="138">
        <f t="shared" si="4"/>
        <v>0</v>
      </c>
      <c r="F17" s="110">
        <f t="shared" si="5"/>
        <v>0</v>
      </c>
      <c r="H17" s="110">
        <f>Model!F104</f>
        <v>1749029.0099089444</v>
      </c>
      <c r="I17" s="138">
        <f t="shared" si="6"/>
        <v>3.2598600462391908E-2</v>
      </c>
      <c r="J17" s="110">
        <f t="shared" si="7"/>
        <v>6996.1160396357773</v>
      </c>
    </row>
    <row r="18" spans="2:10" ht="15" customHeight="1" x14ac:dyDescent="0.3">
      <c r="B18" s="131" t="s">
        <v>176</v>
      </c>
      <c r="C18" s="131"/>
      <c r="D18" s="128">
        <f>SUM(D15:D17)</f>
        <v>51816000</v>
      </c>
      <c r="E18" s="137">
        <f>SUM(E15:E17)</f>
        <v>1</v>
      </c>
      <c r="F18" s="128">
        <f>SUM(F15:F17)</f>
        <v>207264</v>
      </c>
      <c r="G18" s="131"/>
      <c r="H18" s="128">
        <f>SUM(H15:H17)</f>
        <v>53653500</v>
      </c>
      <c r="I18" s="137">
        <f>SUM(I15:I17)</f>
        <v>1</v>
      </c>
      <c r="J18" s="128">
        <f>SUM(J15:J17)</f>
        <v>214614</v>
      </c>
    </row>
    <row r="20" spans="2:10" ht="15" customHeight="1" x14ac:dyDescent="0.3">
      <c r="B20" s="4" t="s">
        <v>177</v>
      </c>
      <c r="C20" s="4"/>
      <c r="D20" s="4"/>
      <c r="E20" s="4"/>
      <c r="F20" s="4"/>
      <c r="H20" s="4" t="s">
        <v>36</v>
      </c>
      <c r="I20" s="4"/>
      <c r="J20" s="4"/>
    </row>
    <row r="21" spans="2:10" ht="17.25" x14ac:dyDescent="0.45">
      <c r="C21" s="135" t="s">
        <v>117</v>
      </c>
      <c r="D21" s="135" t="s">
        <v>118</v>
      </c>
      <c r="E21" s="135" t="s">
        <v>119</v>
      </c>
      <c r="F21" s="135" t="s">
        <v>120</v>
      </c>
      <c r="H21" s="1" t="s">
        <v>38</v>
      </c>
      <c r="J21" s="141" t="str">
        <f>'Inputs &amp; Drivers'!E7</f>
        <v>123 Wall Street, Boston, MA</v>
      </c>
    </row>
    <row r="22" spans="2:10" ht="15" customHeight="1" x14ac:dyDescent="0.3">
      <c r="B22" s="1" t="s">
        <v>178</v>
      </c>
      <c r="C22" s="111">
        <f t="array" ref="C22:F22">TRANSPOSE(Model!C65:C68)</f>
        <v>51637500</v>
      </c>
      <c r="D22" s="139">
        <v>9.1856947541236883E-2</v>
      </c>
      <c r="E22" s="111">
        <v>25486680.753730103</v>
      </c>
      <c r="F22" s="140">
        <v>1.4935692230206752</v>
      </c>
      <c r="H22" s="1" t="s">
        <v>180</v>
      </c>
      <c r="J22" s="141">
        <f>'Inputs &amp; Drivers'!E9</f>
        <v>2010</v>
      </c>
    </row>
    <row r="23" spans="2:10" ht="15" customHeight="1" x14ac:dyDescent="0.3">
      <c r="B23" s="1" t="s">
        <v>179</v>
      </c>
      <c r="C23" s="111">
        <f t="array" ref="C23:F23">TRANSPOSE(Model!C88:C91)</f>
        <v>16204470.990091054</v>
      </c>
      <c r="D23" s="139">
        <v>0.17098429799079892</v>
      </c>
      <c r="E23" s="111">
        <v>17412446.322808977</v>
      </c>
      <c r="F23" s="140">
        <v>2.0745458048866015</v>
      </c>
      <c r="H23" s="1" t="s">
        <v>181</v>
      </c>
      <c r="J23" s="166">
        <f>'Inputs &amp; Drivers'!E8</f>
        <v>250</v>
      </c>
    </row>
    <row r="24" spans="2:10" ht="15" customHeight="1" x14ac:dyDescent="0.3">
      <c r="H24" s="1" t="s">
        <v>47</v>
      </c>
      <c r="J24" s="144">
        <f>'Inputs &amp; Drivers'!E13</f>
        <v>60</v>
      </c>
    </row>
    <row r="25" spans="2:10" ht="15" customHeight="1" x14ac:dyDescent="0.3">
      <c r="H25" s="1" t="s">
        <v>182</v>
      </c>
      <c r="J25" s="110">
        <f>'Inputs &amp; Drivers'!I10*'Inputs &amp; Drivers'!J10</f>
        <v>230000</v>
      </c>
    </row>
    <row r="26" spans="2:10" ht="15" customHeight="1" x14ac:dyDescent="0.3">
      <c r="H26" s="1" t="s">
        <v>183</v>
      </c>
      <c r="J26" s="110">
        <f>J25/J23</f>
        <v>920</v>
      </c>
    </row>
    <row r="27" spans="2:10" ht="15" customHeight="1" x14ac:dyDescent="0.3">
      <c r="H27" s="1" t="s">
        <v>184</v>
      </c>
      <c r="J27" s="138">
        <f>'Inputs &amp; Drivers'!E35</f>
        <v>0.9</v>
      </c>
    </row>
    <row r="29" spans="2:10" ht="15" customHeight="1" x14ac:dyDescent="0.3">
      <c r="B29" s="4" t="s">
        <v>185</v>
      </c>
      <c r="C29" s="4"/>
      <c r="D29" s="4"/>
      <c r="E29" s="4"/>
      <c r="F29" s="4"/>
      <c r="H29" s="4" t="s">
        <v>56</v>
      </c>
      <c r="I29" s="4"/>
      <c r="J29" s="4"/>
    </row>
    <row r="30" spans="2:10" ht="17.25" x14ac:dyDescent="0.45">
      <c r="C30" s="135" t="s">
        <v>186</v>
      </c>
      <c r="D30" s="135" t="s">
        <v>91</v>
      </c>
      <c r="E30" s="135" t="s">
        <v>188</v>
      </c>
      <c r="F30" s="135" t="s">
        <v>187</v>
      </c>
      <c r="H30" s="135" t="s">
        <v>39</v>
      </c>
      <c r="I30" s="135" t="s">
        <v>109</v>
      </c>
      <c r="J30" s="135" t="s">
        <v>82</v>
      </c>
    </row>
    <row r="31" spans="2:10" ht="15" customHeight="1" x14ac:dyDescent="0.3">
      <c r="B31" s="142">
        <v>1</v>
      </c>
      <c r="C31" s="111">
        <f t="array" ref="C31:C36">TRANSPOSE(Model!EN44:ES44)</f>
        <v>2738296.4331929479</v>
      </c>
      <c r="D31" s="112"/>
      <c r="E31" s="139">
        <f>C31/$H$18</f>
        <v>5.1036678561378994E-2</v>
      </c>
      <c r="F31" s="143">
        <f>E31-$D$48</f>
        <v>-6.4633214386210086E-3</v>
      </c>
      <c r="H31" s="1" t="str">
        <f>'Inputs &amp; Drivers'!G6</f>
        <v>Studio</v>
      </c>
      <c r="I31" s="109">
        <f>'Inputs &amp; Drivers'!J6</f>
        <v>20</v>
      </c>
      <c r="J31" s="20">
        <f>I31/$I$35</f>
        <v>0.08</v>
      </c>
    </row>
    <row r="32" spans="2:10" ht="15" customHeight="1" x14ac:dyDescent="0.3">
      <c r="B32" s="142">
        <f>++B31+1</f>
        <v>2</v>
      </c>
      <c r="C32" s="111">
        <v>2989929.712007646</v>
      </c>
      <c r="D32" s="139">
        <f>C32/C31-1</f>
        <v>9.1894097280506903E-2</v>
      </c>
      <c r="E32" s="139">
        <f t="shared" ref="E32:E36" si="8">C32/$H$18</f>
        <v>5.5726648065972322E-2</v>
      </c>
      <c r="F32" s="143">
        <f t="shared" ref="F32:F36" si="9">E32-$D$48</f>
        <v>-1.773351934027681E-3</v>
      </c>
      <c r="H32" s="1" t="str">
        <f>'Inputs &amp; Drivers'!G7</f>
        <v>1 BR, 1 BA</v>
      </c>
      <c r="I32" s="109">
        <f>'Inputs &amp; Drivers'!J7</f>
        <v>140</v>
      </c>
      <c r="J32" s="20">
        <f>I32/$I$35</f>
        <v>0.56000000000000005</v>
      </c>
    </row>
    <row r="33" spans="2:10" ht="15" customHeight="1" x14ac:dyDescent="0.3">
      <c r="B33" s="142">
        <f t="shared" ref="B33:B36" si="10">++B32+1</f>
        <v>3</v>
      </c>
      <c r="C33" s="111">
        <v>3294208.9517378882</v>
      </c>
      <c r="D33" s="139">
        <f t="shared" ref="D33:D36" si="11">C33/C32-1</f>
        <v>0.10176802434794641</v>
      </c>
      <c r="E33" s="139">
        <f t="shared" si="8"/>
        <v>6.1397838943179628E-2</v>
      </c>
      <c r="F33" s="143">
        <f t="shared" si="9"/>
        <v>3.8978389431796254E-3</v>
      </c>
      <c r="H33" s="1" t="str">
        <f>'Inputs &amp; Drivers'!G8</f>
        <v>2 BR, 2 BA</v>
      </c>
      <c r="I33" s="109">
        <f>'Inputs &amp; Drivers'!J8</f>
        <v>80</v>
      </c>
      <c r="J33" s="20">
        <f>I33/$I$35</f>
        <v>0.32</v>
      </c>
    </row>
    <row r="34" spans="2:10" ht="15" customHeight="1" x14ac:dyDescent="0.3">
      <c r="B34" s="142">
        <f t="shared" si="10"/>
        <v>4</v>
      </c>
      <c r="C34" s="111">
        <v>3432779.70784292</v>
      </c>
      <c r="D34" s="139">
        <f t="shared" si="11"/>
        <v>4.2064956453939484E-2</v>
      </c>
      <c r="E34" s="139">
        <f t="shared" si="8"/>
        <v>6.3980536364690463E-2</v>
      </c>
      <c r="F34" s="143">
        <f t="shared" si="9"/>
        <v>6.4805363646904604E-3</v>
      </c>
      <c r="H34" s="1" t="str">
        <f>'Inputs &amp; Drivers'!G9</f>
        <v>3 BR, 2 BA</v>
      </c>
      <c r="I34" s="109">
        <f>'Inputs &amp; Drivers'!J9</f>
        <v>10</v>
      </c>
      <c r="J34" s="20">
        <f>I34/$I$35</f>
        <v>0.04</v>
      </c>
    </row>
    <row r="35" spans="2:10" ht="15" customHeight="1" x14ac:dyDescent="0.3">
      <c r="B35" s="142">
        <f t="shared" si="10"/>
        <v>5</v>
      </c>
      <c r="C35" s="111">
        <v>3547442.1745819435</v>
      </c>
      <c r="D35" s="139">
        <f t="shared" si="11"/>
        <v>3.3402221085452322E-2</v>
      </c>
      <c r="E35" s="139">
        <f t="shared" si="8"/>
        <v>6.6117628385509677E-2</v>
      </c>
      <c r="F35" s="143">
        <f t="shared" si="9"/>
        <v>8.617628385509675E-3</v>
      </c>
      <c r="H35" s="3" t="s">
        <v>0</v>
      </c>
      <c r="I35" s="121">
        <f>SUM(I31:I34)</f>
        <v>250</v>
      </c>
      <c r="J35" s="146">
        <f>I35/$I$35</f>
        <v>1</v>
      </c>
    </row>
    <row r="36" spans="2:10" ht="15" customHeight="1" x14ac:dyDescent="0.3">
      <c r="B36" s="142">
        <f t="shared" si="10"/>
        <v>6</v>
      </c>
      <c r="C36" s="111">
        <v>3665968.4729378098</v>
      </c>
      <c r="D36" s="139">
        <f t="shared" si="11"/>
        <v>3.3411763327709343E-2</v>
      </c>
      <c r="E36" s="139">
        <f t="shared" si="8"/>
        <v>6.8326734936915767E-2</v>
      </c>
      <c r="F36" s="143">
        <f t="shared" si="9"/>
        <v>1.0826734936915765E-2</v>
      </c>
    </row>
    <row r="38" spans="2:10" ht="15" customHeight="1" x14ac:dyDescent="0.3">
      <c r="B38" s="4" t="s">
        <v>196</v>
      </c>
      <c r="C38" s="4"/>
      <c r="D38" s="4"/>
      <c r="E38" s="4"/>
      <c r="F38" s="4"/>
      <c r="H38" s="4" t="s">
        <v>189</v>
      </c>
      <c r="I38" s="4"/>
      <c r="J38" s="4"/>
    </row>
    <row r="39" spans="2:10" ht="17.25" x14ac:dyDescent="0.45">
      <c r="E39" s="135" t="s">
        <v>59</v>
      </c>
      <c r="F39" s="135" t="s">
        <v>0</v>
      </c>
      <c r="H39" s="1" t="s">
        <v>190</v>
      </c>
      <c r="J39" s="110">
        <f>'Inputs &amp; Drivers'!J22</f>
        <v>35700000</v>
      </c>
    </row>
    <row r="40" spans="2:10" ht="15" customHeight="1" x14ac:dyDescent="0.3">
      <c r="B40" s="1" t="s">
        <v>197</v>
      </c>
      <c r="E40" s="167">
        <f>F40/$J$23</f>
        <v>1050</v>
      </c>
      <c r="F40" s="110">
        <f>'Inputs &amp; Drivers'!E22</f>
        <v>262500</v>
      </c>
      <c r="H40" s="1" t="s">
        <v>191</v>
      </c>
      <c r="J40" s="141" t="str">
        <f>TEXT(D16/D18,"0%")&amp;" / "&amp;TEXT(H16/H18,"0%")</f>
        <v>69% / 67%</v>
      </c>
    </row>
    <row r="41" spans="2:10" ht="15" customHeight="1" x14ac:dyDescent="0.3">
      <c r="B41" s="1" t="s">
        <v>112</v>
      </c>
      <c r="E41" s="167">
        <f t="shared" ref="E41:E44" si="12">F41/$J$23</f>
        <v>6300</v>
      </c>
      <c r="F41" s="110">
        <f>'Inputs &amp; Drivers'!E27</f>
        <v>1575000</v>
      </c>
      <c r="H41" s="1" t="s">
        <v>195</v>
      </c>
      <c r="J41" s="143">
        <f>'Inputs &amp; Drivers'!J25</f>
        <v>4.6627500000000002E-2</v>
      </c>
    </row>
    <row r="42" spans="2:10" ht="15" customHeight="1" x14ac:dyDescent="0.3">
      <c r="B42" s="1" t="s">
        <v>64</v>
      </c>
      <c r="E42" s="168">
        <f t="shared" si="12"/>
        <v>7350</v>
      </c>
      <c r="F42" s="122">
        <f>SUM(F40:F41)</f>
        <v>1837500</v>
      </c>
      <c r="H42" s="1" t="s">
        <v>192</v>
      </c>
      <c r="J42" s="143">
        <f>'Inputs &amp; Drivers'!J28</f>
        <v>5.0000000000000001E-3</v>
      </c>
    </row>
    <row r="43" spans="2:10" ht="15" customHeight="1" x14ac:dyDescent="0.3">
      <c r="B43" s="1" t="s">
        <v>198</v>
      </c>
      <c r="E43" s="162">
        <f>F43/J23</f>
        <v>1250</v>
      </c>
      <c r="F43" s="110">
        <f>-SUMIF(Model!$I$6:$EK$6,"&lt;="&amp;Model!$C$5,Model!I41:EK41)</f>
        <v>312500</v>
      </c>
      <c r="H43" s="1" t="s">
        <v>193</v>
      </c>
      <c r="J43" s="144">
        <f>'Inputs &amp; Drivers'!J26</f>
        <v>48</v>
      </c>
    </row>
    <row r="44" spans="2:10" ht="15" customHeight="1" x14ac:dyDescent="0.3">
      <c r="B44" s="1" t="s">
        <v>0</v>
      </c>
      <c r="E44" s="163">
        <f t="shared" si="12"/>
        <v>8600</v>
      </c>
      <c r="F44" s="122">
        <f>SUM(F42:F43)</f>
        <v>2150000</v>
      </c>
      <c r="H44" s="1" t="s">
        <v>194</v>
      </c>
      <c r="J44" s="145">
        <f>'Inputs &amp; Drivers'!J21</f>
        <v>45291</v>
      </c>
    </row>
    <row r="46" spans="2:10" ht="15" customHeight="1" x14ac:dyDescent="0.3">
      <c r="B46" s="4" t="s">
        <v>199</v>
      </c>
      <c r="C46" s="4"/>
      <c r="D46" s="4"/>
      <c r="E46" s="4"/>
      <c r="F46" s="4"/>
      <c r="H46" s="4" t="s">
        <v>212</v>
      </c>
      <c r="I46" s="4"/>
      <c r="J46" s="4"/>
    </row>
    <row r="47" spans="2:10" ht="17.25" x14ac:dyDescent="0.45">
      <c r="C47" s="135" t="s">
        <v>200</v>
      </c>
      <c r="D47" s="135" t="s">
        <v>201</v>
      </c>
      <c r="E47" s="135" t="s">
        <v>202</v>
      </c>
      <c r="F47" s="135" t="s">
        <v>59</v>
      </c>
      <c r="H47" s="1" t="s">
        <v>99</v>
      </c>
      <c r="I47" s="164">
        <f>J47/J23</f>
        <v>1</v>
      </c>
      <c r="J47" s="110">
        <f>'Inputs &amp; Drivers'!E72</f>
        <v>250</v>
      </c>
    </row>
    <row r="48" spans="2:10" ht="15" customHeight="1" x14ac:dyDescent="0.3">
      <c r="B48" s="1" t="s">
        <v>115</v>
      </c>
      <c r="C48" s="111">
        <f>SUMIF(Model!$I$6:$EK$6,'Inputs &amp; Drivers'!$J$13,Model!I45:EK45)</f>
        <v>3665968.4729378116</v>
      </c>
      <c r="D48" s="143">
        <f>'Inputs &amp; Drivers'!J14</f>
        <v>5.7500000000000002E-2</v>
      </c>
      <c r="E48" s="147">
        <f>C48/D48</f>
        <v>63755973.442396723</v>
      </c>
      <c r="F48" s="169">
        <f>E48/J23</f>
        <v>255023.8937695869</v>
      </c>
      <c r="H48" s="1" t="s">
        <v>213</v>
      </c>
      <c r="J48" s="110">
        <f>'Inputs &amp; Drivers'!D25</f>
        <v>6000</v>
      </c>
    </row>
    <row r="49" spans="2:11" ht="15" customHeight="1" x14ac:dyDescent="0.3">
      <c r="B49" s="1" t="s">
        <v>204</v>
      </c>
      <c r="E49" s="110">
        <f>-'Inputs &amp; Drivers'!J16*E48</f>
        <v>-796949.66802995908</v>
      </c>
      <c r="G49" s="136"/>
      <c r="H49" s="1" t="s">
        <v>101</v>
      </c>
      <c r="I49" s="110">
        <f>'Inputs &amp; Drivers'!E74</f>
        <v>125</v>
      </c>
      <c r="J49" s="110">
        <f>I49*12</f>
        <v>1500</v>
      </c>
    </row>
    <row r="50" spans="2:11" ht="15" customHeight="1" x14ac:dyDescent="0.3">
      <c r="B50" s="2" t="s">
        <v>203</v>
      </c>
      <c r="E50" s="148">
        <f>SUM(E48:E49)</f>
        <v>62959023.774366766</v>
      </c>
      <c r="H50" s="1" t="s">
        <v>128</v>
      </c>
      <c r="J50" s="138">
        <f>J49/J48</f>
        <v>0.25</v>
      </c>
    </row>
    <row r="51" spans="2:11" ht="15" customHeight="1" x14ac:dyDescent="0.3">
      <c r="B51" s="1" t="s">
        <v>205</v>
      </c>
      <c r="D51" s="78" t="s">
        <v>210</v>
      </c>
      <c r="E51" s="110">
        <f>SUMIF(Model!$I$6:$EK$6,'Inputs &amp; Drivers'!$J$13,Model!I81:EK81)</f>
        <v>-35140250.539199352</v>
      </c>
    </row>
    <row r="52" spans="2:11" ht="15" customHeight="1" x14ac:dyDescent="0.3">
      <c r="B52" s="1" t="s">
        <v>206</v>
      </c>
      <c r="D52" s="78" t="s">
        <v>211</v>
      </c>
      <c r="E52" s="110">
        <f>-C23</f>
        <v>-16204470.990091054</v>
      </c>
    </row>
    <row r="53" spans="2:11" ht="15" customHeight="1" x14ac:dyDescent="0.3">
      <c r="B53" s="2" t="s">
        <v>207</v>
      </c>
      <c r="D53" s="170">
        <f>E53/$E$55</f>
        <v>0.66701151749496046</v>
      </c>
      <c r="E53" s="148">
        <f>SUM(E50:E52)</f>
        <v>11614302.24507636</v>
      </c>
    </row>
    <row r="54" spans="2:11" ht="15" customHeight="1" x14ac:dyDescent="0.3">
      <c r="B54" s="1" t="s">
        <v>208</v>
      </c>
      <c r="D54" s="171">
        <f t="shared" ref="D54" si="13">E54/$E$55</f>
        <v>0.33298848250503954</v>
      </c>
      <c r="E54" s="110">
        <f>E23-E53</f>
        <v>5798144.077732617</v>
      </c>
    </row>
    <row r="55" spans="2:11" ht="15" customHeight="1" x14ac:dyDescent="0.3">
      <c r="B55" s="2" t="s">
        <v>209</v>
      </c>
      <c r="D55" s="172">
        <f>SUM(D53:D54)</f>
        <v>1</v>
      </c>
      <c r="E55" s="148">
        <f>SUM(E53:E54)</f>
        <v>17412446.322808977</v>
      </c>
    </row>
    <row r="56" spans="2:11" ht="15" customHeight="1" x14ac:dyDescent="0.3">
      <c r="E56" s="173"/>
      <c r="F56" s="173"/>
      <c r="G56" s="173"/>
      <c r="H56" s="173"/>
      <c r="I56" s="173"/>
      <c r="J56" s="173"/>
    </row>
    <row r="57" spans="2:11" ht="15" customHeight="1" x14ac:dyDescent="0.3">
      <c r="B57" s="4" t="s">
        <v>214</v>
      </c>
      <c r="C57" s="4"/>
      <c r="D57" s="4"/>
      <c r="E57" s="4"/>
      <c r="F57" s="4"/>
      <c r="G57" s="4"/>
      <c r="H57" s="4"/>
      <c r="I57" s="4"/>
      <c r="J57" s="4"/>
    </row>
    <row r="58" spans="2:11" ht="15" customHeight="1" x14ac:dyDescent="0.3">
      <c r="D58" s="17" t="s">
        <v>105</v>
      </c>
      <c r="E58" s="17" t="s">
        <v>215</v>
      </c>
      <c r="F58" s="151"/>
    </row>
    <row r="59" spans="2:11" ht="17.25" x14ac:dyDescent="0.45">
      <c r="D59" s="150" t="str">
        <f>Model!F4</f>
        <v>Dec 2018</v>
      </c>
      <c r="E59" s="150" t="str">
        <f>D59</f>
        <v>Dec 2018</v>
      </c>
      <c r="F59" s="152" t="str">
        <f>"Year "&amp;Model!EN5</f>
        <v>Year 1</v>
      </c>
      <c r="G59" s="149" t="str">
        <f>"Year "&amp;Model!EO5</f>
        <v>Year 2</v>
      </c>
      <c r="H59" s="149" t="str">
        <f>"Year "&amp;Model!EP5</f>
        <v>Year 3</v>
      </c>
      <c r="I59" s="149" t="str">
        <f>"Year "&amp;Model!EQ5</f>
        <v>Year 4</v>
      </c>
      <c r="J59" s="149" t="str">
        <f>"Year "&amp;Model!ER5</f>
        <v>Year 5</v>
      </c>
    </row>
    <row r="60" spans="2:11" ht="15" customHeight="1" x14ac:dyDescent="0.3">
      <c r="B60" s="1" t="s">
        <v>75</v>
      </c>
      <c r="D60" s="111">
        <f>Model!F20</f>
        <v>2053.8001333333336</v>
      </c>
      <c r="E60" s="111">
        <f>Model!E20</f>
        <v>2025.3721333333335</v>
      </c>
      <c r="F60" s="153">
        <f>Model!EN20</f>
        <v>2077.6716611111115</v>
      </c>
      <c r="G60" s="111">
        <f>Model!EO20</f>
        <v>2173.4197368444434</v>
      </c>
      <c r="H60" s="111">
        <f>Model!EP20</f>
        <v>2287.2520021019218</v>
      </c>
      <c r="I60" s="111">
        <f>Model!EQ20</f>
        <v>2363.6090471695393</v>
      </c>
      <c r="J60" s="111">
        <f>Model!ER20</f>
        <v>2431.6984834944337</v>
      </c>
      <c r="K60" s="20"/>
    </row>
    <row r="61" spans="2:11" ht="15" customHeight="1" x14ac:dyDescent="0.3">
      <c r="B61" s="1" t="s">
        <v>12</v>
      </c>
      <c r="D61" s="138">
        <f>Model!F22</f>
        <v>0.9</v>
      </c>
      <c r="E61" s="138">
        <f>Model!E22</f>
        <v>0.9</v>
      </c>
      <c r="F61" s="154">
        <f>Model!EN22</f>
        <v>0.91</v>
      </c>
      <c r="G61" s="138">
        <f>Model!EO22</f>
        <v>0.92</v>
      </c>
      <c r="H61" s="138">
        <f>Model!EP22</f>
        <v>0.93</v>
      </c>
      <c r="I61" s="138">
        <f>Model!EQ22</f>
        <v>0.93</v>
      </c>
      <c r="J61" s="138">
        <f>Model!ER22</f>
        <v>0.93</v>
      </c>
    </row>
    <row r="62" spans="2:11" ht="15" customHeight="1" x14ac:dyDescent="0.3">
      <c r="B62" s="3" t="s">
        <v>78</v>
      </c>
      <c r="C62" s="3"/>
      <c r="D62" s="123">
        <f>Model!F29</f>
        <v>5873969.1000000015</v>
      </c>
      <c r="E62" s="123">
        <f>Model!E29</f>
        <v>5846500.7600000007</v>
      </c>
      <c r="F62" s="155">
        <f>Model!EN29</f>
        <v>6000346.1241834555</v>
      </c>
      <c r="G62" s="123">
        <f>Model!EO29</f>
        <v>6336221.3244725652</v>
      </c>
      <c r="H62" s="123">
        <f>Model!EP29</f>
        <v>6728315.8322263621</v>
      </c>
      <c r="I62" s="123">
        <f>Model!EQ29</f>
        <v>6951626.7581821876</v>
      </c>
      <c r="J62" s="123">
        <f>Model!ER29</f>
        <v>7152358.9825508399</v>
      </c>
    </row>
    <row r="63" spans="2:11" ht="15" customHeight="1" x14ac:dyDescent="0.3">
      <c r="B63" s="1" t="s">
        <v>216</v>
      </c>
      <c r="D63" s="110">
        <f>Model!F42</f>
        <v>-3053699.5307999998</v>
      </c>
      <c r="E63" s="110">
        <f>Model!E42</f>
        <v>-3195787.1428</v>
      </c>
      <c r="F63" s="156">
        <f>Model!EN42</f>
        <v>-3262049.6909905076</v>
      </c>
      <c r="G63" s="110">
        <f>Model!EO42</f>
        <v>-3346291.6124649192</v>
      </c>
      <c r="H63" s="110">
        <f>Model!EP42</f>
        <v>-3434106.8804884739</v>
      </c>
      <c r="I63" s="110">
        <f>Model!EQ42</f>
        <v>-3518847.0503392676</v>
      </c>
      <c r="J63" s="110">
        <f>Model!ER42</f>
        <v>-3604916.8079688963</v>
      </c>
    </row>
    <row r="64" spans="2:11" ht="15" customHeight="1" x14ac:dyDescent="0.3">
      <c r="B64" s="3" t="s">
        <v>186</v>
      </c>
      <c r="C64" s="3"/>
      <c r="D64" s="123">
        <f>SUM(D62:D63)</f>
        <v>2820269.5692000017</v>
      </c>
      <c r="E64" s="123">
        <f t="shared" ref="E64:F64" si="14">SUM(E62:E63)</f>
        <v>2650713.6172000007</v>
      </c>
      <c r="F64" s="155">
        <f t="shared" si="14"/>
        <v>2738296.4331929479</v>
      </c>
      <c r="G64" s="123">
        <f t="shared" ref="G64" si="15">SUM(G62:G63)</f>
        <v>2989929.712007646</v>
      </c>
      <c r="H64" s="123">
        <f t="shared" ref="H64" si="16">SUM(H62:H63)</f>
        <v>3294208.9517378882</v>
      </c>
      <c r="I64" s="123">
        <f t="shared" ref="I64" si="17">SUM(I62:I63)</f>
        <v>3432779.70784292</v>
      </c>
      <c r="J64" s="123">
        <f t="shared" ref="J64" si="18">SUM(J62:J63)</f>
        <v>3547442.1745819435</v>
      </c>
    </row>
    <row r="65" spans="2:11" ht="15" customHeight="1" x14ac:dyDescent="0.3">
      <c r="F65" s="151"/>
    </row>
    <row r="66" spans="2:11" ht="15" customHeight="1" x14ac:dyDescent="0.3">
      <c r="B66" s="1" t="s">
        <v>217</v>
      </c>
      <c r="E66" s="139">
        <f>E60/D60-1</f>
        <v>-1.3841658464527007E-2</v>
      </c>
      <c r="F66" s="157">
        <f t="shared" ref="F66:J66" si="19">F60/E60-1</f>
        <v>2.5822181966977054E-2</v>
      </c>
      <c r="G66" s="139">
        <f t="shared" si="19"/>
        <v>4.6084315209905302E-2</v>
      </c>
      <c r="H66" s="139">
        <f t="shared" si="19"/>
        <v>5.2374726946553762E-2</v>
      </c>
      <c r="I66" s="139">
        <f t="shared" si="19"/>
        <v>3.3383748269734781E-2</v>
      </c>
      <c r="J66" s="139">
        <f t="shared" si="19"/>
        <v>2.8807402140566651E-2</v>
      </c>
    </row>
    <row r="67" spans="2:11" ht="15" customHeight="1" x14ac:dyDescent="0.3">
      <c r="B67" s="1" t="s">
        <v>218</v>
      </c>
      <c r="E67" s="139">
        <f>E62/D62-1</f>
        <v>-4.6762826859271245E-3</v>
      </c>
      <c r="F67" s="157">
        <f t="shared" ref="F67:J68" si="20">F62/E62-1</f>
        <v>2.6314092907678832E-2</v>
      </c>
      <c r="G67" s="139">
        <f t="shared" si="20"/>
        <v>5.5975970941979147E-2</v>
      </c>
      <c r="H67" s="139">
        <f t="shared" si="20"/>
        <v>6.1881441268378579E-2</v>
      </c>
      <c r="I67" s="139">
        <f t="shared" si="20"/>
        <v>3.3189721101711811E-2</v>
      </c>
      <c r="J67" s="139">
        <f t="shared" si="20"/>
        <v>2.8875575653193319E-2</v>
      </c>
    </row>
    <row r="68" spans="2:11" ht="15" customHeight="1" x14ac:dyDescent="0.3">
      <c r="B68" s="1" t="s">
        <v>219</v>
      </c>
      <c r="E68" s="139">
        <f>E63/D63-1</f>
        <v>4.6529663631567741E-2</v>
      </c>
      <c r="F68" s="157">
        <f t="shared" si="20"/>
        <v>2.073434344330316E-2</v>
      </c>
      <c r="G68" s="139">
        <f t="shared" si="20"/>
        <v>2.5824843106185824E-2</v>
      </c>
      <c r="H68" s="139">
        <f t="shared" si="20"/>
        <v>2.6242562870624653E-2</v>
      </c>
      <c r="I68" s="139">
        <f t="shared" si="20"/>
        <v>2.4676043233325284E-2</v>
      </c>
      <c r="J68" s="139">
        <f t="shared" si="20"/>
        <v>2.4459647264671647E-2</v>
      </c>
    </row>
    <row r="69" spans="2:11" ht="15" customHeight="1" x14ac:dyDescent="0.3">
      <c r="B69" s="1" t="s">
        <v>220</v>
      </c>
      <c r="D69" s="110">
        <f>-D63/$J$23</f>
        <v>12214.7981232</v>
      </c>
      <c r="E69" s="110">
        <f t="shared" ref="E69:F69" si="21">-E63/$J$23</f>
        <v>12783.148571199999</v>
      </c>
      <c r="F69" s="156">
        <f t="shared" si="21"/>
        <v>13048.198763962031</v>
      </c>
      <c r="G69" s="110">
        <f t="shared" ref="G69:J69" si="22">-G63/$J$23</f>
        <v>13385.166449859677</v>
      </c>
      <c r="H69" s="110">
        <f t="shared" si="22"/>
        <v>13736.427521953896</v>
      </c>
      <c r="I69" s="110">
        <f t="shared" si="22"/>
        <v>14075.388201357071</v>
      </c>
      <c r="J69" s="110">
        <f t="shared" si="22"/>
        <v>14419.667231875585</v>
      </c>
    </row>
    <row r="70" spans="2:11" ht="15" customHeight="1" x14ac:dyDescent="0.3">
      <c r="B70" s="1" t="s">
        <v>221</v>
      </c>
      <c r="E70" s="139">
        <f>E64/D64-1</f>
        <v>-6.0120477081946899E-2</v>
      </c>
      <c r="F70" s="157">
        <f t="shared" ref="F70:J70" si="23">F64/E64-1</f>
        <v>3.3041221588268943E-2</v>
      </c>
      <c r="G70" s="139">
        <f t="shared" si="23"/>
        <v>9.1894097280506903E-2</v>
      </c>
      <c r="H70" s="139">
        <f t="shared" si="23"/>
        <v>0.10176802434794641</v>
      </c>
      <c r="I70" s="139">
        <f t="shared" si="23"/>
        <v>4.2064956453939484E-2</v>
      </c>
      <c r="J70" s="139">
        <f t="shared" si="23"/>
        <v>3.3402221085452322E-2</v>
      </c>
    </row>
    <row r="71" spans="2:11" ht="15" customHeight="1" x14ac:dyDescent="0.3">
      <c r="B71" s="1" t="s">
        <v>222</v>
      </c>
      <c r="D71" s="139">
        <f>D64/D62</f>
        <v>0.48013013367741431</v>
      </c>
      <c r="E71" s="139">
        <f t="shared" ref="E71:F71" si="24">E64/E62</f>
        <v>0.45338463570130461</v>
      </c>
      <c r="F71" s="157">
        <f t="shared" si="24"/>
        <v>0.45635641286702994</v>
      </c>
      <c r="G71" s="139">
        <f t="shared" ref="G71:J71" si="25">G64/G62</f>
        <v>0.47187898889509378</v>
      </c>
      <c r="H71" s="139">
        <f t="shared" si="25"/>
        <v>0.48960379296699169</v>
      </c>
      <c r="I71" s="139">
        <f t="shared" si="25"/>
        <v>0.49380955382889014</v>
      </c>
      <c r="J71" s="139">
        <f t="shared" si="25"/>
        <v>0.49598212047751167</v>
      </c>
    </row>
    <row r="72" spans="2:11" ht="15" customHeight="1" x14ac:dyDescent="0.3">
      <c r="B72" s="1" t="s">
        <v>223</v>
      </c>
      <c r="D72" s="139">
        <f>D64/$D$8</f>
        <v>5.5299403317647093E-2</v>
      </c>
      <c r="E72" s="139">
        <f t="shared" ref="E72:F72" si="26">E64/$D$8</f>
        <v>5.1974776807843154E-2</v>
      </c>
      <c r="F72" s="157">
        <f t="shared" si="26"/>
        <v>5.369208692535192E-2</v>
      </c>
      <c r="G72" s="139">
        <f t="shared" ref="G72:J72" si="27">G64/$D$8</f>
        <v>5.8626072784463648E-2</v>
      </c>
      <c r="H72" s="139">
        <f t="shared" si="27"/>
        <v>6.459233238701742E-2</v>
      </c>
      <c r="I72" s="139">
        <f t="shared" si="27"/>
        <v>6.730940603613568E-2</v>
      </c>
      <c r="J72" s="139">
        <f t="shared" si="27"/>
        <v>6.9557689697685166E-2</v>
      </c>
    </row>
    <row r="73" spans="2:11" ht="15" customHeight="1" x14ac:dyDescent="0.3">
      <c r="B73" s="1" t="s">
        <v>224</v>
      </c>
      <c r="D73" s="139">
        <f>D64/$H$18</f>
        <v>5.2564503139590178E-2</v>
      </c>
      <c r="E73" s="139">
        <f t="shared" ref="E73" si="28">E64/$H$18</f>
        <v>4.9404300133262524E-2</v>
      </c>
      <c r="F73" s="157">
        <f>Model!EN47</f>
        <v>5.1925844593801014E-2</v>
      </c>
      <c r="G73" s="139">
        <f>Model!EO47</f>
        <v>5.5863303803701192E-2</v>
      </c>
      <c r="H73" s="139">
        <f>Model!EP47</f>
        <v>6.1397838943179628E-2</v>
      </c>
      <c r="I73" s="139">
        <f>Model!EQ47</f>
        <v>6.3980536364690463E-2</v>
      </c>
      <c r="J73" s="139">
        <f>Model!ER47</f>
        <v>6.6117628385509677E-2</v>
      </c>
    </row>
    <row r="74" spans="2:11" ht="15" customHeight="1" x14ac:dyDescent="0.3">
      <c r="B74" s="1" t="s">
        <v>225</v>
      </c>
      <c r="F74" s="158">
        <f>Model!EN83</f>
        <v>1.6589415659949565</v>
      </c>
      <c r="G74" s="159">
        <f>Model!EO83</f>
        <v>1.9068498807886456</v>
      </c>
      <c r="H74" s="159">
        <f>Model!EP83</f>
        <v>2.1456559887917912</v>
      </c>
      <c r="I74" s="159">
        <f>Model!EQ83</f>
        <v>2.2032700843772082</v>
      </c>
      <c r="J74" s="159">
        <f>Model!ER83</f>
        <v>1.6549531883078157</v>
      </c>
    </row>
    <row r="75" spans="2:11" ht="15" customHeight="1" x14ac:dyDescent="0.3">
      <c r="B75" s="1" t="s">
        <v>226</v>
      </c>
      <c r="F75" s="157">
        <f>(Model!EN86-SUM(Model!EN57:EN60)-Model!EN81)/$C$23</f>
        <v>1.0424148372913203E-2</v>
      </c>
      <c r="G75" s="139">
        <f>(Model!EO86-SUM(Model!EO57:EO60)-Model!EO81)/$C$23</f>
        <v>3.9151875379956583E-2</v>
      </c>
      <c r="H75" s="139">
        <f>(Model!EP86-SUM(Model!EP57:EP60)-Model!EP81)/$C$23</f>
        <v>0.10044553322598725</v>
      </c>
      <c r="I75" s="139">
        <f>(Model!EQ86-SUM(Model!EQ57:EQ60)-Model!EQ81)/$C$23</f>
        <v>0.1156928336581195</v>
      </c>
      <c r="J75" s="139">
        <f>(Model!ER86-SUM(Model!ER57:ER60)-Model!ER81)/$C$23</f>
        <v>8.6637320883442462E-2</v>
      </c>
      <c r="K75" s="19"/>
    </row>
    <row r="77" spans="2:11" ht="15" customHeight="1" x14ac:dyDescent="0.3">
      <c r="F77" s="165"/>
      <c r="G77" s="165"/>
      <c r="H77" s="165"/>
      <c r="I77" s="165"/>
      <c r="J77" s="165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3C8B-FA81-467E-95BE-E34594C6DFF9}">
  <dimension ref="B2:W365"/>
  <sheetViews>
    <sheetView showGridLines="0" workbookViewId="0">
      <selection activeCell="D2" sqref="D2"/>
    </sheetView>
  </sheetViews>
  <sheetFormatPr defaultColWidth="8.7109375" defaultRowHeight="15" x14ac:dyDescent="0.3"/>
  <cols>
    <col min="1" max="1" width="8.7109375" style="1"/>
    <col min="2" max="2" width="25.5703125" style="1" customWidth="1"/>
    <col min="3" max="4" width="13.140625" style="1" customWidth="1"/>
    <col min="5" max="5" width="25.5703125" style="1" customWidth="1"/>
    <col min="6" max="6" width="13.140625" style="1" customWidth="1"/>
    <col min="7" max="7" width="25.5703125" style="1" customWidth="1"/>
    <col min="8" max="9" width="13.140625" style="1" customWidth="1"/>
    <col min="10" max="10" width="25.5703125" style="1" customWidth="1"/>
    <col min="11" max="12" width="8.7109375" style="1"/>
    <col min="13" max="14" width="13.140625" style="1" customWidth="1"/>
    <col min="15" max="16" width="8.7109375" style="1"/>
    <col min="17" max="23" width="13.140625" style="1" customWidth="1"/>
    <col min="24" max="16384" width="8.7109375" style="1"/>
  </cols>
  <sheetData>
    <row r="2" spans="2:23" x14ac:dyDescent="0.3">
      <c r="B2" s="2" t="s">
        <v>35</v>
      </c>
      <c r="C2" s="2"/>
      <c r="D2" s="2" t="s">
        <v>229</v>
      </c>
      <c r="M2" s="2" t="s">
        <v>130</v>
      </c>
      <c r="Q2" s="2" t="s">
        <v>141</v>
      </c>
    </row>
    <row r="3" spans="2:23" x14ac:dyDescent="0.3">
      <c r="B3" s="3"/>
      <c r="C3" s="3"/>
      <c r="D3" s="3"/>
      <c r="E3" s="3"/>
      <c r="F3" s="3"/>
      <c r="G3" s="3"/>
      <c r="H3" s="3"/>
      <c r="I3" s="3"/>
      <c r="J3" s="3"/>
      <c r="M3" s="3"/>
      <c r="N3" s="3"/>
      <c r="Q3" s="3"/>
      <c r="R3" s="3"/>
      <c r="S3" s="3"/>
      <c r="T3" s="3"/>
      <c r="U3" s="3"/>
      <c r="V3" s="3"/>
      <c r="W3" s="3"/>
    </row>
    <row r="4" spans="2:23" x14ac:dyDescent="0.3">
      <c r="B4" s="4" t="s">
        <v>36</v>
      </c>
      <c r="C4" s="4"/>
      <c r="D4" s="4"/>
      <c r="E4" s="4"/>
      <c r="G4" s="4" t="s">
        <v>56</v>
      </c>
      <c r="H4" s="4"/>
      <c r="I4" s="4"/>
      <c r="J4" s="4"/>
      <c r="M4" s="54" t="s">
        <v>132</v>
      </c>
      <c r="N4" s="54" t="s">
        <v>133</v>
      </c>
      <c r="Q4" s="11" t="s">
        <v>132</v>
      </c>
      <c r="R4" s="11" t="s">
        <v>142</v>
      </c>
      <c r="S4" s="11" t="s">
        <v>147</v>
      </c>
      <c r="T4" s="11" t="s">
        <v>145</v>
      </c>
      <c r="U4" s="11" t="s">
        <v>143</v>
      </c>
      <c r="V4" s="11" t="s">
        <v>144</v>
      </c>
      <c r="W4" s="11" t="s">
        <v>146</v>
      </c>
    </row>
    <row r="5" spans="2:23" x14ac:dyDescent="0.3">
      <c r="B5" s="1" t="s">
        <v>37</v>
      </c>
      <c r="E5" s="57" t="s">
        <v>43</v>
      </c>
      <c r="G5" s="39" t="s">
        <v>39</v>
      </c>
      <c r="H5" s="40"/>
      <c r="I5" s="11" t="s">
        <v>104</v>
      </c>
      <c r="J5" s="11" t="s">
        <v>109</v>
      </c>
      <c r="M5" s="50">
        <v>43465</v>
      </c>
      <c r="N5" s="51">
        <v>2.5127500000000001E-2</v>
      </c>
      <c r="Q5" s="27">
        <f>J19</f>
        <v>43465</v>
      </c>
      <c r="R5" s="34">
        <v>0</v>
      </c>
      <c r="S5" s="55">
        <f>-PMT($J$25/12,$J$27*12,$J$22)</f>
        <v>184355.24690143892</v>
      </c>
      <c r="T5" s="55">
        <f>J22</f>
        <v>35700000</v>
      </c>
      <c r="U5" s="104">
        <f>(S5-V5)*(R5&gt;$J$26)</f>
        <v>0</v>
      </c>
      <c r="V5" s="34">
        <v>0</v>
      </c>
      <c r="W5" s="55">
        <f>T5-U5</f>
        <v>35700000</v>
      </c>
    </row>
    <row r="6" spans="2:23" x14ac:dyDescent="0.3">
      <c r="B6" s="1" t="s">
        <v>39</v>
      </c>
      <c r="E6" s="57" t="s">
        <v>42</v>
      </c>
      <c r="G6" s="37" t="s">
        <v>1</v>
      </c>
      <c r="I6" s="105">
        <v>500</v>
      </c>
      <c r="J6" s="59">
        <v>20</v>
      </c>
      <c r="M6" s="52">
        <v>43503</v>
      </c>
      <c r="N6" s="53">
        <v>2.5054699999999999E-2</v>
      </c>
      <c r="Q6" s="27">
        <f>EOMONTH(Q5,1)</f>
        <v>43496</v>
      </c>
      <c r="R6" s="55">
        <f>++R5+1</f>
        <v>1</v>
      </c>
      <c r="S6" s="55">
        <f>S5</f>
        <v>184355.24690143892</v>
      </c>
      <c r="T6" s="55">
        <f>W5</f>
        <v>35700000</v>
      </c>
      <c r="U6" s="104">
        <f>(S6-V6)*(R6&gt;$J$26)</f>
        <v>0</v>
      </c>
      <c r="V6" s="55">
        <f>$J$25*T6*((Q6-Q5)/365)</f>
        <v>141377.13493150685</v>
      </c>
      <c r="W6" s="55">
        <f>T6-U6</f>
        <v>35700000</v>
      </c>
    </row>
    <row r="7" spans="2:23" x14ac:dyDescent="0.3">
      <c r="B7" s="1" t="s">
        <v>38</v>
      </c>
      <c r="E7" s="57" t="s">
        <v>44</v>
      </c>
      <c r="G7" s="37" t="s">
        <v>2</v>
      </c>
      <c r="I7" s="59">
        <v>750</v>
      </c>
      <c r="J7" s="59">
        <v>140</v>
      </c>
      <c r="M7" s="52">
        <v>43531</v>
      </c>
      <c r="N7" s="53">
        <v>2.4962399999999999E-2</v>
      </c>
      <c r="Q7" s="27">
        <f t="shared" ref="Q7:Q12" si="0">EOMONTH(Q6,1)</f>
        <v>43524</v>
      </c>
      <c r="R7" s="55">
        <f t="shared" ref="R7:R12" si="1">++R6+1</f>
        <v>2</v>
      </c>
      <c r="S7" s="55">
        <f t="shared" ref="S7:S12" si="2">S6</f>
        <v>184355.24690143892</v>
      </c>
      <c r="T7" s="55">
        <f t="shared" ref="T7:T12" si="3">W6</f>
        <v>35700000</v>
      </c>
      <c r="U7" s="104">
        <f t="shared" ref="U7:U12" si="4">(S7-V7)*(R7&gt;$J$26)</f>
        <v>0</v>
      </c>
      <c r="V7" s="55">
        <f t="shared" ref="V7:V12" si="5">$J$25*T7*((Q7-Q6)/365)</f>
        <v>127695.47671232877</v>
      </c>
      <c r="W7" s="55">
        <f t="shared" ref="W7:W12" si="6">T7-U7</f>
        <v>35700000</v>
      </c>
    </row>
    <row r="8" spans="2:23" x14ac:dyDescent="0.3">
      <c r="B8" s="1" t="s">
        <v>40</v>
      </c>
      <c r="E8" s="57">
        <v>250</v>
      </c>
      <c r="G8" s="37" t="s">
        <v>3</v>
      </c>
      <c r="I8" s="59">
        <v>1250</v>
      </c>
      <c r="J8" s="59">
        <v>80</v>
      </c>
      <c r="M8" s="52">
        <v>43563</v>
      </c>
      <c r="N8" s="53">
        <v>2.49459E-2</v>
      </c>
      <c r="Q8" s="27">
        <f t="shared" si="0"/>
        <v>43555</v>
      </c>
      <c r="R8" s="55">
        <f t="shared" si="1"/>
        <v>3</v>
      </c>
      <c r="S8" s="55">
        <f t="shared" si="2"/>
        <v>184355.24690143892</v>
      </c>
      <c r="T8" s="55">
        <f t="shared" si="3"/>
        <v>35700000</v>
      </c>
      <c r="U8" s="104">
        <f t="shared" si="4"/>
        <v>0</v>
      </c>
      <c r="V8" s="55">
        <f t="shared" si="5"/>
        <v>141377.13493150685</v>
      </c>
      <c r="W8" s="55">
        <f t="shared" si="6"/>
        <v>35700000</v>
      </c>
    </row>
    <row r="9" spans="2:23" x14ac:dyDescent="0.3">
      <c r="B9" s="1" t="s">
        <v>41</v>
      </c>
      <c r="E9" s="57">
        <v>2010</v>
      </c>
      <c r="G9" s="37" t="s">
        <v>4</v>
      </c>
      <c r="I9" s="59">
        <v>1500</v>
      </c>
      <c r="J9" s="59">
        <v>10</v>
      </c>
      <c r="M9" s="52">
        <v>43592</v>
      </c>
      <c r="N9" s="53">
        <v>2.4955999999999999E-2</v>
      </c>
      <c r="Q9" s="27">
        <f t="shared" si="0"/>
        <v>43585</v>
      </c>
      <c r="R9" s="55">
        <f t="shared" si="1"/>
        <v>4</v>
      </c>
      <c r="S9" s="55">
        <f t="shared" si="2"/>
        <v>184355.24690143892</v>
      </c>
      <c r="T9" s="55">
        <f t="shared" si="3"/>
        <v>35700000</v>
      </c>
      <c r="U9" s="104">
        <f t="shared" si="4"/>
        <v>0</v>
      </c>
      <c r="V9" s="55">
        <f t="shared" si="5"/>
        <v>136816.58219178082</v>
      </c>
      <c r="W9" s="55">
        <f t="shared" si="6"/>
        <v>35700000</v>
      </c>
    </row>
    <row r="10" spans="2:23" x14ac:dyDescent="0.3">
      <c r="G10" s="38" t="s">
        <v>0</v>
      </c>
      <c r="H10" s="8"/>
      <c r="I10" s="35">
        <f>SUMPRODUCT(I6:I9,J6:J9)/J10</f>
        <v>920</v>
      </c>
      <c r="J10" s="36">
        <f>SUM(J6:J9)</f>
        <v>250</v>
      </c>
      <c r="M10" s="52">
        <v>43623</v>
      </c>
      <c r="N10" s="53">
        <v>2.4916899999999999E-2</v>
      </c>
      <c r="Q10" s="27">
        <f t="shared" si="0"/>
        <v>43616</v>
      </c>
      <c r="R10" s="55">
        <f t="shared" si="1"/>
        <v>5</v>
      </c>
      <c r="S10" s="55">
        <f t="shared" si="2"/>
        <v>184355.24690143892</v>
      </c>
      <c r="T10" s="55">
        <f t="shared" si="3"/>
        <v>35700000</v>
      </c>
      <c r="U10" s="104">
        <f t="shared" si="4"/>
        <v>0</v>
      </c>
      <c r="V10" s="55">
        <f t="shared" si="5"/>
        <v>141377.13493150685</v>
      </c>
      <c r="W10" s="55">
        <f t="shared" si="6"/>
        <v>35700000</v>
      </c>
    </row>
    <row r="11" spans="2:23" x14ac:dyDescent="0.3">
      <c r="B11" s="4" t="s">
        <v>45</v>
      </c>
      <c r="C11" s="4"/>
      <c r="D11" s="4"/>
      <c r="E11" s="4"/>
      <c r="M11" s="52">
        <v>43654</v>
      </c>
      <c r="N11" s="53">
        <v>2.4853400000000001E-2</v>
      </c>
      <c r="Q11" s="27">
        <f t="shared" si="0"/>
        <v>43646</v>
      </c>
      <c r="R11" s="55">
        <f t="shared" si="1"/>
        <v>6</v>
      </c>
      <c r="S11" s="55">
        <f t="shared" si="2"/>
        <v>184355.24690143892</v>
      </c>
      <c r="T11" s="55">
        <f t="shared" si="3"/>
        <v>35700000</v>
      </c>
      <c r="U11" s="104">
        <f t="shared" si="4"/>
        <v>0</v>
      </c>
      <c r="V11" s="55">
        <f t="shared" si="5"/>
        <v>136816.58219178082</v>
      </c>
      <c r="W11" s="55">
        <f t="shared" si="6"/>
        <v>35700000</v>
      </c>
    </row>
    <row r="12" spans="2:23" x14ac:dyDescent="0.3">
      <c r="B12" s="1" t="s">
        <v>46</v>
      </c>
      <c r="E12" s="61">
        <v>43465</v>
      </c>
      <c r="G12" s="4" t="s">
        <v>50</v>
      </c>
      <c r="H12" s="4"/>
      <c r="I12" s="4"/>
      <c r="J12" s="4"/>
      <c r="M12" s="52">
        <v>43684</v>
      </c>
      <c r="N12" s="53">
        <v>2.4761700000000001E-2</v>
      </c>
      <c r="Q12" s="27">
        <f t="shared" si="0"/>
        <v>43677</v>
      </c>
      <c r="R12" s="55">
        <f t="shared" si="1"/>
        <v>7</v>
      </c>
      <c r="S12" s="55">
        <f t="shared" si="2"/>
        <v>184355.24690143892</v>
      </c>
      <c r="T12" s="55">
        <f t="shared" si="3"/>
        <v>35700000</v>
      </c>
      <c r="U12" s="104">
        <f t="shared" si="4"/>
        <v>0</v>
      </c>
      <c r="V12" s="55">
        <f t="shared" si="5"/>
        <v>141377.13493150685</v>
      </c>
      <c r="W12" s="55">
        <f t="shared" si="6"/>
        <v>35700000</v>
      </c>
    </row>
    <row r="13" spans="2:23" x14ac:dyDescent="0.3">
      <c r="B13" s="1" t="s">
        <v>47</v>
      </c>
      <c r="E13" s="62">
        <v>60</v>
      </c>
      <c r="G13" s="1" t="s">
        <v>48</v>
      </c>
      <c r="J13" s="5">
        <f>EOMONTH(E12,E13)</f>
        <v>45291</v>
      </c>
      <c r="M13" s="52">
        <v>43717</v>
      </c>
      <c r="N13" s="53">
        <v>2.4609200000000001E-2</v>
      </c>
      <c r="Q13" s="27">
        <f t="shared" ref="Q13:Q76" si="7">EOMONTH(Q12,1)</f>
        <v>43708</v>
      </c>
      <c r="R13" s="55">
        <f t="shared" ref="R13:R76" si="8">++R12+1</f>
        <v>8</v>
      </c>
      <c r="S13" s="55">
        <f t="shared" ref="S13:S76" si="9">S12</f>
        <v>184355.24690143892</v>
      </c>
      <c r="T13" s="55">
        <f t="shared" ref="T13:T76" si="10">W12</f>
        <v>35700000</v>
      </c>
      <c r="U13" s="104">
        <f t="shared" ref="U13:U76" si="11">(S13-V13)*(R13&gt;$J$26)</f>
        <v>0</v>
      </c>
      <c r="V13" s="55">
        <f t="shared" ref="V13:V76" si="12">$J$25*T13*((Q13-Q12)/365)</f>
        <v>141377.13493150685</v>
      </c>
      <c r="W13" s="55">
        <f t="shared" ref="W13:W76" si="13">T13-U13</f>
        <v>35700000</v>
      </c>
    </row>
    <row r="14" spans="2:23" x14ac:dyDescent="0.3">
      <c r="B14" s="1" t="s">
        <v>49</v>
      </c>
      <c r="E14" s="174">
        <v>51000000</v>
      </c>
      <c r="G14" s="1" t="s">
        <v>51</v>
      </c>
      <c r="H14" s="109"/>
      <c r="J14" s="175">
        <v>5.7500000000000002E-2</v>
      </c>
      <c r="M14" s="52">
        <v>43745</v>
      </c>
      <c r="N14" s="53">
        <v>2.4431600000000001E-2</v>
      </c>
      <c r="Q14" s="27">
        <f t="shared" si="7"/>
        <v>43738</v>
      </c>
      <c r="R14" s="55">
        <f t="shared" si="8"/>
        <v>9</v>
      </c>
      <c r="S14" s="55">
        <f t="shared" si="9"/>
        <v>184355.24690143892</v>
      </c>
      <c r="T14" s="55">
        <f t="shared" si="10"/>
        <v>35700000</v>
      </c>
      <c r="U14" s="104">
        <f t="shared" si="11"/>
        <v>0</v>
      </c>
      <c r="V14" s="55">
        <f t="shared" si="12"/>
        <v>136816.58219178082</v>
      </c>
      <c r="W14" s="55">
        <f t="shared" si="13"/>
        <v>35700000</v>
      </c>
    </row>
    <row r="15" spans="2:23" x14ac:dyDescent="0.3">
      <c r="B15" s="1" t="s">
        <v>53</v>
      </c>
      <c r="E15" s="63">
        <v>1.2500000000000001E-2</v>
      </c>
      <c r="G15" s="1" t="s">
        <v>52</v>
      </c>
      <c r="J15" s="14">
        <f>SUM(Model!I59:EK59)</f>
        <v>63755973.442396723</v>
      </c>
      <c r="M15" s="52">
        <v>43776</v>
      </c>
      <c r="N15" s="53">
        <v>2.42373E-2</v>
      </c>
      <c r="Q15" s="27">
        <f t="shared" si="7"/>
        <v>43769</v>
      </c>
      <c r="R15" s="55">
        <f t="shared" si="8"/>
        <v>10</v>
      </c>
      <c r="S15" s="55">
        <f t="shared" si="9"/>
        <v>184355.24690143892</v>
      </c>
      <c r="T15" s="55">
        <f t="shared" si="10"/>
        <v>35700000</v>
      </c>
      <c r="U15" s="104">
        <f t="shared" si="11"/>
        <v>0</v>
      </c>
      <c r="V15" s="55">
        <f t="shared" si="12"/>
        <v>141377.13493150685</v>
      </c>
      <c r="W15" s="55">
        <f t="shared" si="13"/>
        <v>35700000</v>
      </c>
    </row>
    <row r="16" spans="2:23" x14ac:dyDescent="0.3">
      <c r="G16" s="1" t="s">
        <v>54</v>
      </c>
      <c r="J16" s="64">
        <v>1.2500000000000001E-2</v>
      </c>
      <c r="M16" s="52">
        <v>43808</v>
      </c>
      <c r="N16" s="53">
        <v>2.3999800000000002E-2</v>
      </c>
      <c r="Q16" s="27">
        <f t="shared" si="7"/>
        <v>43799</v>
      </c>
      <c r="R16" s="55">
        <f t="shared" si="8"/>
        <v>11</v>
      </c>
      <c r="S16" s="55">
        <f t="shared" si="9"/>
        <v>184355.24690143892</v>
      </c>
      <c r="T16" s="55">
        <f t="shared" si="10"/>
        <v>35700000</v>
      </c>
      <c r="U16" s="104">
        <f t="shared" si="11"/>
        <v>0</v>
      </c>
      <c r="V16" s="55">
        <f t="shared" si="12"/>
        <v>136816.58219178082</v>
      </c>
      <c r="W16" s="55">
        <f t="shared" si="13"/>
        <v>35700000</v>
      </c>
    </row>
    <row r="17" spans="2:23" x14ac:dyDescent="0.3">
      <c r="B17" s="4" t="s">
        <v>55</v>
      </c>
      <c r="C17" s="4"/>
      <c r="D17" s="4"/>
      <c r="E17" s="4"/>
      <c r="J17" s="6"/>
      <c r="M17" s="52">
        <v>43837</v>
      </c>
      <c r="N17" s="53">
        <v>2.3749800000000001E-2</v>
      </c>
      <c r="Q17" s="27">
        <f t="shared" si="7"/>
        <v>43830</v>
      </c>
      <c r="R17" s="55">
        <f t="shared" si="8"/>
        <v>12</v>
      </c>
      <c r="S17" s="55">
        <f t="shared" si="9"/>
        <v>184355.24690143892</v>
      </c>
      <c r="T17" s="55">
        <f t="shared" si="10"/>
        <v>35700000</v>
      </c>
      <c r="U17" s="104">
        <f t="shared" si="11"/>
        <v>0</v>
      </c>
      <c r="V17" s="55">
        <f t="shared" si="12"/>
        <v>141377.13493150685</v>
      </c>
      <c r="W17" s="55">
        <f t="shared" si="13"/>
        <v>35700000</v>
      </c>
    </row>
    <row r="18" spans="2:23" x14ac:dyDescent="0.3">
      <c r="D18" s="11" t="s">
        <v>59</v>
      </c>
      <c r="E18" s="11" t="s">
        <v>0</v>
      </c>
      <c r="G18" s="4" t="s">
        <v>65</v>
      </c>
      <c r="H18" s="4"/>
      <c r="I18" s="4"/>
      <c r="J18" s="4"/>
      <c r="M18" s="52">
        <v>43868</v>
      </c>
      <c r="N18" s="53">
        <v>2.3485099999999998E-2</v>
      </c>
      <c r="Q18" s="27">
        <f t="shared" si="7"/>
        <v>43861</v>
      </c>
      <c r="R18" s="55">
        <f t="shared" si="8"/>
        <v>13</v>
      </c>
      <c r="S18" s="55">
        <f t="shared" si="9"/>
        <v>184355.24690143892</v>
      </c>
      <c r="T18" s="55">
        <f t="shared" si="10"/>
        <v>35700000</v>
      </c>
      <c r="U18" s="104">
        <f t="shared" si="11"/>
        <v>0</v>
      </c>
      <c r="V18" s="55">
        <f t="shared" si="12"/>
        <v>141377.13493150685</v>
      </c>
      <c r="W18" s="55">
        <f t="shared" si="13"/>
        <v>35700000</v>
      </c>
    </row>
    <row r="19" spans="2:23" x14ac:dyDescent="0.3">
      <c r="B19" s="12" t="s">
        <v>57</v>
      </c>
      <c r="C19" s="12"/>
      <c r="D19" s="13"/>
      <c r="E19" s="13"/>
      <c r="G19" s="1" t="s">
        <v>61</v>
      </c>
      <c r="J19" s="5">
        <f>E12</f>
        <v>43465</v>
      </c>
      <c r="M19" s="52">
        <v>43899</v>
      </c>
      <c r="N19" s="53">
        <v>2.3170799999999998E-2</v>
      </c>
      <c r="Q19" s="27">
        <f t="shared" si="7"/>
        <v>43890</v>
      </c>
      <c r="R19" s="55">
        <f t="shared" si="8"/>
        <v>14</v>
      </c>
      <c r="S19" s="55">
        <f t="shared" si="9"/>
        <v>184355.24690143892</v>
      </c>
      <c r="T19" s="55">
        <f t="shared" si="10"/>
        <v>35700000</v>
      </c>
      <c r="U19" s="104">
        <f t="shared" si="11"/>
        <v>0</v>
      </c>
      <c r="V19" s="55">
        <f t="shared" si="12"/>
        <v>132256.02945205482</v>
      </c>
      <c r="W19" s="55">
        <f t="shared" si="13"/>
        <v>35700000</v>
      </c>
    </row>
    <row r="20" spans="2:23" x14ac:dyDescent="0.3">
      <c r="B20" s="1" t="s">
        <v>58</v>
      </c>
      <c r="D20" s="7">
        <f>E20/$E$8</f>
        <v>1000</v>
      </c>
      <c r="E20" s="58">
        <v>250000</v>
      </c>
      <c r="G20" s="1" t="s">
        <v>66</v>
      </c>
      <c r="J20" s="56">
        <f>E13</f>
        <v>60</v>
      </c>
      <c r="M20" s="52">
        <v>43928</v>
      </c>
      <c r="N20" s="53">
        <v>2.2853800000000001E-2</v>
      </c>
      <c r="Q20" s="27">
        <f t="shared" si="7"/>
        <v>43921</v>
      </c>
      <c r="R20" s="55">
        <f t="shared" si="8"/>
        <v>15</v>
      </c>
      <c r="S20" s="55">
        <f t="shared" si="9"/>
        <v>184355.24690143892</v>
      </c>
      <c r="T20" s="55">
        <f t="shared" si="10"/>
        <v>35700000</v>
      </c>
      <c r="U20" s="104">
        <f t="shared" si="11"/>
        <v>0</v>
      </c>
      <c r="V20" s="55">
        <f t="shared" si="12"/>
        <v>141377.13493150685</v>
      </c>
      <c r="W20" s="55">
        <f t="shared" si="13"/>
        <v>35700000</v>
      </c>
    </row>
    <row r="21" spans="2:23" x14ac:dyDescent="0.3">
      <c r="B21" s="1" t="s">
        <v>63</v>
      </c>
      <c r="D21" s="60">
        <v>0.05</v>
      </c>
      <c r="E21" s="7">
        <f>D21*E20</f>
        <v>12500</v>
      </c>
      <c r="G21" s="1" t="s">
        <v>67</v>
      </c>
      <c r="J21" s="5">
        <f>EOMONTH(J19,J20)</f>
        <v>45291</v>
      </c>
      <c r="M21" s="52">
        <v>43958</v>
      </c>
      <c r="N21" s="53">
        <v>2.2550600000000001E-2</v>
      </c>
      <c r="Q21" s="27">
        <f t="shared" si="7"/>
        <v>43951</v>
      </c>
      <c r="R21" s="55">
        <f t="shared" si="8"/>
        <v>16</v>
      </c>
      <c r="S21" s="55">
        <f t="shared" si="9"/>
        <v>184355.24690143892</v>
      </c>
      <c r="T21" s="55">
        <f t="shared" si="10"/>
        <v>35700000</v>
      </c>
      <c r="U21" s="104">
        <f t="shared" si="11"/>
        <v>0</v>
      </c>
      <c r="V21" s="55">
        <f t="shared" si="12"/>
        <v>136816.58219178082</v>
      </c>
      <c r="W21" s="55">
        <f t="shared" si="13"/>
        <v>35700000</v>
      </c>
    </row>
    <row r="22" spans="2:23" x14ac:dyDescent="0.3">
      <c r="B22" s="8" t="s">
        <v>64</v>
      </c>
      <c r="C22" s="8"/>
      <c r="D22" s="8"/>
      <c r="E22" s="10">
        <f>SUM(E20:E21)</f>
        <v>262500</v>
      </c>
      <c r="G22" s="1" t="s">
        <v>68</v>
      </c>
      <c r="J22" s="14">
        <f>J23*E14</f>
        <v>35700000</v>
      </c>
      <c r="M22" s="52">
        <v>43990</v>
      </c>
      <c r="N22" s="53">
        <v>2.2245899999999999E-2</v>
      </c>
      <c r="Q22" s="27">
        <f t="shared" si="7"/>
        <v>43982</v>
      </c>
      <c r="R22" s="55">
        <f t="shared" si="8"/>
        <v>17</v>
      </c>
      <c r="S22" s="55">
        <f t="shared" si="9"/>
        <v>184355.24690143892</v>
      </c>
      <c r="T22" s="55">
        <f t="shared" si="10"/>
        <v>35700000</v>
      </c>
      <c r="U22" s="104">
        <f t="shared" si="11"/>
        <v>0</v>
      </c>
      <c r="V22" s="55">
        <f t="shared" si="12"/>
        <v>141377.13493150685</v>
      </c>
      <c r="W22" s="55">
        <f t="shared" si="13"/>
        <v>35700000</v>
      </c>
    </row>
    <row r="23" spans="2:23" x14ac:dyDescent="0.3">
      <c r="G23" s="1" t="s">
        <v>69</v>
      </c>
      <c r="J23" s="176">
        <v>0.7</v>
      </c>
      <c r="M23" s="52">
        <v>44019</v>
      </c>
      <c r="N23" s="53">
        <v>2.1982600000000001E-2</v>
      </c>
      <c r="Q23" s="27">
        <f t="shared" si="7"/>
        <v>44012</v>
      </c>
      <c r="R23" s="55">
        <f t="shared" si="8"/>
        <v>18</v>
      </c>
      <c r="S23" s="55">
        <f t="shared" si="9"/>
        <v>184355.24690143892</v>
      </c>
      <c r="T23" s="55">
        <f t="shared" si="10"/>
        <v>35700000</v>
      </c>
      <c r="U23" s="104">
        <f t="shared" si="11"/>
        <v>0</v>
      </c>
      <c r="V23" s="55">
        <f t="shared" si="12"/>
        <v>136816.58219178082</v>
      </c>
      <c r="W23" s="55">
        <f t="shared" si="13"/>
        <v>35700000</v>
      </c>
    </row>
    <row r="24" spans="2:23" x14ac:dyDescent="0.3">
      <c r="B24" s="12" t="s">
        <v>60</v>
      </c>
      <c r="C24" s="12"/>
      <c r="D24" s="13"/>
      <c r="E24" s="13"/>
      <c r="G24" s="1" t="s">
        <v>70</v>
      </c>
      <c r="J24" s="65">
        <v>215</v>
      </c>
      <c r="M24" s="52">
        <v>44050</v>
      </c>
      <c r="N24" s="53">
        <v>2.1773000000000001E-2</v>
      </c>
      <c r="Q24" s="27">
        <f t="shared" si="7"/>
        <v>44043</v>
      </c>
      <c r="R24" s="55">
        <f t="shared" si="8"/>
        <v>19</v>
      </c>
      <c r="S24" s="55">
        <f t="shared" si="9"/>
        <v>184355.24690143892</v>
      </c>
      <c r="T24" s="55">
        <f t="shared" si="10"/>
        <v>35700000</v>
      </c>
      <c r="U24" s="104">
        <f t="shared" si="11"/>
        <v>0</v>
      </c>
      <c r="V24" s="55">
        <f t="shared" si="12"/>
        <v>141377.13493150685</v>
      </c>
      <c r="W24" s="55">
        <f t="shared" si="13"/>
        <v>35700000</v>
      </c>
    </row>
    <row r="25" spans="2:23" x14ac:dyDescent="0.3">
      <c r="B25" s="1" t="s">
        <v>58</v>
      </c>
      <c r="D25" s="58">
        <v>6000</v>
      </c>
      <c r="E25" s="7">
        <f>D25*$E$8</f>
        <v>1500000</v>
      </c>
      <c r="G25" s="1" t="s">
        <v>131</v>
      </c>
      <c r="J25" s="48">
        <f>N5+J24/10000</f>
        <v>4.6627500000000002E-2</v>
      </c>
      <c r="M25" s="52">
        <v>44081</v>
      </c>
      <c r="N25" s="53">
        <v>2.1589199999999999E-2</v>
      </c>
      <c r="Q25" s="27">
        <f t="shared" si="7"/>
        <v>44074</v>
      </c>
      <c r="R25" s="55">
        <f t="shared" si="8"/>
        <v>20</v>
      </c>
      <c r="S25" s="55">
        <f t="shared" si="9"/>
        <v>184355.24690143892</v>
      </c>
      <c r="T25" s="55">
        <f t="shared" si="10"/>
        <v>35700000</v>
      </c>
      <c r="U25" s="104">
        <f t="shared" si="11"/>
        <v>0</v>
      </c>
      <c r="V25" s="55">
        <f t="shared" si="12"/>
        <v>141377.13493150685</v>
      </c>
      <c r="W25" s="55">
        <f t="shared" si="13"/>
        <v>35700000</v>
      </c>
    </row>
    <row r="26" spans="2:23" x14ac:dyDescent="0.3">
      <c r="B26" s="1" t="s">
        <v>63</v>
      </c>
      <c r="D26" s="60">
        <v>0.05</v>
      </c>
      <c r="E26" s="7">
        <f>D26*E25</f>
        <v>75000</v>
      </c>
      <c r="G26" s="1" t="s">
        <v>72</v>
      </c>
      <c r="J26" s="62">
        <v>48</v>
      </c>
      <c r="M26" s="52">
        <v>44111</v>
      </c>
      <c r="N26" s="53">
        <v>2.1469200000000001E-2</v>
      </c>
      <c r="Q26" s="27">
        <f t="shared" si="7"/>
        <v>44104</v>
      </c>
      <c r="R26" s="55">
        <f t="shared" si="8"/>
        <v>21</v>
      </c>
      <c r="S26" s="55">
        <f t="shared" si="9"/>
        <v>184355.24690143892</v>
      </c>
      <c r="T26" s="55">
        <f t="shared" si="10"/>
        <v>35700000</v>
      </c>
      <c r="U26" s="104">
        <f t="shared" si="11"/>
        <v>0</v>
      </c>
      <c r="V26" s="55">
        <f t="shared" si="12"/>
        <v>136816.58219178082</v>
      </c>
      <c r="W26" s="55">
        <f t="shared" si="13"/>
        <v>35700000</v>
      </c>
    </row>
    <row r="27" spans="2:23" x14ac:dyDescent="0.3">
      <c r="B27" s="8" t="s">
        <v>64</v>
      </c>
      <c r="C27" s="8"/>
      <c r="D27" s="8"/>
      <c r="E27" s="10">
        <f>SUM(E25:E26)</f>
        <v>1575000</v>
      </c>
      <c r="G27" s="1" t="s">
        <v>73</v>
      </c>
      <c r="J27" s="66">
        <v>30</v>
      </c>
      <c r="M27" s="52">
        <v>44144</v>
      </c>
      <c r="N27" s="53">
        <v>2.1412400000000002E-2</v>
      </c>
      <c r="Q27" s="27">
        <f t="shared" si="7"/>
        <v>44135</v>
      </c>
      <c r="R27" s="55">
        <f t="shared" si="8"/>
        <v>22</v>
      </c>
      <c r="S27" s="55">
        <f t="shared" si="9"/>
        <v>184355.24690143892</v>
      </c>
      <c r="T27" s="55">
        <f t="shared" si="10"/>
        <v>35700000</v>
      </c>
      <c r="U27" s="104">
        <f t="shared" si="11"/>
        <v>0</v>
      </c>
      <c r="V27" s="55">
        <f t="shared" si="12"/>
        <v>141377.13493150685</v>
      </c>
      <c r="W27" s="55">
        <f t="shared" si="13"/>
        <v>35700000</v>
      </c>
    </row>
    <row r="28" spans="2:23" x14ac:dyDescent="0.3">
      <c r="B28" s="8" t="s">
        <v>0</v>
      </c>
      <c r="C28" s="8"/>
      <c r="D28" s="8"/>
      <c r="E28" s="10">
        <f>E22+E27</f>
        <v>1837500</v>
      </c>
      <c r="G28" s="1" t="s">
        <v>71</v>
      </c>
      <c r="J28" s="64">
        <v>5.0000000000000001E-3</v>
      </c>
      <c r="M28" s="52">
        <v>44172</v>
      </c>
      <c r="N28" s="53">
        <v>2.13752E-2</v>
      </c>
      <c r="Q28" s="27">
        <f t="shared" si="7"/>
        <v>44165</v>
      </c>
      <c r="R28" s="55">
        <f t="shared" si="8"/>
        <v>23</v>
      </c>
      <c r="S28" s="55">
        <f t="shared" si="9"/>
        <v>184355.24690143892</v>
      </c>
      <c r="T28" s="55">
        <f t="shared" si="10"/>
        <v>35700000</v>
      </c>
      <c r="U28" s="104">
        <f t="shared" si="11"/>
        <v>0</v>
      </c>
      <c r="V28" s="55">
        <f t="shared" si="12"/>
        <v>136816.58219178082</v>
      </c>
      <c r="W28" s="55">
        <f t="shared" si="13"/>
        <v>35700000</v>
      </c>
    </row>
    <row r="29" spans="2:23" x14ac:dyDescent="0.3">
      <c r="E29" s="15"/>
      <c r="M29" s="52">
        <v>44203</v>
      </c>
      <c r="N29" s="53">
        <v>2.1380400000000001E-2</v>
      </c>
      <c r="Q29" s="27">
        <f t="shared" si="7"/>
        <v>44196</v>
      </c>
      <c r="R29" s="55">
        <f t="shared" si="8"/>
        <v>24</v>
      </c>
      <c r="S29" s="55">
        <f t="shared" si="9"/>
        <v>184355.24690143892</v>
      </c>
      <c r="T29" s="55">
        <f t="shared" si="10"/>
        <v>35700000</v>
      </c>
      <c r="U29" s="104">
        <f t="shared" si="11"/>
        <v>0</v>
      </c>
      <c r="V29" s="55">
        <f t="shared" si="12"/>
        <v>141377.13493150685</v>
      </c>
      <c r="W29" s="55">
        <f t="shared" si="13"/>
        <v>35700000</v>
      </c>
    </row>
    <row r="30" spans="2:23" x14ac:dyDescent="0.3">
      <c r="M30" s="52">
        <v>44235</v>
      </c>
      <c r="N30" s="53">
        <v>2.1410200000000001E-2</v>
      </c>
      <c r="Q30" s="27">
        <f t="shared" si="7"/>
        <v>44227</v>
      </c>
      <c r="R30" s="55">
        <f t="shared" si="8"/>
        <v>25</v>
      </c>
      <c r="S30" s="55">
        <f t="shared" si="9"/>
        <v>184355.24690143892</v>
      </c>
      <c r="T30" s="55">
        <f t="shared" si="10"/>
        <v>35700000</v>
      </c>
      <c r="U30" s="104">
        <f t="shared" si="11"/>
        <v>0</v>
      </c>
      <c r="V30" s="55">
        <f t="shared" si="12"/>
        <v>141377.13493150685</v>
      </c>
      <c r="W30" s="55">
        <f t="shared" si="13"/>
        <v>35700000</v>
      </c>
    </row>
    <row r="31" spans="2:23" x14ac:dyDescent="0.3">
      <c r="B31" s="2" t="s">
        <v>74</v>
      </c>
      <c r="C31" s="2"/>
      <c r="M31" s="52">
        <v>44263</v>
      </c>
      <c r="N31" s="53">
        <v>2.14238E-2</v>
      </c>
      <c r="Q31" s="27">
        <f t="shared" si="7"/>
        <v>44255</v>
      </c>
      <c r="R31" s="55">
        <f t="shared" si="8"/>
        <v>26</v>
      </c>
      <c r="S31" s="55">
        <f t="shared" si="9"/>
        <v>184355.24690143892</v>
      </c>
      <c r="T31" s="55">
        <f t="shared" si="10"/>
        <v>35700000</v>
      </c>
      <c r="U31" s="104">
        <f t="shared" si="11"/>
        <v>0</v>
      </c>
      <c r="V31" s="55">
        <f t="shared" si="12"/>
        <v>127695.47671232877</v>
      </c>
      <c r="W31" s="55">
        <f t="shared" si="13"/>
        <v>35700000</v>
      </c>
    </row>
    <row r="32" spans="2:23" x14ac:dyDescent="0.3">
      <c r="B32" s="3"/>
      <c r="C32" s="3"/>
      <c r="D32" s="3"/>
      <c r="E32" s="3"/>
      <c r="F32" s="3"/>
      <c r="G32" s="3"/>
      <c r="H32" s="3"/>
      <c r="I32" s="3"/>
      <c r="J32" s="3"/>
      <c r="M32" s="52">
        <v>44293</v>
      </c>
      <c r="N32" s="53">
        <v>2.1443199999999999E-2</v>
      </c>
      <c r="Q32" s="27">
        <f t="shared" si="7"/>
        <v>44286</v>
      </c>
      <c r="R32" s="55">
        <f t="shared" si="8"/>
        <v>27</v>
      </c>
      <c r="S32" s="55">
        <f t="shared" si="9"/>
        <v>184355.24690143892</v>
      </c>
      <c r="T32" s="55">
        <f t="shared" si="10"/>
        <v>35700000</v>
      </c>
      <c r="U32" s="104">
        <f t="shared" si="11"/>
        <v>0</v>
      </c>
      <c r="V32" s="55">
        <f t="shared" si="12"/>
        <v>141377.13493150685</v>
      </c>
      <c r="W32" s="55">
        <f t="shared" si="13"/>
        <v>35700000</v>
      </c>
    </row>
    <row r="33" spans="2:23" x14ac:dyDescent="0.3">
      <c r="B33" s="4" t="s">
        <v>150</v>
      </c>
      <c r="C33" s="4"/>
      <c r="D33" s="4"/>
      <c r="E33" s="4"/>
      <c r="G33" s="4" t="s">
        <v>151</v>
      </c>
      <c r="H33" s="4"/>
      <c r="I33" s="4"/>
      <c r="J33" s="4"/>
      <c r="M33" s="52">
        <v>44323</v>
      </c>
      <c r="N33" s="53">
        <v>2.1468399999999999E-2</v>
      </c>
      <c r="Q33" s="27">
        <f t="shared" si="7"/>
        <v>44316</v>
      </c>
      <c r="R33" s="55">
        <f t="shared" si="8"/>
        <v>28</v>
      </c>
      <c r="S33" s="55">
        <f t="shared" si="9"/>
        <v>184355.24690143892</v>
      </c>
      <c r="T33" s="55">
        <f t="shared" si="10"/>
        <v>35700000</v>
      </c>
      <c r="U33" s="104">
        <f t="shared" si="11"/>
        <v>0</v>
      </c>
      <c r="V33" s="55">
        <f t="shared" si="12"/>
        <v>136816.58219178082</v>
      </c>
      <c r="W33" s="55">
        <f t="shared" si="13"/>
        <v>35700000</v>
      </c>
    </row>
    <row r="34" spans="2:23" x14ac:dyDescent="0.3">
      <c r="D34" s="11" t="s">
        <v>81</v>
      </c>
      <c r="E34" s="11" t="s">
        <v>0</v>
      </c>
      <c r="H34" s="11" t="s">
        <v>82</v>
      </c>
      <c r="I34" s="11" t="s">
        <v>59</v>
      </c>
      <c r="J34" s="11" t="s">
        <v>0</v>
      </c>
      <c r="M34" s="52">
        <v>44354</v>
      </c>
      <c r="N34" s="53">
        <v>2.1477699999999999E-2</v>
      </c>
      <c r="Q34" s="27">
        <f t="shared" si="7"/>
        <v>44347</v>
      </c>
      <c r="R34" s="55">
        <f t="shared" si="8"/>
        <v>29</v>
      </c>
      <c r="S34" s="55">
        <f t="shared" si="9"/>
        <v>184355.24690143892</v>
      </c>
      <c r="T34" s="55">
        <f t="shared" si="10"/>
        <v>35700000</v>
      </c>
      <c r="U34" s="104">
        <f t="shared" si="11"/>
        <v>0</v>
      </c>
      <c r="V34" s="55">
        <f t="shared" si="12"/>
        <v>141377.13493150685</v>
      </c>
      <c r="W34" s="55">
        <f t="shared" si="13"/>
        <v>35700000</v>
      </c>
    </row>
    <row r="35" spans="2:23" x14ac:dyDescent="0.3">
      <c r="B35" s="1" t="s">
        <v>12</v>
      </c>
      <c r="E35" s="67">
        <f>Model!F22</f>
        <v>0.9</v>
      </c>
      <c r="G35" s="1" t="s">
        <v>23</v>
      </c>
      <c r="I35" s="70">
        <f>Model!G32</f>
        <v>1327.92</v>
      </c>
      <c r="J35" s="7">
        <f>I35*$E$8</f>
        <v>331980</v>
      </c>
      <c r="M35" s="52">
        <v>44384</v>
      </c>
      <c r="N35" s="53">
        <v>2.1495799999999999E-2</v>
      </c>
      <c r="Q35" s="27">
        <f t="shared" si="7"/>
        <v>44377</v>
      </c>
      <c r="R35" s="55">
        <f t="shared" si="8"/>
        <v>30</v>
      </c>
      <c r="S35" s="55">
        <f t="shared" si="9"/>
        <v>184355.24690143892</v>
      </c>
      <c r="T35" s="55">
        <f t="shared" si="10"/>
        <v>35700000</v>
      </c>
      <c r="U35" s="104">
        <f t="shared" si="11"/>
        <v>0</v>
      </c>
      <c r="V35" s="55">
        <f t="shared" si="12"/>
        <v>136816.58219178082</v>
      </c>
      <c r="W35" s="55">
        <f t="shared" si="13"/>
        <v>35700000</v>
      </c>
    </row>
    <row r="36" spans="2:23" x14ac:dyDescent="0.3">
      <c r="B36" s="1" t="s">
        <v>121</v>
      </c>
      <c r="E36" s="68">
        <f>Model!F20</f>
        <v>2053.8001333333336</v>
      </c>
      <c r="G36" s="1" t="s">
        <v>85</v>
      </c>
      <c r="I36" s="70">
        <f>Model!G33</f>
        <v>351.64800000000002</v>
      </c>
      <c r="J36" s="7">
        <f t="shared" ref="J36:J45" si="14">I36*$E$8</f>
        <v>87912</v>
      </c>
      <c r="M36" s="52">
        <v>44417</v>
      </c>
      <c r="N36" s="53">
        <v>2.1525900000000001E-2</v>
      </c>
      <c r="Q36" s="27">
        <f t="shared" si="7"/>
        <v>44408</v>
      </c>
      <c r="R36" s="55">
        <f t="shared" si="8"/>
        <v>31</v>
      </c>
      <c r="S36" s="55">
        <f t="shared" si="9"/>
        <v>184355.24690143892</v>
      </c>
      <c r="T36" s="55">
        <f t="shared" si="10"/>
        <v>35700000</v>
      </c>
      <c r="U36" s="104">
        <f t="shared" si="11"/>
        <v>0</v>
      </c>
      <c r="V36" s="55">
        <f t="shared" si="12"/>
        <v>141377.13493150685</v>
      </c>
      <c r="W36" s="55">
        <f t="shared" si="13"/>
        <v>35700000</v>
      </c>
    </row>
    <row r="37" spans="2:23" x14ac:dyDescent="0.3">
      <c r="G37" s="1" t="s">
        <v>86</v>
      </c>
      <c r="I37" s="70">
        <f>Model!G34</f>
        <v>1158.5119999999999</v>
      </c>
      <c r="J37" s="7">
        <f t="shared" si="14"/>
        <v>289628</v>
      </c>
      <c r="M37" s="52">
        <v>44446</v>
      </c>
      <c r="N37" s="53">
        <v>2.1547E-2</v>
      </c>
      <c r="Q37" s="27">
        <f t="shared" si="7"/>
        <v>44439</v>
      </c>
      <c r="R37" s="55">
        <f t="shared" si="8"/>
        <v>32</v>
      </c>
      <c r="S37" s="55">
        <f t="shared" si="9"/>
        <v>184355.24690143892</v>
      </c>
      <c r="T37" s="55">
        <f t="shared" si="10"/>
        <v>35700000</v>
      </c>
      <c r="U37" s="104">
        <f t="shared" si="11"/>
        <v>0</v>
      </c>
      <c r="V37" s="55">
        <f t="shared" si="12"/>
        <v>141377.13493150685</v>
      </c>
      <c r="W37" s="55">
        <f t="shared" si="13"/>
        <v>35700000</v>
      </c>
    </row>
    <row r="38" spans="2:23" x14ac:dyDescent="0.3">
      <c r="B38" s="1" t="s">
        <v>75</v>
      </c>
      <c r="E38" s="69">
        <f>E36*E8*12</f>
        <v>6161400.4000000004</v>
      </c>
      <c r="G38" s="1" t="s">
        <v>84</v>
      </c>
      <c r="I38" s="70">
        <f>Model!G35</f>
        <v>280.54399999999998</v>
      </c>
      <c r="J38" s="7">
        <f t="shared" si="14"/>
        <v>70136</v>
      </c>
      <c r="M38" s="52">
        <v>44476</v>
      </c>
      <c r="N38" s="53">
        <v>2.1581800000000002E-2</v>
      </c>
      <c r="Q38" s="27">
        <f t="shared" si="7"/>
        <v>44469</v>
      </c>
      <c r="R38" s="55">
        <f t="shared" si="8"/>
        <v>33</v>
      </c>
      <c r="S38" s="55">
        <f t="shared" si="9"/>
        <v>184355.24690143892</v>
      </c>
      <c r="T38" s="55">
        <f t="shared" si="10"/>
        <v>35700000</v>
      </c>
      <c r="U38" s="104">
        <f t="shared" si="11"/>
        <v>0</v>
      </c>
      <c r="V38" s="55">
        <f t="shared" si="12"/>
        <v>136816.58219178082</v>
      </c>
      <c r="W38" s="55">
        <f t="shared" si="13"/>
        <v>35700000</v>
      </c>
    </row>
    <row r="39" spans="2:23" x14ac:dyDescent="0.3">
      <c r="B39" s="16" t="s">
        <v>13</v>
      </c>
      <c r="C39" s="16"/>
      <c r="E39" s="70">
        <f>Model!F16</f>
        <v>-616140.04</v>
      </c>
      <c r="G39" s="1" t="s">
        <v>87</v>
      </c>
      <c r="I39" s="70">
        <f>Model!G36</f>
        <v>1519.568</v>
      </c>
      <c r="J39" s="7">
        <f t="shared" si="14"/>
        <v>379892</v>
      </c>
      <c r="M39" s="52">
        <v>44508</v>
      </c>
      <c r="N39" s="53">
        <v>2.16311E-2</v>
      </c>
      <c r="Q39" s="27">
        <f t="shared" si="7"/>
        <v>44500</v>
      </c>
      <c r="R39" s="55">
        <f t="shared" si="8"/>
        <v>34</v>
      </c>
      <c r="S39" s="55">
        <f t="shared" si="9"/>
        <v>184355.24690143892</v>
      </c>
      <c r="T39" s="55">
        <f t="shared" si="10"/>
        <v>35700000</v>
      </c>
      <c r="U39" s="104">
        <f t="shared" si="11"/>
        <v>0</v>
      </c>
      <c r="V39" s="55">
        <f t="shared" si="12"/>
        <v>141377.13493150685</v>
      </c>
      <c r="W39" s="55">
        <f t="shared" si="13"/>
        <v>35700000</v>
      </c>
    </row>
    <row r="40" spans="2:23" x14ac:dyDescent="0.3">
      <c r="B40" s="16" t="s">
        <v>14</v>
      </c>
      <c r="C40" s="16"/>
      <c r="D40" s="48">
        <f>-E40/$E$38</f>
        <v>1.7138960811571343E-3</v>
      </c>
      <c r="E40" s="70">
        <f>Model!F17</f>
        <v>-10560</v>
      </c>
      <c r="G40" s="1" t="s">
        <v>28</v>
      </c>
      <c r="H40" s="73">
        <v>2.9772406929328355E-2</v>
      </c>
      <c r="I40" s="75">
        <f>J40/E8</f>
        <v>656.22057119999988</v>
      </c>
      <c r="J40" s="7">
        <f>H40*E42</f>
        <v>164055.14279999997</v>
      </c>
      <c r="M40" s="52">
        <v>44537</v>
      </c>
      <c r="N40" s="53">
        <v>2.16726E-2</v>
      </c>
      <c r="Q40" s="27">
        <f t="shared" si="7"/>
        <v>44530</v>
      </c>
      <c r="R40" s="55">
        <f t="shared" si="8"/>
        <v>35</v>
      </c>
      <c r="S40" s="55">
        <f t="shared" si="9"/>
        <v>184355.24690143892</v>
      </c>
      <c r="T40" s="55">
        <f t="shared" si="10"/>
        <v>35700000</v>
      </c>
      <c r="U40" s="104">
        <f t="shared" si="11"/>
        <v>0</v>
      </c>
      <c r="V40" s="55">
        <f t="shared" si="12"/>
        <v>136816.58219178082</v>
      </c>
      <c r="W40" s="55">
        <f t="shared" si="13"/>
        <v>35700000</v>
      </c>
    </row>
    <row r="41" spans="2:23" x14ac:dyDescent="0.3">
      <c r="B41" s="16" t="s">
        <v>76</v>
      </c>
      <c r="C41" s="16"/>
      <c r="D41" s="48">
        <f>-E41/$E$38</f>
        <v>3.9588402662485622E-3</v>
      </c>
      <c r="E41" s="70">
        <f>Model!F18</f>
        <v>-24392</v>
      </c>
      <c r="G41" s="1" t="s">
        <v>29</v>
      </c>
      <c r="I41" s="70">
        <f>Model!G38</f>
        <v>582.27200000000005</v>
      </c>
      <c r="J41" s="7">
        <f t="shared" si="14"/>
        <v>145568</v>
      </c>
      <c r="M41" s="52">
        <v>44568</v>
      </c>
      <c r="N41" s="53">
        <v>2.1728399999999998E-2</v>
      </c>
      <c r="Q41" s="27">
        <f t="shared" si="7"/>
        <v>44561</v>
      </c>
      <c r="R41" s="55">
        <f t="shared" si="8"/>
        <v>36</v>
      </c>
      <c r="S41" s="55">
        <f t="shared" si="9"/>
        <v>184355.24690143892</v>
      </c>
      <c r="T41" s="55">
        <f t="shared" si="10"/>
        <v>35700000</v>
      </c>
      <c r="U41" s="104">
        <f t="shared" si="11"/>
        <v>0</v>
      </c>
      <c r="V41" s="55">
        <f t="shared" si="12"/>
        <v>141377.13493150685</v>
      </c>
      <c r="W41" s="55">
        <f t="shared" si="13"/>
        <v>35700000</v>
      </c>
    </row>
    <row r="42" spans="2:23" x14ac:dyDescent="0.3">
      <c r="B42" s="2" t="s">
        <v>16</v>
      </c>
      <c r="C42" s="2"/>
      <c r="D42" s="2"/>
      <c r="E42" s="45">
        <f>SUM(E38:E41)</f>
        <v>5510308.3600000003</v>
      </c>
      <c r="G42" s="1" t="s">
        <v>30</v>
      </c>
      <c r="I42" s="70">
        <f>Model!G39</f>
        <v>6554.0159999999996</v>
      </c>
      <c r="J42" s="7">
        <f t="shared" si="14"/>
        <v>1638504</v>
      </c>
      <c r="M42" s="52">
        <v>44599</v>
      </c>
      <c r="N42" s="53">
        <v>2.17982E-2</v>
      </c>
      <c r="Q42" s="27">
        <f t="shared" si="7"/>
        <v>44592</v>
      </c>
      <c r="R42" s="55">
        <f t="shared" si="8"/>
        <v>37</v>
      </c>
      <c r="S42" s="55">
        <f t="shared" si="9"/>
        <v>184355.24690143892</v>
      </c>
      <c r="T42" s="55">
        <f t="shared" si="10"/>
        <v>35700000</v>
      </c>
      <c r="U42" s="104">
        <f t="shared" si="11"/>
        <v>0</v>
      </c>
      <c r="V42" s="55">
        <f t="shared" si="12"/>
        <v>141377.13493150685</v>
      </c>
      <c r="W42" s="55">
        <f t="shared" si="13"/>
        <v>35700000</v>
      </c>
    </row>
    <row r="43" spans="2:23" x14ac:dyDescent="0.3">
      <c r="B43" s="1" t="s">
        <v>17</v>
      </c>
      <c r="E43" s="70">
        <f>Model!F25</f>
        <v>99715.74</v>
      </c>
      <c r="G43" s="1" t="s">
        <v>31</v>
      </c>
      <c r="I43" s="70">
        <f>Model!G40</f>
        <v>352.44799999999998</v>
      </c>
      <c r="J43" s="7">
        <f t="shared" si="14"/>
        <v>88112</v>
      </c>
      <c r="M43" s="52">
        <v>44627</v>
      </c>
      <c r="N43" s="53">
        <v>2.18573E-2</v>
      </c>
      <c r="Q43" s="27">
        <f t="shared" si="7"/>
        <v>44620</v>
      </c>
      <c r="R43" s="55">
        <f t="shared" si="8"/>
        <v>38</v>
      </c>
      <c r="S43" s="55">
        <f t="shared" si="9"/>
        <v>184355.24690143892</v>
      </c>
      <c r="T43" s="55">
        <f t="shared" si="10"/>
        <v>35700000</v>
      </c>
      <c r="U43" s="104">
        <f t="shared" si="11"/>
        <v>0</v>
      </c>
      <c r="V43" s="55">
        <f t="shared" si="12"/>
        <v>127695.47671232877</v>
      </c>
      <c r="W43" s="55">
        <f t="shared" si="13"/>
        <v>35700000</v>
      </c>
    </row>
    <row r="44" spans="2:23" x14ac:dyDescent="0.3">
      <c r="B44" s="1" t="s">
        <v>77</v>
      </c>
      <c r="E44" s="70">
        <f>Model!F26</f>
        <v>263945</v>
      </c>
      <c r="G44" s="2" t="s">
        <v>64</v>
      </c>
      <c r="I44" s="46">
        <f>SUM(I35:I43)</f>
        <v>12783.148571199999</v>
      </c>
      <c r="J44" s="46">
        <f>SUM(J35:J43)</f>
        <v>3195787.1428</v>
      </c>
      <c r="M44" s="52">
        <v>44658</v>
      </c>
      <c r="N44" s="53">
        <v>2.1929299999999999E-2</v>
      </c>
      <c r="Q44" s="27">
        <f t="shared" si="7"/>
        <v>44651</v>
      </c>
      <c r="R44" s="55">
        <f t="shared" si="8"/>
        <v>39</v>
      </c>
      <c r="S44" s="55">
        <f t="shared" si="9"/>
        <v>184355.24690143892</v>
      </c>
      <c r="T44" s="55">
        <f t="shared" si="10"/>
        <v>35700000</v>
      </c>
      <c r="U44" s="104">
        <f t="shared" si="11"/>
        <v>0</v>
      </c>
      <c r="V44" s="55">
        <f t="shared" si="12"/>
        <v>141377.13493150685</v>
      </c>
      <c r="W44" s="55">
        <f t="shared" si="13"/>
        <v>35700000</v>
      </c>
    </row>
    <row r="45" spans="2:23" x14ac:dyDescent="0.3">
      <c r="B45" s="2" t="s">
        <v>78</v>
      </c>
      <c r="C45" s="2"/>
      <c r="E45" s="45">
        <f>SUM(E42:E44)</f>
        <v>5873969.1000000006</v>
      </c>
      <c r="G45" s="1" t="s">
        <v>108</v>
      </c>
      <c r="I45" s="72">
        <v>250</v>
      </c>
      <c r="J45" s="47">
        <f t="shared" si="14"/>
        <v>62500</v>
      </c>
      <c r="M45" s="52">
        <v>44690</v>
      </c>
      <c r="N45" s="53">
        <v>2.2013499999999998E-2</v>
      </c>
      <c r="Q45" s="27">
        <f t="shared" si="7"/>
        <v>44681</v>
      </c>
      <c r="R45" s="55">
        <f t="shared" si="8"/>
        <v>40</v>
      </c>
      <c r="S45" s="55">
        <f t="shared" si="9"/>
        <v>184355.24690143892</v>
      </c>
      <c r="T45" s="55">
        <f t="shared" si="10"/>
        <v>35700000</v>
      </c>
      <c r="U45" s="104">
        <f t="shared" si="11"/>
        <v>0</v>
      </c>
      <c r="V45" s="55">
        <f t="shared" si="12"/>
        <v>136816.58219178082</v>
      </c>
      <c r="W45" s="55">
        <f t="shared" si="13"/>
        <v>35700000</v>
      </c>
    </row>
    <row r="46" spans="2:23" x14ac:dyDescent="0.3">
      <c r="B46" s="16" t="s">
        <v>79</v>
      </c>
      <c r="C46" s="16"/>
      <c r="E46" s="71">
        <f>-J46</f>
        <v>-3258287.1428</v>
      </c>
      <c r="G46" s="8" t="s">
        <v>0</v>
      </c>
      <c r="H46" s="8"/>
      <c r="I46" s="46">
        <f>SUM(I44:I45)</f>
        <v>13033.148571199999</v>
      </c>
      <c r="J46" s="46">
        <f>SUM(J44:J45)</f>
        <v>3258287.1428</v>
      </c>
      <c r="M46" s="52">
        <v>44719</v>
      </c>
      <c r="N46" s="53">
        <v>2.2084300000000001E-2</v>
      </c>
      <c r="Q46" s="27">
        <f t="shared" si="7"/>
        <v>44712</v>
      </c>
      <c r="R46" s="55">
        <f t="shared" si="8"/>
        <v>41</v>
      </c>
      <c r="S46" s="55">
        <f t="shared" si="9"/>
        <v>184355.24690143892</v>
      </c>
      <c r="T46" s="55">
        <f t="shared" si="10"/>
        <v>35700000</v>
      </c>
      <c r="U46" s="104">
        <f t="shared" si="11"/>
        <v>0</v>
      </c>
      <c r="V46" s="55">
        <f t="shared" si="12"/>
        <v>141377.13493150685</v>
      </c>
      <c r="W46" s="55">
        <f t="shared" si="13"/>
        <v>35700000</v>
      </c>
    </row>
    <row r="47" spans="2:23" x14ac:dyDescent="0.3">
      <c r="B47" s="8" t="s">
        <v>80</v>
      </c>
      <c r="C47" s="8"/>
      <c r="D47" s="8"/>
      <c r="E47" s="45">
        <f>SUM(E45:E46)</f>
        <v>2615681.9572000005</v>
      </c>
      <c r="M47" s="52">
        <v>44749</v>
      </c>
      <c r="N47" s="53">
        <v>2.2165199999999999E-2</v>
      </c>
      <c r="Q47" s="27">
        <f t="shared" si="7"/>
        <v>44742</v>
      </c>
      <c r="R47" s="55">
        <f t="shared" si="8"/>
        <v>42</v>
      </c>
      <c r="S47" s="55">
        <f t="shared" si="9"/>
        <v>184355.24690143892</v>
      </c>
      <c r="T47" s="55">
        <f t="shared" si="10"/>
        <v>35700000</v>
      </c>
      <c r="U47" s="104">
        <f t="shared" si="11"/>
        <v>0</v>
      </c>
      <c r="V47" s="55">
        <f t="shared" si="12"/>
        <v>136816.58219178082</v>
      </c>
      <c r="W47" s="55">
        <f t="shared" si="13"/>
        <v>35700000</v>
      </c>
    </row>
    <row r="48" spans="2:23" x14ac:dyDescent="0.3">
      <c r="M48" s="52">
        <v>44781</v>
      </c>
      <c r="N48" s="53">
        <v>2.22562E-2</v>
      </c>
      <c r="Q48" s="27">
        <f t="shared" si="7"/>
        <v>44773</v>
      </c>
      <c r="R48" s="55">
        <f t="shared" si="8"/>
        <v>43</v>
      </c>
      <c r="S48" s="55">
        <f t="shared" si="9"/>
        <v>184355.24690143892</v>
      </c>
      <c r="T48" s="55">
        <f t="shared" si="10"/>
        <v>35700000</v>
      </c>
      <c r="U48" s="104">
        <f t="shared" si="11"/>
        <v>0</v>
      </c>
      <c r="V48" s="55">
        <f t="shared" si="12"/>
        <v>141377.13493150685</v>
      </c>
      <c r="W48" s="55">
        <f t="shared" si="13"/>
        <v>35700000</v>
      </c>
    </row>
    <row r="49" spans="2:23" x14ac:dyDescent="0.3">
      <c r="B49" s="4" t="s">
        <v>83</v>
      </c>
      <c r="C49" s="4"/>
      <c r="D49" s="4"/>
      <c r="E49" s="4"/>
      <c r="F49" s="4"/>
      <c r="G49" s="4"/>
      <c r="H49" s="4"/>
      <c r="I49" s="4"/>
      <c r="J49" s="4"/>
      <c r="M49" s="52">
        <v>44811</v>
      </c>
      <c r="N49" s="53">
        <v>2.2332500000000002E-2</v>
      </c>
      <c r="Q49" s="27">
        <f t="shared" si="7"/>
        <v>44804</v>
      </c>
      <c r="R49" s="55">
        <f t="shared" si="8"/>
        <v>44</v>
      </c>
      <c r="S49" s="55">
        <f t="shared" si="9"/>
        <v>184355.24690143892</v>
      </c>
      <c r="T49" s="55">
        <f t="shared" si="10"/>
        <v>35700000</v>
      </c>
      <c r="U49" s="104">
        <f t="shared" si="11"/>
        <v>0</v>
      </c>
      <c r="V49" s="55">
        <f t="shared" si="12"/>
        <v>141377.13493150685</v>
      </c>
      <c r="W49" s="55">
        <f t="shared" si="13"/>
        <v>35700000</v>
      </c>
    </row>
    <row r="50" spans="2:23" x14ac:dyDescent="0.3">
      <c r="B50" s="17"/>
      <c r="C50" s="17"/>
      <c r="D50" s="17"/>
      <c r="E50" s="78" t="s">
        <v>90</v>
      </c>
      <c r="F50" s="17"/>
      <c r="G50" s="78" t="s">
        <v>92</v>
      </c>
      <c r="H50" s="78" t="s">
        <v>93</v>
      </c>
      <c r="I50" s="78"/>
      <c r="J50" s="78" t="s">
        <v>77</v>
      </c>
      <c r="M50" s="52">
        <v>44841</v>
      </c>
      <c r="N50" s="53">
        <v>2.2417699999999999E-2</v>
      </c>
      <c r="Q50" s="27">
        <f t="shared" si="7"/>
        <v>44834</v>
      </c>
      <c r="R50" s="55">
        <f t="shared" si="8"/>
        <v>45</v>
      </c>
      <c r="S50" s="55">
        <f t="shared" si="9"/>
        <v>184355.24690143892</v>
      </c>
      <c r="T50" s="55">
        <f t="shared" si="10"/>
        <v>35700000</v>
      </c>
      <c r="U50" s="104">
        <f t="shared" si="11"/>
        <v>0</v>
      </c>
      <c r="V50" s="55">
        <f t="shared" si="12"/>
        <v>136816.58219178082</v>
      </c>
      <c r="W50" s="55">
        <f t="shared" si="13"/>
        <v>35700000</v>
      </c>
    </row>
    <row r="51" spans="2:23" x14ac:dyDescent="0.3">
      <c r="B51" s="11" t="s">
        <v>88</v>
      </c>
      <c r="C51" s="17"/>
      <c r="D51" s="11" t="s">
        <v>12</v>
      </c>
      <c r="E51" s="11" t="s">
        <v>91</v>
      </c>
      <c r="F51" s="17"/>
      <c r="G51" s="11" t="s">
        <v>91</v>
      </c>
      <c r="H51" s="11" t="s">
        <v>91</v>
      </c>
      <c r="I51" s="11"/>
      <c r="J51" s="11" t="s">
        <v>91</v>
      </c>
      <c r="M51" s="52">
        <v>44872</v>
      </c>
      <c r="N51" s="53">
        <v>2.2512000000000001E-2</v>
      </c>
      <c r="Q51" s="27">
        <f t="shared" si="7"/>
        <v>44865</v>
      </c>
      <c r="R51" s="55">
        <f t="shared" si="8"/>
        <v>46</v>
      </c>
      <c r="S51" s="55">
        <f t="shared" si="9"/>
        <v>184355.24690143892</v>
      </c>
      <c r="T51" s="55">
        <f t="shared" si="10"/>
        <v>35700000</v>
      </c>
      <c r="U51" s="104">
        <f t="shared" si="11"/>
        <v>0</v>
      </c>
      <c r="V51" s="55">
        <f t="shared" si="12"/>
        <v>141377.13493150685</v>
      </c>
      <c r="W51" s="55">
        <f t="shared" si="13"/>
        <v>35700000</v>
      </c>
    </row>
    <row r="52" spans="2:23" x14ac:dyDescent="0.3">
      <c r="B52" s="18">
        <v>1</v>
      </c>
      <c r="C52" s="17"/>
      <c r="D52" s="177">
        <v>0.91</v>
      </c>
      <c r="E52" s="178">
        <v>0</v>
      </c>
      <c r="F52" s="17"/>
      <c r="G52" s="76">
        <v>0</v>
      </c>
      <c r="H52" s="76">
        <v>0</v>
      </c>
      <c r="I52" s="17"/>
      <c r="J52" s="76">
        <v>0</v>
      </c>
      <c r="M52" s="52">
        <v>44902</v>
      </c>
      <c r="N52" s="53">
        <v>2.2591799999999999E-2</v>
      </c>
      <c r="Q52" s="27">
        <f t="shared" si="7"/>
        <v>44895</v>
      </c>
      <c r="R52" s="55">
        <f t="shared" si="8"/>
        <v>47</v>
      </c>
      <c r="S52" s="55">
        <f t="shared" si="9"/>
        <v>184355.24690143892</v>
      </c>
      <c r="T52" s="55">
        <f t="shared" si="10"/>
        <v>35700000</v>
      </c>
      <c r="U52" s="104">
        <f t="shared" si="11"/>
        <v>0</v>
      </c>
      <c r="V52" s="55">
        <f t="shared" si="12"/>
        <v>136816.58219178082</v>
      </c>
      <c r="W52" s="55">
        <f t="shared" si="13"/>
        <v>35700000</v>
      </c>
    </row>
    <row r="53" spans="2:23" x14ac:dyDescent="0.3">
      <c r="B53" s="17">
        <f>++B52+1</f>
        <v>2</v>
      </c>
      <c r="C53" s="17"/>
      <c r="D53" s="177">
        <v>0.92</v>
      </c>
      <c r="E53" s="178">
        <v>0.03</v>
      </c>
      <c r="F53" s="17"/>
      <c r="G53" s="76">
        <v>0.03</v>
      </c>
      <c r="H53" s="76">
        <v>0.02</v>
      </c>
      <c r="I53" s="17"/>
      <c r="J53" s="76">
        <v>0.03</v>
      </c>
      <c r="M53" s="52">
        <v>44935</v>
      </c>
      <c r="N53" s="53">
        <v>2.2681199999999999E-2</v>
      </c>
      <c r="Q53" s="27">
        <f t="shared" si="7"/>
        <v>44926</v>
      </c>
      <c r="R53" s="55">
        <f t="shared" si="8"/>
        <v>48</v>
      </c>
      <c r="S53" s="55">
        <f t="shared" si="9"/>
        <v>184355.24690143892</v>
      </c>
      <c r="T53" s="55">
        <f t="shared" si="10"/>
        <v>35700000</v>
      </c>
      <c r="U53" s="104">
        <f t="shared" si="11"/>
        <v>0</v>
      </c>
      <c r="V53" s="55">
        <f t="shared" si="12"/>
        <v>141377.13493150685</v>
      </c>
      <c r="W53" s="55">
        <f t="shared" si="13"/>
        <v>35700000</v>
      </c>
    </row>
    <row r="54" spans="2:23" x14ac:dyDescent="0.3">
      <c r="B54" s="17">
        <f t="shared" ref="B54:B62" si="15">++B53+1</f>
        <v>3</v>
      </c>
      <c r="C54" s="17"/>
      <c r="D54" s="177">
        <v>0.93</v>
      </c>
      <c r="E54" s="178">
        <v>0.04</v>
      </c>
      <c r="F54" s="17"/>
      <c r="G54" s="77">
        <f>G53</f>
        <v>0.03</v>
      </c>
      <c r="H54" s="77">
        <f>H53</f>
        <v>0.02</v>
      </c>
      <c r="I54" s="17"/>
      <c r="J54" s="77">
        <f>J53</f>
        <v>0.03</v>
      </c>
      <c r="M54" s="52">
        <v>44964</v>
      </c>
      <c r="N54" s="53">
        <v>2.2779199999999999E-2</v>
      </c>
      <c r="Q54" s="27">
        <f t="shared" si="7"/>
        <v>44957</v>
      </c>
      <c r="R54" s="55">
        <f t="shared" si="8"/>
        <v>49</v>
      </c>
      <c r="S54" s="55">
        <f t="shared" si="9"/>
        <v>184355.24690143892</v>
      </c>
      <c r="T54" s="55">
        <f t="shared" si="10"/>
        <v>35700000</v>
      </c>
      <c r="U54" s="104">
        <f t="shared" si="11"/>
        <v>42978.11196993207</v>
      </c>
      <c r="V54" s="55">
        <f t="shared" si="12"/>
        <v>141377.13493150685</v>
      </c>
      <c r="W54" s="55">
        <f t="shared" si="13"/>
        <v>35657021.888030067</v>
      </c>
    </row>
    <row r="55" spans="2:23" x14ac:dyDescent="0.3">
      <c r="B55" s="17">
        <f t="shared" si="15"/>
        <v>4</v>
      </c>
      <c r="C55" s="17"/>
      <c r="D55" s="179">
        <f t="shared" ref="D55:D62" si="16">++D54</f>
        <v>0.93</v>
      </c>
      <c r="E55" s="178">
        <v>0.03</v>
      </c>
      <c r="F55" s="17"/>
      <c r="G55" s="77">
        <f t="shared" ref="G55:G62" si="17">G54</f>
        <v>0.03</v>
      </c>
      <c r="H55" s="77">
        <f t="shared" ref="H55:H62" si="18">H54</f>
        <v>0.02</v>
      </c>
      <c r="I55" s="17"/>
      <c r="J55" s="77">
        <f t="shared" ref="J55:J62" si="19">J54</f>
        <v>0.03</v>
      </c>
      <c r="M55" s="52">
        <v>44992</v>
      </c>
      <c r="N55" s="53">
        <v>2.2861900000000001E-2</v>
      </c>
      <c r="Q55" s="27">
        <f t="shared" si="7"/>
        <v>44985</v>
      </c>
      <c r="R55" s="55">
        <f t="shared" si="8"/>
        <v>50</v>
      </c>
      <c r="S55" s="55">
        <f t="shared" si="9"/>
        <v>184355.24690143892</v>
      </c>
      <c r="T55" s="55">
        <f t="shared" si="10"/>
        <v>35657021.888030067</v>
      </c>
      <c r="U55" s="104">
        <f t="shared" si="11"/>
        <v>56813.498774437772</v>
      </c>
      <c r="V55" s="55">
        <f t="shared" si="12"/>
        <v>127541.74812700115</v>
      </c>
      <c r="W55" s="55">
        <f t="shared" si="13"/>
        <v>35600208.389255628</v>
      </c>
    </row>
    <row r="56" spans="2:23" x14ac:dyDescent="0.3">
      <c r="B56" s="17">
        <f t="shared" si="15"/>
        <v>5</v>
      </c>
      <c r="C56" s="17"/>
      <c r="D56" s="179">
        <f t="shared" si="16"/>
        <v>0.93</v>
      </c>
      <c r="E56" s="180">
        <f t="shared" ref="E56:E62" si="20">E55</f>
        <v>0.03</v>
      </c>
      <c r="F56" s="17"/>
      <c r="G56" s="77">
        <f t="shared" si="17"/>
        <v>0.03</v>
      </c>
      <c r="H56" s="77">
        <f t="shared" si="18"/>
        <v>0.02</v>
      </c>
      <c r="I56" s="17"/>
      <c r="J56" s="77">
        <f t="shared" si="19"/>
        <v>0.03</v>
      </c>
      <c r="M56" s="52">
        <v>45023</v>
      </c>
      <c r="N56" s="53">
        <v>2.2943600000000001E-2</v>
      </c>
      <c r="Q56" s="27">
        <f t="shared" si="7"/>
        <v>45016</v>
      </c>
      <c r="R56" s="55">
        <f t="shared" si="8"/>
        <v>51</v>
      </c>
      <c r="S56" s="55">
        <f t="shared" si="9"/>
        <v>184355.24690143892</v>
      </c>
      <c r="T56" s="55">
        <f t="shared" si="10"/>
        <v>35600208.389255628</v>
      </c>
      <c r="U56" s="104">
        <f t="shared" si="11"/>
        <v>43373.301102067606</v>
      </c>
      <c r="V56" s="55">
        <f t="shared" si="12"/>
        <v>140981.94579937131</v>
      </c>
      <c r="W56" s="55">
        <f t="shared" si="13"/>
        <v>35556835.088153563</v>
      </c>
    </row>
    <row r="57" spans="2:23" x14ac:dyDescent="0.3">
      <c r="B57" s="17">
        <f t="shared" si="15"/>
        <v>6</v>
      </c>
      <c r="C57" s="17"/>
      <c r="D57" s="179">
        <f t="shared" si="16"/>
        <v>0.93</v>
      </c>
      <c r="E57" s="180">
        <f t="shared" si="20"/>
        <v>0.03</v>
      </c>
      <c r="F57" s="17"/>
      <c r="G57" s="77">
        <f t="shared" si="17"/>
        <v>0.03</v>
      </c>
      <c r="H57" s="77">
        <f t="shared" si="18"/>
        <v>0.02</v>
      </c>
      <c r="I57" s="17"/>
      <c r="J57" s="77">
        <f t="shared" si="19"/>
        <v>0.03</v>
      </c>
      <c r="M57" s="52">
        <v>45054</v>
      </c>
      <c r="N57" s="53">
        <v>2.3053799999999999E-2</v>
      </c>
      <c r="Q57" s="27">
        <f t="shared" si="7"/>
        <v>45046</v>
      </c>
      <c r="R57" s="55">
        <f t="shared" si="8"/>
        <v>52</v>
      </c>
      <c r="S57" s="55">
        <f t="shared" si="9"/>
        <v>184355.24690143892</v>
      </c>
      <c r="T57" s="55">
        <f t="shared" si="10"/>
        <v>35556835.088153563</v>
      </c>
      <c r="U57" s="104">
        <f t="shared" si="11"/>
        <v>48087.329525585752</v>
      </c>
      <c r="V57" s="55">
        <f t="shared" si="12"/>
        <v>136267.91737585317</v>
      </c>
      <c r="W57" s="55">
        <f t="shared" si="13"/>
        <v>35508747.758627981</v>
      </c>
    </row>
    <row r="58" spans="2:23" x14ac:dyDescent="0.3">
      <c r="B58" s="17">
        <f t="shared" si="15"/>
        <v>7</v>
      </c>
      <c r="C58" s="17"/>
      <c r="D58" s="179">
        <f t="shared" si="16"/>
        <v>0.93</v>
      </c>
      <c r="E58" s="180">
        <f t="shared" si="20"/>
        <v>0.03</v>
      </c>
      <c r="F58" s="17"/>
      <c r="G58" s="77">
        <f t="shared" si="17"/>
        <v>0.03</v>
      </c>
      <c r="H58" s="77">
        <f t="shared" si="18"/>
        <v>0.02</v>
      </c>
      <c r="I58" s="17"/>
      <c r="J58" s="77">
        <f t="shared" si="19"/>
        <v>0.03</v>
      </c>
      <c r="M58" s="52">
        <v>45084</v>
      </c>
      <c r="N58" s="53">
        <v>2.31378E-2</v>
      </c>
      <c r="Q58" s="27">
        <f t="shared" si="7"/>
        <v>45077</v>
      </c>
      <c r="R58" s="55">
        <f t="shared" si="8"/>
        <v>53</v>
      </c>
      <c r="S58" s="55">
        <f t="shared" si="9"/>
        <v>184355.24690143892</v>
      </c>
      <c r="T58" s="55">
        <f t="shared" si="10"/>
        <v>35508747.758627981</v>
      </c>
      <c r="U58" s="104">
        <f t="shared" si="11"/>
        <v>43735.498354649288</v>
      </c>
      <c r="V58" s="55">
        <f t="shared" si="12"/>
        <v>140619.74854678963</v>
      </c>
      <c r="W58" s="55">
        <f t="shared" si="13"/>
        <v>35465012.26027333</v>
      </c>
    </row>
    <row r="59" spans="2:23" x14ac:dyDescent="0.3">
      <c r="B59" s="17">
        <f t="shared" si="15"/>
        <v>8</v>
      </c>
      <c r="C59" s="17"/>
      <c r="D59" s="179">
        <f t="shared" si="16"/>
        <v>0.93</v>
      </c>
      <c r="E59" s="180">
        <f t="shared" si="20"/>
        <v>0.03</v>
      </c>
      <c r="F59" s="17"/>
      <c r="G59" s="77">
        <f t="shared" si="17"/>
        <v>0.03</v>
      </c>
      <c r="H59" s="77">
        <f t="shared" si="18"/>
        <v>0.02</v>
      </c>
      <c r="I59" s="17"/>
      <c r="J59" s="77">
        <f t="shared" si="19"/>
        <v>0.03</v>
      </c>
      <c r="M59" s="52">
        <v>45114</v>
      </c>
      <c r="N59" s="53">
        <v>2.3229699999999999E-2</v>
      </c>
      <c r="Q59" s="27">
        <f t="shared" si="7"/>
        <v>45107</v>
      </c>
      <c r="R59" s="55">
        <f t="shared" si="8"/>
        <v>54</v>
      </c>
      <c r="S59" s="55">
        <f t="shared" si="9"/>
        <v>184355.24690143892</v>
      </c>
      <c r="T59" s="55">
        <f t="shared" si="10"/>
        <v>35465012.26027333</v>
      </c>
      <c r="U59" s="104">
        <f t="shared" si="11"/>
        <v>48439.23107958457</v>
      </c>
      <c r="V59" s="55">
        <f t="shared" si="12"/>
        <v>135916.01582185435</v>
      </c>
      <c r="W59" s="55">
        <f t="shared" si="13"/>
        <v>35416573.029193744</v>
      </c>
    </row>
    <row r="60" spans="2:23" x14ac:dyDescent="0.3">
      <c r="B60" s="17">
        <f t="shared" si="15"/>
        <v>9</v>
      </c>
      <c r="C60" s="17"/>
      <c r="D60" s="179">
        <f t="shared" si="16"/>
        <v>0.93</v>
      </c>
      <c r="E60" s="180">
        <f t="shared" si="20"/>
        <v>0.03</v>
      </c>
      <c r="F60" s="17"/>
      <c r="G60" s="77">
        <f t="shared" si="17"/>
        <v>0.03</v>
      </c>
      <c r="H60" s="77">
        <f t="shared" si="18"/>
        <v>0.02</v>
      </c>
      <c r="I60" s="17"/>
      <c r="J60" s="77">
        <f t="shared" si="19"/>
        <v>0.03</v>
      </c>
      <c r="M60" s="52">
        <v>45145</v>
      </c>
      <c r="N60" s="53">
        <v>2.333E-2</v>
      </c>
      <c r="Q60" s="27">
        <f t="shared" si="7"/>
        <v>45138</v>
      </c>
      <c r="R60" s="55">
        <f t="shared" si="8"/>
        <v>55</v>
      </c>
      <c r="S60" s="55">
        <f t="shared" si="9"/>
        <v>184355.24690143892</v>
      </c>
      <c r="T60" s="55">
        <f t="shared" si="10"/>
        <v>35416573.029193744</v>
      </c>
      <c r="U60" s="104">
        <f t="shared" si="11"/>
        <v>44100.523541217903</v>
      </c>
      <c r="V60" s="55">
        <f t="shared" si="12"/>
        <v>140254.72336022102</v>
      </c>
      <c r="W60" s="55">
        <f t="shared" si="13"/>
        <v>35372472.505652525</v>
      </c>
    </row>
    <row r="61" spans="2:23" x14ac:dyDescent="0.3">
      <c r="B61" s="17">
        <f t="shared" si="15"/>
        <v>10</v>
      </c>
      <c r="C61" s="17"/>
      <c r="D61" s="179">
        <f t="shared" si="16"/>
        <v>0.93</v>
      </c>
      <c r="E61" s="180">
        <f t="shared" si="20"/>
        <v>0.03</v>
      </c>
      <c r="F61" s="17"/>
      <c r="G61" s="77">
        <f t="shared" si="17"/>
        <v>0.03</v>
      </c>
      <c r="H61" s="77">
        <f t="shared" si="18"/>
        <v>0.02</v>
      </c>
      <c r="I61" s="17"/>
      <c r="J61" s="77">
        <f t="shared" si="19"/>
        <v>0.03</v>
      </c>
      <c r="M61" s="52">
        <v>45176</v>
      </c>
      <c r="N61" s="53">
        <v>2.3415499999999999E-2</v>
      </c>
      <c r="Q61" s="27">
        <f t="shared" si="7"/>
        <v>45169</v>
      </c>
      <c r="R61" s="55">
        <f t="shared" si="8"/>
        <v>56</v>
      </c>
      <c r="S61" s="55">
        <f t="shared" si="9"/>
        <v>184355.24690143892</v>
      </c>
      <c r="T61" s="55">
        <f t="shared" si="10"/>
        <v>35372472.505652525</v>
      </c>
      <c r="U61" s="104">
        <f t="shared" si="11"/>
        <v>44275.167957667116</v>
      </c>
      <c r="V61" s="55">
        <f t="shared" si="12"/>
        <v>140080.0789437718</v>
      </c>
      <c r="W61" s="55">
        <f t="shared" si="13"/>
        <v>35328197.337694861</v>
      </c>
    </row>
    <row r="62" spans="2:23" x14ac:dyDescent="0.3">
      <c r="B62" s="17">
        <f t="shared" si="15"/>
        <v>11</v>
      </c>
      <c r="C62" s="17"/>
      <c r="D62" s="179">
        <f t="shared" si="16"/>
        <v>0.93</v>
      </c>
      <c r="E62" s="180">
        <f t="shared" si="20"/>
        <v>0.03</v>
      </c>
      <c r="F62" s="17"/>
      <c r="G62" s="77">
        <f t="shared" si="17"/>
        <v>0.03</v>
      </c>
      <c r="H62" s="77">
        <f t="shared" si="18"/>
        <v>0.02</v>
      </c>
      <c r="I62" s="17"/>
      <c r="J62" s="77">
        <f t="shared" si="19"/>
        <v>0.03</v>
      </c>
      <c r="M62" s="52">
        <v>45208</v>
      </c>
      <c r="N62" s="53">
        <v>2.35093E-2</v>
      </c>
      <c r="Q62" s="27">
        <f t="shared" si="7"/>
        <v>45199</v>
      </c>
      <c r="R62" s="55">
        <f t="shared" si="8"/>
        <v>57</v>
      </c>
      <c r="S62" s="55">
        <f t="shared" si="9"/>
        <v>184355.24690143892</v>
      </c>
      <c r="T62" s="55">
        <f t="shared" si="10"/>
        <v>35328197.337694861</v>
      </c>
      <c r="U62" s="104">
        <f t="shared" si="11"/>
        <v>48963.56021403888</v>
      </c>
      <c r="V62" s="55">
        <f t="shared" si="12"/>
        <v>135391.68668740004</v>
      </c>
      <c r="W62" s="55">
        <f t="shared" si="13"/>
        <v>35279233.777480826</v>
      </c>
    </row>
    <row r="63" spans="2:23" x14ac:dyDescent="0.3">
      <c r="M63" s="52">
        <v>45237</v>
      </c>
      <c r="N63" s="53">
        <v>2.3610099999999998E-2</v>
      </c>
      <c r="Q63" s="27">
        <f t="shared" si="7"/>
        <v>45230</v>
      </c>
      <c r="R63" s="55">
        <f t="shared" si="8"/>
        <v>58</v>
      </c>
      <c r="S63" s="55">
        <f t="shared" si="9"/>
        <v>184355.24690143892</v>
      </c>
      <c r="T63" s="55">
        <f t="shared" si="10"/>
        <v>35279233.777480826</v>
      </c>
      <c r="U63" s="104">
        <f t="shared" si="11"/>
        <v>44644.406732276984</v>
      </c>
      <c r="V63" s="55">
        <f t="shared" si="12"/>
        <v>139710.84016916194</v>
      </c>
      <c r="W63" s="55">
        <f t="shared" si="13"/>
        <v>35234589.37074855</v>
      </c>
    </row>
    <row r="64" spans="2:23" x14ac:dyDescent="0.3">
      <c r="B64" s="4" t="s">
        <v>94</v>
      </c>
      <c r="C64" s="4"/>
      <c r="D64" s="4"/>
      <c r="E64" s="4"/>
      <c r="M64" s="52">
        <v>45267</v>
      </c>
      <c r="N64" s="53">
        <v>2.3694300000000001E-2</v>
      </c>
      <c r="Q64" s="27">
        <f t="shared" si="7"/>
        <v>45260</v>
      </c>
      <c r="R64" s="55">
        <f t="shared" si="8"/>
        <v>59</v>
      </c>
      <c r="S64" s="55">
        <f t="shared" si="9"/>
        <v>184355.24690143892</v>
      </c>
      <c r="T64" s="55">
        <f t="shared" si="10"/>
        <v>35234589.37074855</v>
      </c>
      <c r="U64" s="104">
        <f t="shared" si="11"/>
        <v>49322.303130103741</v>
      </c>
      <c r="V64" s="55">
        <f t="shared" si="12"/>
        <v>135032.94377133518</v>
      </c>
      <c r="W64" s="55">
        <f t="shared" si="13"/>
        <v>35185267.067618445</v>
      </c>
    </row>
    <row r="65" spans="2:23" x14ac:dyDescent="0.3">
      <c r="B65" s="12" t="s">
        <v>97</v>
      </c>
      <c r="C65" s="12"/>
      <c r="D65" s="12"/>
      <c r="E65" s="12"/>
      <c r="M65" s="52">
        <v>45299</v>
      </c>
      <c r="N65" s="53">
        <v>2.3786700000000001E-2</v>
      </c>
      <c r="Q65" s="27">
        <f t="shared" si="7"/>
        <v>45291</v>
      </c>
      <c r="R65" s="55">
        <f t="shared" si="8"/>
        <v>60</v>
      </c>
      <c r="S65" s="55">
        <f t="shared" si="9"/>
        <v>184355.24690143892</v>
      </c>
      <c r="T65" s="55">
        <f t="shared" si="10"/>
        <v>35185267.067618445</v>
      </c>
      <c r="U65" s="104">
        <f t="shared" si="11"/>
        <v>45016.528419091657</v>
      </c>
      <c r="V65" s="55">
        <f t="shared" si="12"/>
        <v>139338.71848234726</v>
      </c>
      <c r="W65" s="55">
        <f t="shared" si="13"/>
        <v>35140250.539199352</v>
      </c>
    </row>
    <row r="66" spans="2:23" x14ac:dyDescent="0.3">
      <c r="C66" s="21" t="s">
        <v>95</v>
      </c>
      <c r="D66" s="21" t="s">
        <v>96</v>
      </c>
      <c r="E66" s="21" t="s">
        <v>62</v>
      </c>
      <c r="M66" s="52">
        <v>45329</v>
      </c>
      <c r="N66" s="53">
        <v>2.38879E-2</v>
      </c>
      <c r="Q66" s="27">
        <f t="shared" si="7"/>
        <v>45322</v>
      </c>
      <c r="R66" s="55">
        <f t="shared" si="8"/>
        <v>61</v>
      </c>
      <c r="S66" s="55">
        <f t="shared" si="9"/>
        <v>184355.24690143892</v>
      </c>
      <c r="T66" s="55">
        <f t="shared" si="10"/>
        <v>35140250.539199352</v>
      </c>
      <c r="U66" s="104">
        <f t="shared" si="11"/>
        <v>45194.800346611388</v>
      </c>
      <c r="V66" s="55">
        <f t="shared" si="12"/>
        <v>139160.44655482753</v>
      </c>
      <c r="W66" s="55">
        <f t="shared" si="13"/>
        <v>35095055.738852739</v>
      </c>
    </row>
    <row r="67" spans="2:23" x14ac:dyDescent="0.3">
      <c r="B67" s="1" t="s">
        <v>57</v>
      </c>
      <c r="C67" s="61">
        <f>EOMONTH($E$12,1)</f>
        <v>43496</v>
      </c>
      <c r="D67" s="79">
        <f>EOMONTH(C67,E67)</f>
        <v>43677</v>
      </c>
      <c r="E67" s="80">
        <v>6</v>
      </c>
      <c r="M67" s="52">
        <v>45358</v>
      </c>
      <c r="N67" s="53">
        <v>2.3973600000000001E-2</v>
      </c>
      <c r="Q67" s="27">
        <f t="shared" si="7"/>
        <v>45351</v>
      </c>
      <c r="R67" s="55">
        <f t="shared" si="8"/>
        <v>62</v>
      </c>
      <c r="S67" s="55">
        <f t="shared" si="9"/>
        <v>184355.24690143892</v>
      </c>
      <c r="T67" s="55">
        <f t="shared" si="10"/>
        <v>35095055.738852739</v>
      </c>
      <c r="U67" s="104">
        <f t="shared" si="11"/>
        <v>54340.324620788699</v>
      </c>
      <c r="V67" s="55">
        <f t="shared" si="12"/>
        <v>130014.92228065022</v>
      </c>
      <c r="W67" s="55">
        <f t="shared" si="13"/>
        <v>35040715.414231949</v>
      </c>
    </row>
    <row r="68" spans="2:23" x14ac:dyDescent="0.3">
      <c r="B68" s="1" t="s">
        <v>60</v>
      </c>
      <c r="C68" s="61">
        <f>EOMONTH($E$12,3)</f>
        <v>43555</v>
      </c>
      <c r="D68" s="79">
        <f>EOMONTH(C68,E68)</f>
        <v>44286</v>
      </c>
      <c r="E68" s="80">
        <v>24</v>
      </c>
      <c r="M68" s="52">
        <v>45390</v>
      </c>
      <c r="N68" s="53">
        <v>2.4069199999999999E-2</v>
      </c>
      <c r="Q68" s="27">
        <f t="shared" si="7"/>
        <v>45382</v>
      </c>
      <c r="R68" s="55">
        <f t="shared" si="8"/>
        <v>63</v>
      </c>
      <c r="S68" s="55">
        <f t="shared" si="9"/>
        <v>184355.24690143892</v>
      </c>
      <c r="T68" s="55">
        <f t="shared" si="10"/>
        <v>35040715.414231949</v>
      </c>
      <c r="U68" s="104">
        <f t="shared" si="11"/>
        <v>45588.973758178356</v>
      </c>
      <c r="V68" s="55">
        <f t="shared" si="12"/>
        <v>138766.27314326057</v>
      </c>
      <c r="W68" s="55">
        <f t="shared" si="13"/>
        <v>34995126.440473773</v>
      </c>
    </row>
    <row r="69" spans="2:23" x14ac:dyDescent="0.3">
      <c r="M69" s="52">
        <v>45419</v>
      </c>
      <c r="N69" s="53">
        <v>2.41741E-2</v>
      </c>
      <c r="Q69" s="27">
        <f t="shared" si="7"/>
        <v>45412</v>
      </c>
      <c r="R69" s="55">
        <f t="shared" si="8"/>
        <v>64</v>
      </c>
      <c r="S69" s="55">
        <f t="shared" si="9"/>
        <v>184355.24690143892</v>
      </c>
      <c r="T69" s="55">
        <f t="shared" si="10"/>
        <v>34995126.440473773</v>
      </c>
      <c r="U69" s="104">
        <f t="shared" si="11"/>
        <v>50240.020208025962</v>
      </c>
      <c r="V69" s="55">
        <f t="shared" si="12"/>
        <v>134115.22669341296</v>
      </c>
      <c r="W69" s="55">
        <f t="shared" si="13"/>
        <v>34944886.420265749</v>
      </c>
    </row>
    <row r="70" spans="2:23" x14ac:dyDescent="0.3">
      <c r="B70" s="12" t="s">
        <v>98</v>
      </c>
      <c r="C70" s="12"/>
      <c r="D70" s="12"/>
      <c r="E70" s="12"/>
      <c r="M70" s="52">
        <v>45450</v>
      </c>
      <c r="N70" s="53">
        <v>2.4263900000000001E-2</v>
      </c>
      <c r="Q70" s="27">
        <f t="shared" si="7"/>
        <v>45443</v>
      </c>
      <c r="R70" s="55">
        <f t="shared" si="8"/>
        <v>65</v>
      </c>
      <c r="S70" s="55">
        <f t="shared" si="9"/>
        <v>184355.24690143892</v>
      </c>
      <c r="T70" s="55">
        <f t="shared" si="10"/>
        <v>34944886.420265749</v>
      </c>
      <c r="U70" s="104">
        <f t="shared" si="11"/>
        <v>45968.470357906917</v>
      </c>
      <c r="V70" s="55">
        <f t="shared" si="12"/>
        <v>138386.776543532</v>
      </c>
      <c r="W70" s="55">
        <f t="shared" si="13"/>
        <v>34898917.949907839</v>
      </c>
    </row>
    <row r="71" spans="2:23" x14ac:dyDescent="0.3">
      <c r="B71" s="1" t="s">
        <v>99</v>
      </c>
      <c r="E71" s="80">
        <v>0</v>
      </c>
      <c r="M71" s="52">
        <v>45481</v>
      </c>
      <c r="N71" s="53">
        <v>2.43634E-2</v>
      </c>
      <c r="Q71" s="27">
        <f t="shared" si="7"/>
        <v>45473</v>
      </c>
      <c r="R71" s="55">
        <f t="shared" si="8"/>
        <v>66</v>
      </c>
      <c r="S71" s="55">
        <f t="shared" si="9"/>
        <v>184355.24690143892</v>
      </c>
      <c r="T71" s="55">
        <f t="shared" si="10"/>
        <v>34898917.949907839</v>
      </c>
      <c r="U71" s="104">
        <f t="shared" si="11"/>
        <v>50608.729363685939</v>
      </c>
      <c r="V71" s="55">
        <f t="shared" si="12"/>
        <v>133746.51753775298</v>
      </c>
      <c r="W71" s="55">
        <f t="shared" si="13"/>
        <v>34848309.220544152</v>
      </c>
    </row>
    <row r="72" spans="2:23" x14ac:dyDescent="0.3">
      <c r="B72" s="1" t="s">
        <v>100</v>
      </c>
      <c r="D72" s="20">
        <f>E72/E8</f>
        <v>1</v>
      </c>
      <c r="E72" s="81">
        <f>E8-E71</f>
        <v>250</v>
      </c>
      <c r="M72" s="52">
        <v>45511</v>
      </c>
      <c r="N72" s="53">
        <v>2.4472299999999999E-2</v>
      </c>
      <c r="Q72" s="27">
        <f t="shared" si="7"/>
        <v>45504</v>
      </c>
      <c r="R72" s="55">
        <f t="shared" si="8"/>
        <v>67</v>
      </c>
      <c r="S72" s="55">
        <f t="shared" si="9"/>
        <v>184355.24690143892</v>
      </c>
      <c r="T72" s="55">
        <f t="shared" si="10"/>
        <v>34848309.220544152</v>
      </c>
      <c r="U72" s="104">
        <f t="shared" si="11"/>
        <v>46350.929960045498</v>
      </c>
      <c r="V72" s="55">
        <f t="shared" si="12"/>
        <v>138004.31694139342</v>
      </c>
      <c r="W72" s="55">
        <f t="shared" si="13"/>
        <v>34801958.29058411</v>
      </c>
    </row>
    <row r="73" spans="2:23" x14ac:dyDescent="0.3">
      <c r="B73" s="1" t="s">
        <v>125</v>
      </c>
      <c r="E73" s="82">
        <f>E72/E68</f>
        <v>10.416666666666666</v>
      </c>
      <c r="M73" s="52">
        <v>45544</v>
      </c>
      <c r="N73" s="53">
        <v>2.4565900000000002E-2</v>
      </c>
      <c r="Q73" s="27">
        <f t="shared" si="7"/>
        <v>45535</v>
      </c>
      <c r="R73" s="55">
        <f t="shared" si="8"/>
        <v>68</v>
      </c>
      <c r="S73" s="55">
        <f t="shared" si="9"/>
        <v>184355.24690143892</v>
      </c>
      <c r="T73" s="55">
        <f t="shared" si="10"/>
        <v>34801958.29058411</v>
      </c>
      <c r="U73" s="104">
        <f t="shared" si="11"/>
        <v>46534.486309601867</v>
      </c>
      <c r="V73" s="55">
        <f t="shared" si="12"/>
        <v>137820.76059183705</v>
      </c>
      <c r="W73" s="55">
        <f t="shared" si="13"/>
        <v>34755423.804274507</v>
      </c>
    </row>
    <row r="74" spans="2:23" x14ac:dyDescent="0.3">
      <c r="B74" s="1" t="s">
        <v>101</v>
      </c>
      <c r="E74" s="174">
        <v>125</v>
      </c>
      <c r="J74" s="9"/>
      <c r="M74" s="52">
        <v>45572</v>
      </c>
      <c r="N74" s="53">
        <v>2.46672E-2</v>
      </c>
      <c r="Q74" s="27">
        <f t="shared" si="7"/>
        <v>45565</v>
      </c>
      <c r="R74" s="55">
        <f t="shared" si="8"/>
        <v>69</v>
      </c>
      <c r="S74" s="55">
        <f t="shared" si="9"/>
        <v>184355.24690143892</v>
      </c>
      <c r="T74" s="55">
        <f t="shared" si="10"/>
        <v>34755423.804274507</v>
      </c>
      <c r="U74" s="104">
        <f t="shared" si="11"/>
        <v>51158.655934276496</v>
      </c>
      <c r="V74" s="55">
        <f t="shared" si="12"/>
        <v>133196.59096716242</v>
      </c>
      <c r="W74" s="55">
        <f t="shared" si="13"/>
        <v>34704265.148340233</v>
      </c>
    </row>
    <row r="75" spans="2:23" x14ac:dyDescent="0.3">
      <c r="B75" s="1" t="s">
        <v>128</v>
      </c>
      <c r="E75" s="83">
        <f>E74*12/D25</f>
        <v>0.25</v>
      </c>
      <c r="M75" s="52">
        <v>45603</v>
      </c>
      <c r="N75" s="53">
        <v>2.4776400000000001E-2</v>
      </c>
      <c r="Q75" s="27">
        <f t="shared" si="7"/>
        <v>45596</v>
      </c>
      <c r="R75" s="55">
        <f t="shared" si="8"/>
        <v>70</v>
      </c>
      <c r="S75" s="55">
        <f t="shared" si="9"/>
        <v>184355.24690143892</v>
      </c>
      <c r="T75" s="55">
        <f t="shared" si="10"/>
        <v>34704265.148340233</v>
      </c>
      <c r="U75" s="104">
        <f t="shared" si="11"/>
        <v>46921.365204640955</v>
      </c>
      <c r="V75" s="55">
        <f t="shared" si="12"/>
        <v>137433.88169679797</v>
      </c>
      <c r="W75" s="55">
        <f t="shared" si="13"/>
        <v>34657343.783135593</v>
      </c>
    </row>
    <row r="76" spans="2:23" x14ac:dyDescent="0.3">
      <c r="M76" s="52">
        <v>45635</v>
      </c>
      <c r="N76" s="53">
        <v>2.4868899999999999E-2</v>
      </c>
      <c r="Q76" s="27">
        <f t="shared" si="7"/>
        <v>45626</v>
      </c>
      <c r="R76" s="55">
        <f t="shared" si="8"/>
        <v>71</v>
      </c>
      <c r="S76" s="55">
        <f t="shared" si="9"/>
        <v>184355.24690143892</v>
      </c>
      <c r="T76" s="55">
        <f t="shared" si="10"/>
        <v>34657343.783135593</v>
      </c>
      <c r="U76" s="104">
        <f t="shared" si="11"/>
        <v>51534.537538576871</v>
      </c>
      <c r="V76" s="55">
        <f t="shared" si="12"/>
        <v>132820.70936286205</v>
      </c>
      <c r="W76" s="55">
        <f t="shared" si="13"/>
        <v>34605809.24559702</v>
      </c>
    </row>
    <row r="77" spans="2:23" x14ac:dyDescent="0.3">
      <c r="M77" s="52">
        <v>45664</v>
      </c>
      <c r="N77" s="53">
        <v>2.49675E-2</v>
      </c>
      <c r="Q77" s="27">
        <f t="shared" ref="Q77:Q125" si="21">EOMONTH(Q76,1)</f>
        <v>45657</v>
      </c>
      <c r="R77" s="55">
        <f t="shared" ref="R77:R125" si="22">++R76+1</f>
        <v>72</v>
      </c>
      <c r="S77" s="55">
        <f t="shared" ref="S77:S125" si="23">S76</f>
        <v>184355.24690143892</v>
      </c>
      <c r="T77" s="55">
        <f t="shared" ref="T77:T125" si="24">W76</f>
        <v>34605809.24559702</v>
      </c>
      <c r="U77" s="104">
        <f t="shared" ref="U77:U125" si="25">(S77-V77)*(R77&gt;$J$26)</f>
        <v>47311.26474096952</v>
      </c>
      <c r="V77" s="55">
        <f t="shared" ref="V77:V125" si="26">$J$25*T77*((Q77-Q76)/365)</f>
        <v>137043.9821604694</v>
      </c>
      <c r="W77" s="55">
        <f t="shared" ref="W77:W125" si="27">T77-U77</f>
        <v>34558497.980856054</v>
      </c>
    </row>
    <row r="78" spans="2:23" x14ac:dyDescent="0.3">
      <c r="M78" s="52">
        <v>45695</v>
      </c>
      <c r="N78" s="53">
        <v>2.5071699999999999E-2</v>
      </c>
      <c r="Q78" s="27">
        <f t="shared" si="21"/>
        <v>45688</v>
      </c>
      <c r="R78" s="55">
        <f t="shared" si="22"/>
        <v>73</v>
      </c>
      <c r="S78" s="55">
        <f t="shared" si="23"/>
        <v>184355.24690143892</v>
      </c>
      <c r="T78" s="55">
        <f t="shared" si="24"/>
        <v>34558497.980856054</v>
      </c>
      <c r="U78" s="104">
        <f t="shared" si="25"/>
        <v>47498.624154388672</v>
      </c>
      <c r="V78" s="55">
        <f t="shared" si="26"/>
        <v>136856.62274705025</v>
      </c>
      <c r="W78" s="55">
        <f t="shared" si="27"/>
        <v>34510999.356701665</v>
      </c>
    </row>
    <row r="79" spans="2:23" x14ac:dyDescent="0.3">
      <c r="M79" s="52">
        <v>45723</v>
      </c>
      <c r="N79" s="53">
        <v>2.5156299999999999E-2</v>
      </c>
      <c r="Q79" s="27">
        <f t="shared" si="21"/>
        <v>45716</v>
      </c>
      <c r="R79" s="55">
        <f t="shared" si="22"/>
        <v>74</v>
      </c>
      <c r="S79" s="55">
        <f t="shared" si="23"/>
        <v>184355.24690143892</v>
      </c>
      <c r="T79" s="55">
        <f t="shared" si="24"/>
        <v>34510999.356701665</v>
      </c>
      <c r="U79" s="104">
        <f t="shared" si="25"/>
        <v>60912.711476427983</v>
      </c>
      <c r="V79" s="55">
        <f t="shared" si="26"/>
        <v>123442.53542501094</v>
      </c>
      <c r="W79" s="55">
        <f t="shared" si="27"/>
        <v>34450086.645225234</v>
      </c>
    </row>
    <row r="80" spans="2:23" x14ac:dyDescent="0.3">
      <c r="M80" s="52">
        <v>45754</v>
      </c>
      <c r="N80" s="53">
        <v>2.5246399999999999E-2</v>
      </c>
      <c r="Q80" s="27">
        <f t="shared" si="21"/>
        <v>45747</v>
      </c>
      <c r="R80" s="55">
        <f t="shared" si="22"/>
        <v>75</v>
      </c>
      <c r="S80" s="55">
        <f t="shared" si="23"/>
        <v>184355.24690143892</v>
      </c>
      <c r="T80" s="55">
        <f t="shared" si="24"/>
        <v>34450086.645225234</v>
      </c>
      <c r="U80" s="104">
        <f t="shared" si="25"/>
        <v>47927.948636898014</v>
      </c>
      <c r="V80" s="55">
        <f t="shared" si="26"/>
        <v>136427.29826454091</v>
      </c>
      <c r="W80" s="55">
        <f t="shared" si="27"/>
        <v>34402158.696588337</v>
      </c>
    </row>
    <row r="81" spans="13:23" x14ac:dyDescent="0.3">
      <c r="M81" s="52">
        <v>45784</v>
      </c>
      <c r="N81" s="53">
        <v>2.5342099999999999E-2</v>
      </c>
      <c r="Q81" s="27">
        <f t="shared" si="21"/>
        <v>45777</v>
      </c>
      <c r="R81" s="55">
        <f t="shared" si="22"/>
        <v>76</v>
      </c>
      <c r="S81" s="55">
        <f t="shared" si="23"/>
        <v>184355.24690143892</v>
      </c>
      <c r="T81" s="55">
        <f t="shared" si="24"/>
        <v>34402158.696588337</v>
      </c>
      <c r="U81" s="104">
        <f t="shared" si="25"/>
        <v>52512.508165123349</v>
      </c>
      <c r="V81" s="55">
        <f t="shared" si="26"/>
        <v>131842.73873631557</v>
      </c>
      <c r="W81" s="55">
        <f t="shared" si="27"/>
        <v>34349646.188423216</v>
      </c>
    </row>
    <row r="82" spans="13:23" x14ac:dyDescent="0.3">
      <c r="M82" s="52">
        <v>45817</v>
      </c>
      <c r="N82" s="53">
        <v>2.5419799999999999E-2</v>
      </c>
      <c r="Q82" s="27">
        <f t="shared" si="21"/>
        <v>45808</v>
      </c>
      <c r="R82" s="55">
        <f t="shared" si="22"/>
        <v>77</v>
      </c>
      <c r="S82" s="55">
        <f t="shared" si="23"/>
        <v>184355.24690143892</v>
      </c>
      <c r="T82" s="55">
        <f t="shared" si="24"/>
        <v>34349646.188423216</v>
      </c>
      <c r="U82" s="104">
        <f t="shared" si="25"/>
        <v>48325.707292749023</v>
      </c>
      <c r="V82" s="55">
        <f t="shared" si="26"/>
        <v>136029.5396086899</v>
      </c>
      <c r="W82" s="55">
        <f t="shared" si="27"/>
        <v>34301320.481130466</v>
      </c>
    </row>
    <row r="83" spans="13:23" x14ac:dyDescent="0.3">
      <c r="M83" s="52">
        <v>45845</v>
      </c>
      <c r="N83" s="53">
        <v>2.5502500000000001E-2</v>
      </c>
      <c r="Q83" s="27">
        <f t="shared" si="21"/>
        <v>45838</v>
      </c>
      <c r="R83" s="55">
        <f t="shared" si="22"/>
        <v>78</v>
      </c>
      <c r="S83" s="55">
        <f t="shared" si="23"/>
        <v>184355.24690143892</v>
      </c>
      <c r="T83" s="55">
        <f t="shared" si="24"/>
        <v>34301320.481130466</v>
      </c>
      <c r="U83" s="104">
        <f t="shared" si="25"/>
        <v>52898.960265775007</v>
      </c>
      <c r="V83" s="55">
        <f t="shared" si="26"/>
        <v>131456.28663566391</v>
      </c>
      <c r="W83" s="55">
        <f t="shared" si="27"/>
        <v>34248421.520864688</v>
      </c>
    </row>
    <row r="84" spans="13:23" x14ac:dyDescent="0.3">
      <c r="M84" s="52">
        <v>45876</v>
      </c>
      <c r="N84" s="53">
        <v>2.5590499999999999E-2</v>
      </c>
      <c r="Q84" s="27">
        <f t="shared" si="21"/>
        <v>45869</v>
      </c>
      <c r="R84" s="55">
        <f t="shared" si="22"/>
        <v>79</v>
      </c>
      <c r="S84" s="55">
        <f t="shared" si="23"/>
        <v>184355.24690143892</v>
      </c>
      <c r="T84" s="55">
        <f t="shared" si="24"/>
        <v>34248421.520864688</v>
      </c>
      <c r="U84" s="104">
        <f t="shared" si="25"/>
        <v>48726.571535993251</v>
      </c>
      <c r="V84" s="55">
        <f t="shared" si="26"/>
        <v>135628.67536544567</v>
      </c>
      <c r="W84" s="55">
        <f t="shared" si="27"/>
        <v>34199694.949328698</v>
      </c>
    </row>
    <row r="85" spans="13:23" x14ac:dyDescent="0.3">
      <c r="M85" s="52">
        <v>45908</v>
      </c>
      <c r="N85" s="53">
        <v>2.5659999999999999E-2</v>
      </c>
      <c r="Q85" s="27">
        <f t="shared" si="21"/>
        <v>45900</v>
      </c>
      <c r="R85" s="55">
        <f t="shared" si="22"/>
        <v>80</v>
      </c>
      <c r="S85" s="55">
        <f t="shared" si="23"/>
        <v>184355.24690143892</v>
      </c>
      <c r="T85" s="55">
        <f t="shared" si="24"/>
        <v>34199694.949328698</v>
      </c>
      <c r="U85" s="104">
        <f t="shared" si="25"/>
        <v>48919.53576789223</v>
      </c>
      <c r="V85" s="55">
        <f t="shared" si="26"/>
        <v>135435.71113354669</v>
      </c>
      <c r="W85" s="55">
        <f t="shared" si="27"/>
        <v>34150775.413560808</v>
      </c>
    </row>
    <row r="86" spans="13:23" x14ac:dyDescent="0.3">
      <c r="M86" s="52">
        <v>45937</v>
      </c>
      <c r="N86" s="53">
        <v>2.5734400000000001E-2</v>
      </c>
      <c r="Q86" s="27">
        <f t="shared" si="21"/>
        <v>45930</v>
      </c>
      <c r="R86" s="55">
        <f t="shared" si="22"/>
        <v>81</v>
      </c>
      <c r="S86" s="55">
        <f t="shared" si="23"/>
        <v>184355.24690143892</v>
      </c>
      <c r="T86" s="55">
        <f t="shared" si="24"/>
        <v>34150775.413560808</v>
      </c>
      <c r="U86" s="104">
        <f t="shared" si="25"/>
        <v>53475.908770276743</v>
      </c>
      <c r="V86" s="55">
        <f t="shared" si="26"/>
        <v>130879.33813116218</v>
      </c>
      <c r="W86" s="55">
        <f t="shared" si="27"/>
        <v>34097299.50479053</v>
      </c>
    </row>
    <row r="87" spans="13:23" x14ac:dyDescent="0.3">
      <c r="M87" s="52">
        <v>45968</v>
      </c>
      <c r="N87" s="53">
        <v>2.5814299999999998E-2</v>
      </c>
      <c r="Q87" s="27">
        <f t="shared" si="21"/>
        <v>45961</v>
      </c>
      <c r="R87" s="55">
        <f t="shared" si="22"/>
        <v>82</v>
      </c>
      <c r="S87" s="55">
        <f t="shared" si="23"/>
        <v>184355.24690143892</v>
      </c>
      <c r="T87" s="55">
        <f t="shared" si="24"/>
        <v>34097299.50479053</v>
      </c>
      <c r="U87" s="104">
        <f t="shared" si="25"/>
        <v>49325.036456375266</v>
      </c>
      <c r="V87" s="55">
        <f t="shared" si="26"/>
        <v>135030.21044506365</v>
      </c>
      <c r="W87" s="55">
        <f t="shared" si="27"/>
        <v>34047974.468334153</v>
      </c>
    </row>
    <row r="88" spans="13:23" x14ac:dyDescent="0.3">
      <c r="M88" s="52">
        <v>45999</v>
      </c>
      <c r="N88" s="53">
        <v>2.58759E-2</v>
      </c>
      <c r="Q88" s="27">
        <f t="shared" si="21"/>
        <v>45991</v>
      </c>
      <c r="R88" s="55">
        <f t="shared" si="22"/>
        <v>83</v>
      </c>
      <c r="S88" s="55">
        <f t="shared" si="23"/>
        <v>184355.24690143892</v>
      </c>
      <c r="T88" s="55">
        <f t="shared" si="24"/>
        <v>34047974.468334153</v>
      </c>
      <c r="U88" s="104">
        <f t="shared" si="25"/>
        <v>53869.882831116949</v>
      </c>
      <c r="V88" s="55">
        <f t="shared" si="26"/>
        <v>130485.36407032197</v>
      </c>
      <c r="W88" s="55">
        <f t="shared" si="27"/>
        <v>33994104.585503034</v>
      </c>
    </row>
    <row r="89" spans="13:23" x14ac:dyDescent="0.3">
      <c r="M89" s="52">
        <v>46029</v>
      </c>
      <c r="N89" s="53">
        <v>2.5944399999999999E-2</v>
      </c>
      <c r="Q89" s="27">
        <f t="shared" si="21"/>
        <v>46022</v>
      </c>
      <c r="R89" s="55">
        <f t="shared" si="22"/>
        <v>84</v>
      </c>
      <c r="S89" s="55">
        <f t="shared" si="23"/>
        <v>184355.24690143892</v>
      </c>
      <c r="T89" s="55">
        <f t="shared" si="24"/>
        <v>33994104.585503034</v>
      </c>
      <c r="U89" s="104">
        <f t="shared" si="25"/>
        <v>49733.703179858567</v>
      </c>
      <c r="V89" s="55">
        <f t="shared" si="26"/>
        <v>134621.54372158035</v>
      </c>
      <c r="W89" s="55">
        <f t="shared" si="27"/>
        <v>33944370.882323176</v>
      </c>
    </row>
    <row r="90" spans="13:23" x14ac:dyDescent="0.3">
      <c r="M90" s="52">
        <v>46062</v>
      </c>
      <c r="N90" s="53">
        <v>2.60214E-2</v>
      </c>
      <c r="Q90" s="27">
        <f t="shared" si="21"/>
        <v>46053</v>
      </c>
      <c r="R90" s="55">
        <f t="shared" si="22"/>
        <v>85</v>
      </c>
      <c r="S90" s="55">
        <f t="shared" si="23"/>
        <v>184355.24690143892</v>
      </c>
      <c r="T90" s="55">
        <f t="shared" si="24"/>
        <v>33944370.882323176</v>
      </c>
      <c r="U90" s="104">
        <f t="shared" si="25"/>
        <v>49930.655797928688</v>
      </c>
      <c r="V90" s="55">
        <f t="shared" si="26"/>
        <v>134424.59110351023</v>
      </c>
      <c r="W90" s="55">
        <f t="shared" si="27"/>
        <v>33894440.226525247</v>
      </c>
    </row>
    <row r="91" spans="13:23" x14ac:dyDescent="0.3">
      <c r="M91" s="52">
        <v>46090</v>
      </c>
      <c r="N91" s="53">
        <v>2.6081199999999999E-2</v>
      </c>
      <c r="Q91" s="27">
        <f t="shared" si="21"/>
        <v>46081</v>
      </c>
      <c r="R91" s="55">
        <f t="shared" si="22"/>
        <v>86</v>
      </c>
      <c r="S91" s="55">
        <f t="shared" si="23"/>
        <v>184355.24690143892</v>
      </c>
      <c r="T91" s="55">
        <f t="shared" si="24"/>
        <v>33894440.226525247</v>
      </c>
      <c r="U91" s="104">
        <f t="shared" si="25"/>
        <v>63118.084362960639</v>
      </c>
      <c r="V91" s="55">
        <f t="shared" si="26"/>
        <v>121237.16253847828</v>
      </c>
      <c r="W91" s="55">
        <f t="shared" si="27"/>
        <v>33831322.142162286</v>
      </c>
    </row>
    <row r="92" spans="13:23" x14ac:dyDescent="0.3">
      <c r="M92" s="52">
        <v>46119</v>
      </c>
      <c r="N92" s="53">
        <v>2.61488E-2</v>
      </c>
      <c r="Q92" s="27">
        <f t="shared" si="21"/>
        <v>46112</v>
      </c>
      <c r="R92" s="55">
        <f t="shared" si="22"/>
        <v>87</v>
      </c>
      <c r="S92" s="55">
        <f t="shared" si="23"/>
        <v>184355.24690143892</v>
      </c>
      <c r="T92" s="55">
        <f t="shared" si="24"/>
        <v>33831322.142162286</v>
      </c>
      <c r="U92" s="104">
        <f t="shared" si="25"/>
        <v>50378.345069401024</v>
      </c>
      <c r="V92" s="55">
        <f t="shared" si="26"/>
        <v>133976.9018320379</v>
      </c>
      <c r="W92" s="55">
        <f t="shared" si="27"/>
        <v>33780943.797092885</v>
      </c>
    </row>
    <row r="93" spans="13:23" x14ac:dyDescent="0.3">
      <c r="M93" s="52">
        <v>46149</v>
      </c>
      <c r="N93" s="53">
        <v>2.6224899999999999E-2</v>
      </c>
      <c r="Q93" s="27">
        <f t="shared" si="21"/>
        <v>46142</v>
      </c>
      <c r="R93" s="55">
        <f t="shared" si="22"/>
        <v>88</v>
      </c>
      <c r="S93" s="55">
        <f t="shared" si="23"/>
        <v>184355.24690143892</v>
      </c>
      <c r="T93" s="55">
        <f t="shared" si="24"/>
        <v>33780943.797092885</v>
      </c>
      <c r="U93" s="104">
        <f t="shared" si="25"/>
        <v>54893.250443991099</v>
      </c>
      <c r="V93" s="55">
        <f t="shared" si="26"/>
        <v>129461.99645744782</v>
      </c>
      <c r="W93" s="55">
        <f t="shared" si="27"/>
        <v>33726050.546648897</v>
      </c>
    </row>
    <row r="94" spans="13:23" x14ac:dyDescent="0.3">
      <c r="M94" s="52">
        <v>46181</v>
      </c>
      <c r="N94" s="53">
        <v>2.6285900000000001E-2</v>
      </c>
      <c r="Q94" s="27">
        <f t="shared" si="21"/>
        <v>46173</v>
      </c>
      <c r="R94" s="55">
        <f t="shared" si="22"/>
        <v>89</v>
      </c>
      <c r="S94" s="55">
        <f t="shared" si="23"/>
        <v>184355.24690143892</v>
      </c>
      <c r="T94" s="55">
        <f t="shared" si="24"/>
        <v>33726050.546648897</v>
      </c>
      <c r="U94" s="104">
        <f t="shared" si="25"/>
        <v>50795.235729438864</v>
      </c>
      <c r="V94" s="55">
        <f t="shared" si="26"/>
        <v>133560.01117200006</v>
      </c>
      <c r="W94" s="55">
        <f t="shared" si="27"/>
        <v>33675255.310919456</v>
      </c>
    </row>
    <row r="95" spans="13:23" x14ac:dyDescent="0.3">
      <c r="M95" s="52">
        <v>46210</v>
      </c>
      <c r="N95" s="53">
        <v>2.6356000000000001E-2</v>
      </c>
      <c r="Q95" s="27">
        <f t="shared" si="21"/>
        <v>46203</v>
      </c>
      <c r="R95" s="55">
        <f t="shared" si="22"/>
        <v>90</v>
      </c>
      <c r="S95" s="55">
        <f t="shared" si="23"/>
        <v>184355.24690143892</v>
      </c>
      <c r="T95" s="55">
        <f t="shared" si="24"/>
        <v>33675255.310919456</v>
      </c>
      <c r="U95" s="104">
        <f t="shared" si="25"/>
        <v>55298.290708844652</v>
      </c>
      <c r="V95" s="55">
        <f t="shared" si="26"/>
        <v>129056.95619259427</v>
      </c>
      <c r="W95" s="55">
        <f t="shared" si="27"/>
        <v>33619957.020210609</v>
      </c>
    </row>
    <row r="96" spans="13:23" x14ac:dyDescent="0.3">
      <c r="M96" s="52">
        <v>46241</v>
      </c>
      <c r="N96" s="53">
        <v>2.6435899999999998E-2</v>
      </c>
      <c r="Q96" s="27">
        <f t="shared" si="21"/>
        <v>46234</v>
      </c>
      <c r="R96" s="55">
        <f t="shared" si="22"/>
        <v>91</v>
      </c>
      <c r="S96" s="55">
        <f t="shared" si="23"/>
        <v>184355.24690143892</v>
      </c>
      <c r="T96" s="55">
        <f t="shared" si="24"/>
        <v>33619957.020210609</v>
      </c>
      <c r="U96" s="104">
        <f t="shared" si="25"/>
        <v>51215.381354162266</v>
      </c>
      <c r="V96" s="55">
        <f t="shared" si="26"/>
        <v>133139.86554727665</v>
      </c>
      <c r="W96" s="55">
        <f t="shared" si="27"/>
        <v>33568741.638856448</v>
      </c>
    </row>
    <row r="97" spans="13:23" x14ac:dyDescent="0.3">
      <c r="M97" s="52">
        <v>46272</v>
      </c>
      <c r="N97" s="53">
        <v>2.6500699999999999E-2</v>
      </c>
      <c r="Q97" s="27">
        <f t="shared" si="21"/>
        <v>46265</v>
      </c>
      <c r="R97" s="55">
        <f t="shared" si="22"/>
        <v>92</v>
      </c>
      <c r="S97" s="55">
        <f t="shared" si="23"/>
        <v>184355.24690143892</v>
      </c>
      <c r="T97" s="55">
        <f t="shared" si="24"/>
        <v>33568741.638856448</v>
      </c>
      <c r="U97" s="104">
        <f t="shared" si="25"/>
        <v>51418.201630920696</v>
      </c>
      <c r="V97" s="55">
        <f t="shared" si="26"/>
        <v>132937.04527051823</v>
      </c>
      <c r="W97" s="55">
        <f t="shared" si="27"/>
        <v>33517323.437225528</v>
      </c>
    </row>
    <row r="98" spans="13:23" x14ac:dyDescent="0.3">
      <c r="M98" s="52">
        <v>46302</v>
      </c>
      <c r="N98" s="53">
        <v>2.6575000000000001E-2</v>
      </c>
      <c r="Q98" s="27">
        <f t="shared" si="21"/>
        <v>46295</v>
      </c>
      <c r="R98" s="55">
        <f t="shared" si="22"/>
        <v>93</v>
      </c>
      <c r="S98" s="55">
        <f t="shared" si="23"/>
        <v>184355.24690143892</v>
      </c>
      <c r="T98" s="55">
        <f t="shared" si="24"/>
        <v>33517323.437225528</v>
      </c>
      <c r="U98" s="104">
        <f t="shared" si="25"/>
        <v>55903.548388899202</v>
      </c>
      <c r="V98" s="55">
        <f t="shared" si="26"/>
        <v>128451.69851253972</v>
      </c>
      <c r="W98" s="55">
        <f t="shared" si="27"/>
        <v>33461419.88883663</v>
      </c>
    </row>
    <row r="99" spans="13:23" x14ac:dyDescent="0.3">
      <c r="M99" s="52">
        <v>46335</v>
      </c>
      <c r="N99" s="53">
        <v>2.6658999999999999E-2</v>
      </c>
      <c r="Q99" s="27">
        <f t="shared" si="21"/>
        <v>46326</v>
      </c>
      <c r="R99" s="55">
        <f t="shared" si="22"/>
        <v>94</v>
      </c>
      <c r="S99" s="55">
        <f t="shared" si="23"/>
        <v>184355.24690143892</v>
      </c>
      <c r="T99" s="55">
        <f t="shared" si="24"/>
        <v>33461419.88883663</v>
      </c>
      <c r="U99" s="104">
        <f t="shared" si="25"/>
        <v>51843.211197689263</v>
      </c>
      <c r="V99" s="55">
        <f t="shared" si="26"/>
        <v>132512.03570374966</v>
      </c>
      <c r="W99" s="55">
        <f t="shared" si="27"/>
        <v>33409576.677638941</v>
      </c>
    </row>
    <row r="100" spans="13:23" x14ac:dyDescent="0.3">
      <c r="M100" s="52">
        <v>46363</v>
      </c>
      <c r="N100" s="53">
        <v>2.6725800000000001E-2</v>
      </c>
      <c r="Q100" s="27">
        <f t="shared" si="21"/>
        <v>46356</v>
      </c>
      <c r="R100" s="55">
        <f t="shared" si="22"/>
        <v>95</v>
      </c>
      <c r="S100" s="55">
        <f t="shared" si="23"/>
        <v>184355.24690143892</v>
      </c>
      <c r="T100" s="55">
        <f t="shared" si="24"/>
        <v>33409576.677638941</v>
      </c>
      <c r="U100" s="104">
        <f t="shared" si="25"/>
        <v>56316.476775142233</v>
      </c>
      <c r="V100" s="55">
        <f t="shared" si="26"/>
        <v>128038.77012629669</v>
      </c>
      <c r="W100" s="55">
        <f t="shared" si="27"/>
        <v>33353260.200863797</v>
      </c>
    </row>
    <row r="101" spans="13:23" x14ac:dyDescent="0.3">
      <c r="M101" s="52">
        <v>46394</v>
      </c>
      <c r="N101" s="53">
        <v>2.6800000000000001E-2</v>
      </c>
      <c r="Q101" s="27">
        <f t="shared" si="21"/>
        <v>46387</v>
      </c>
      <c r="R101" s="55">
        <f t="shared" si="22"/>
        <v>96</v>
      </c>
      <c r="S101" s="55">
        <f t="shared" si="23"/>
        <v>184355.24690143892</v>
      </c>
      <c r="T101" s="55">
        <f t="shared" si="24"/>
        <v>33353260.200863797</v>
      </c>
      <c r="U101" s="104">
        <f t="shared" si="25"/>
        <v>52271.539119277062</v>
      </c>
      <c r="V101" s="55">
        <f t="shared" si="26"/>
        <v>132083.70778216186</v>
      </c>
      <c r="W101" s="55">
        <f t="shared" si="27"/>
        <v>33300988.66174452</v>
      </c>
    </row>
    <row r="102" spans="13:23" x14ac:dyDescent="0.3">
      <c r="M102" s="52">
        <v>46426</v>
      </c>
      <c r="N102" s="53">
        <v>2.6881200000000001E-2</v>
      </c>
      <c r="Q102" s="27">
        <f t="shared" si="21"/>
        <v>46418</v>
      </c>
      <c r="R102" s="55">
        <f t="shared" si="22"/>
        <v>97</v>
      </c>
      <c r="S102" s="55">
        <f t="shared" si="23"/>
        <v>184355.24690143892</v>
      </c>
      <c r="T102" s="55">
        <f t="shared" si="24"/>
        <v>33300988.66174452</v>
      </c>
      <c r="U102" s="104">
        <f t="shared" si="25"/>
        <v>52478.541932698456</v>
      </c>
      <c r="V102" s="55">
        <f t="shared" si="26"/>
        <v>131876.70496874047</v>
      </c>
      <c r="W102" s="55">
        <f t="shared" si="27"/>
        <v>33248510.119811822</v>
      </c>
    </row>
    <row r="103" spans="13:23" x14ac:dyDescent="0.3">
      <c r="M103" s="52">
        <v>46454</v>
      </c>
      <c r="N103" s="53">
        <v>2.6942899999999999E-2</v>
      </c>
      <c r="Q103" s="27">
        <f t="shared" si="21"/>
        <v>46446</v>
      </c>
      <c r="R103" s="55">
        <f t="shared" si="22"/>
        <v>98</v>
      </c>
      <c r="S103" s="55">
        <f t="shared" si="23"/>
        <v>184355.24690143892</v>
      </c>
      <c r="T103" s="55">
        <f t="shared" si="24"/>
        <v>33248510.119811822</v>
      </c>
      <c r="U103" s="104">
        <f t="shared" si="25"/>
        <v>65428.51441617118</v>
      </c>
      <c r="V103" s="55">
        <f t="shared" si="26"/>
        <v>118926.73248526774</v>
      </c>
      <c r="W103" s="55">
        <f t="shared" si="27"/>
        <v>33183081.605395652</v>
      </c>
    </row>
    <row r="104" spans="13:23" x14ac:dyDescent="0.3">
      <c r="M104" s="52">
        <v>46484</v>
      </c>
      <c r="N104" s="53">
        <v>2.7009700000000001E-2</v>
      </c>
      <c r="Q104" s="27">
        <f t="shared" si="21"/>
        <v>46477</v>
      </c>
      <c r="R104" s="55">
        <f t="shared" si="22"/>
        <v>99</v>
      </c>
      <c r="S104" s="55">
        <f t="shared" si="23"/>
        <v>184355.24690143892</v>
      </c>
      <c r="T104" s="55">
        <f t="shared" si="24"/>
        <v>33183081.605395652</v>
      </c>
      <c r="U104" s="104">
        <f t="shared" si="25"/>
        <v>52945.470835074084</v>
      </c>
      <c r="V104" s="55">
        <f t="shared" si="26"/>
        <v>131409.77606636484</v>
      </c>
      <c r="W104" s="55">
        <f t="shared" si="27"/>
        <v>33130136.134560578</v>
      </c>
    </row>
    <row r="105" spans="13:23" x14ac:dyDescent="0.3">
      <c r="M105" s="52">
        <v>46514</v>
      </c>
      <c r="N105" s="53">
        <v>2.7081999999999998E-2</v>
      </c>
      <c r="Q105" s="27">
        <f t="shared" si="21"/>
        <v>46507</v>
      </c>
      <c r="R105" s="55">
        <f t="shared" si="22"/>
        <v>100</v>
      </c>
      <c r="S105" s="55">
        <f t="shared" si="23"/>
        <v>184355.24690143892</v>
      </c>
      <c r="T105" s="55">
        <f t="shared" si="24"/>
        <v>33130136.134560578</v>
      </c>
      <c r="U105" s="104">
        <f t="shared" si="25"/>
        <v>57387.403946845225</v>
      </c>
      <c r="V105" s="55">
        <f t="shared" si="26"/>
        <v>126967.8429545937</v>
      </c>
      <c r="W105" s="55">
        <f t="shared" si="27"/>
        <v>33072748.730613731</v>
      </c>
    </row>
    <row r="106" spans="13:23" x14ac:dyDescent="0.3">
      <c r="M106" s="52">
        <v>46545</v>
      </c>
      <c r="N106" s="53">
        <v>2.71361E-2</v>
      </c>
      <c r="Q106" s="27">
        <f t="shared" si="21"/>
        <v>46538</v>
      </c>
      <c r="R106" s="55">
        <f t="shared" si="22"/>
        <v>101</v>
      </c>
      <c r="S106" s="55">
        <f t="shared" si="23"/>
        <v>184355.24690143892</v>
      </c>
      <c r="T106" s="55">
        <f t="shared" si="24"/>
        <v>33072748.730613731</v>
      </c>
      <c r="U106" s="104">
        <f t="shared" si="25"/>
        <v>53382.404889007565</v>
      </c>
      <c r="V106" s="55">
        <f t="shared" si="26"/>
        <v>130972.84201243136</v>
      </c>
      <c r="W106" s="55">
        <f t="shared" si="27"/>
        <v>33019366.325724725</v>
      </c>
    </row>
    <row r="107" spans="13:23" x14ac:dyDescent="0.3">
      <c r="M107" s="52">
        <v>46575</v>
      </c>
      <c r="N107" s="53">
        <v>2.71968E-2</v>
      </c>
      <c r="Q107" s="27">
        <f t="shared" si="21"/>
        <v>46568</v>
      </c>
      <c r="R107" s="55">
        <f t="shared" si="22"/>
        <v>102</v>
      </c>
      <c r="S107" s="55">
        <f t="shared" si="23"/>
        <v>184355.24690143892</v>
      </c>
      <c r="T107" s="55">
        <f t="shared" si="24"/>
        <v>33019366.325724725</v>
      </c>
      <c r="U107" s="104">
        <f t="shared" si="25"/>
        <v>57811.917858748828</v>
      </c>
      <c r="V107" s="55">
        <f t="shared" si="26"/>
        <v>126543.32904269009</v>
      </c>
      <c r="W107" s="55">
        <f t="shared" si="27"/>
        <v>32961554.407865975</v>
      </c>
    </row>
    <row r="108" spans="13:23" x14ac:dyDescent="0.3">
      <c r="M108" s="52">
        <v>46608</v>
      </c>
      <c r="N108" s="53">
        <v>2.7264799999999999E-2</v>
      </c>
      <c r="Q108" s="27">
        <f t="shared" si="21"/>
        <v>46599</v>
      </c>
      <c r="R108" s="55">
        <f t="shared" si="22"/>
        <v>103</v>
      </c>
      <c r="S108" s="55">
        <f t="shared" si="23"/>
        <v>184355.24690143892</v>
      </c>
      <c r="T108" s="55">
        <f t="shared" si="24"/>
        <v>32961554.407865975</v>
      </c>
      <c r="U108" s="104">
        <f t="shared" si="25"/>
        <v>53822.750400792633</v>
      </c>
      <c r="V108" s="55">
        <f t="shared" si="26"/>
        <v>130532.49650064629</v>
      </c>
      <c r="W108" s="55">
        <f t="shared" si="27"/>
        <v>32907731.657465182</v>
      </c>
    </row>
    <row r="109" spans="13:23" x14ac:dyDescent="0.3">
      <c r="M109" s="52">
        <v>46637</v>
      </c>
      <c r="N109" s="53">
        <v>2.7314499999999999E-2</v>
      </c>
      <c r="Q109" s="27">
        <f t="shared" si="21"/>
        <v>46630</v>
      </c>
      <c r="R109" s="55">
        <f t="shared" si="22"/>
        <v>104</v>
      </c>
      <c r="S109" s="55">
        <f t="shared" si="23"/>
        <v>184355.24690143892</v>
      </c>
      <c r="T109" s="55">
        <f t="shared" si="24"/>
        <v>32907731.657465182</v>
      </c>
      <c r="U109" s="104">
        <f t="shared" si="25"/>
        <v>54035.896234008251</v>
      </c>
      <c r="V109" s="55">
        <f t="shared" si="26"/>
        <v>130319.35066743067</v>
      </c>
      <c r="W109" s="55">
        <f t="shared" si="27"/>
        <v>32853695.761231173</v>
      </c>
    </row>
    <row r="110" spans="13:23" x14ac:dyDescent="0.3">
      <c r="M110" s="52">
        <v>46667</v>
      </c>
      <c r="N110" s="53">
        <v>2.73703E-2</v>
      </c>
      <c r="Q110" s="27">
        <f t="shared" si="21"/>
        <v>46660</v>
      </c>
      <c r="R110" s="55">
        <f t="shared" si="22"/>
        <v>105</v>
      </c>
      <c r="S110" s="55">
        <f t="shared" si="23"/>
        <v>184355.24690143892</v>
      </c>
      <c r="T110" s="55">
        <f t="shared" si="24"/>
        <v>32853695.761231173</v>
      </c>
      <c r="U110" s="104">
        <f t="shared" si="25"/>
        <v>58446.833276221936</v>
      </c>
      <c r="V110" s="55">
        <f t="shared" si="26"/>
        <v>125908.41362521698</v>
      </c>
      <c r="W110" s="55">
        <f t="shared" si="27"/>
        <v>32795248.927954949</v>
      </c>
    </row>
    <row r="111" spans="13:23" x14ac:dyDescent="0.3">
      <c r="M111" s="52">
        <v>46699</v>
      </c>
      <c r="N111" s="53">
        <v>2.7432399999999999E-2</v>
      </c>
      <c r="Q111" s="27">
        <f t="shared" si="21"/>
        <v>46691</v>
      </c>
      <c r="R111" s="55">
        <f t="shared" si="22"/>
        <v>106</v>
      </c>
      <c r="S111" s="55">
        <f t="shared" si="23"/>
        <v>184355.24690143892</v>
      </c>
      <c r="T111" s="55">
        <f t="shared" si="24"/>
        <v>32795248.927954949</v>
      </c>
      <c r="U111" s="104">
        <f t="shared" si="25"/>
        <v>54481.344021891506</v>
      </c>
      <c r="V111" s="55">
        <f t="shared" si="26"/>
        <v>129873.90287954742</v>
      </c>
      <c r="W111" s="55">
        <f t="shared" si="27"/>
        <v>32740767.583933059</v>
      </c>
    </row>
    <row r="112" spans="13:23" x14ac:dyDescent="0.3">
      <c r="M112" s="52">
        <v>46728</v>
      </c>
      <c r="N112" s="53">
        <v>2.7476E-2</v>
      </c>
      <c r="Q112" s="27">
        <f t="shared" si="21"/>
        <v>46721</v>
      </c>
      <c r="R112" s="55">
        <f t="shared" si="22"/>
        <v>107</v>
      </c>
      <c r="S112" s="55">
        <f t="shared" si="23"/>
        <v>184355.24690143892</v>
      </c>
      <c r="T112" s="55">
        <f t="shared" si="24"/>
        <v>32740767.583933059</v>
      </c>
      <c r="U112" s="104">
        <f t="shared" si="25"/>
        <v>58879.618913506973</v>
      </c>
      <c r="V112" s="55">
        <f t="shared" si="26"/>
        <v>125475.62798793195</v>
      </c>
      <c r="W112" s="55">
        <f t="shared" si="27"/>
        <v>32681887.965019554</v>
      </c>
    </row>
    <row r="113" spans="13:23" x14ac:dyDescent="0.3">
      <c r="M113" s="52">
        <v>46759</v>
      </c>
      <c r="N113" s="53">
        <v>2.7525399999999998E-2</v>
      </c>
      <c r="Q113" s="27">
        <f t="shared" si="21"/>
        <v>46752</v>
      </c>
      <c r="R113" s="55">
        <f t="shared" si="22"/>
        <v>108</v>
      </c>
      <c r="S113" s="55">
        <f t="shared" si="23"/>
        <v>184355.24690143892</v>
      </c>
      <c r="T113" s="55">
        <f t="shared" si="24"/>
        <v>32681887.965019554</v>
      </c>
      <c r="U113" s="104">
        <f t="shared" si="25"/>
        <v>54930.269740459669</v>
      </c>
      <c r="V113" s="55">
        <f t="shared" si="26"/>
        <v>129424.97716097925</v>
      </c>
      <c r="W113" s="55">
        <f t="shared" si="27"/>
        <v>32626957.695279095</v>
      </c>
    </row>
    <row r="114" spans="13:23" x14ac:dyDescent="0.3">
      <c r="M114" s="52">
        <v>46790</v>
      </c>
      <c r="N114" s="53">
        <v>2.7580400000000001E-2</v>
      </c>
      <c r="Q114" s="27">
        <f t="shared" si="21"/>
        <v>46783</v>
      </c>
      <c r="R114" s="55">
        <f t="shared" si="22"/>
        <v>109</v>
      </c>
      <c r="S114" s="55">
        <f t="shared" si="23"/>
        <v>184355.24690143892</v>
      </c>
      <c r="T114" s="55">
        <f t="shared" si="24"/>
        <v>32626957.695279095</v>
      </c>
      <c r="U114" s="104">
        <f t="shared" si="25"/>
        <v>55147.80150956109</v>
      </c>
      <c r="V114" s="55">
        <f t="shared" si="26"/>
        <v>129207.44539187783</v>
      </c>
      <c r="W114" s="55">
        <f t="shared" si="27"/>
        <v>32571809.893769532</v>
      </c>
    </row>
    <row r="115" spans="13:23" x14ac:dyDescent="0.3">
      <c r="M115" s="52">
        <v>46819</v>
      </c>
      <c r="N115" s="53">
        <v>2.76163E-2</v>
      </c>
      <c r="Q115" s="27">
        <f t="shared" si="21"/>
        <v>46812</v>
      </c>
      <c r="R115" s="55">
        <f t="shared" si="22"/>
        <v>110</v>
      </c>
      <c r="S115" s="55">
        <f t="shared" si="23"/>
        <v>184355.24690143892</v>
      </c>
      <c r="T115" s="55">
        <f t="shared" si="24"/>
        <v>32571809.893769532</v>
      </c>
      <c r="U115" s="104">
        <f t="shared" si="25"/>
        <v>63688.06906902678</v>
      </c>
      <c r="V115" s="55">
        <f t="shared" si="26"/>
        <v>120667.17783241214</v>
      </c>
      <c r="W115" s="55">
        <f t="shared" si="27"/>
        <v>32508121.824700505</v>
      </c>
    </row>
    <row r="116" spans="13:23" x14ac:dyDescent="0.3">
      <c r="M116" s="52">
        <v>46850</v>
      </c>
      <c r="N116" s="53">
        <v>2.7657600000000001E-2</v>
      </c>
      <c r="Q116" s="27">
        <f t="shared" si="21"/>
        <v>46843</v>
      </c>
      <c r="R116" s="55">
        <f t="shared" si="22"/>
        <v>111</v>
      </c>
      <c r="S116" s="55">
        <f t="shared" si="23"/>
        <v>184355.24690143892</v>
      </c>
      <c r="T116" s="55">
        <f t="shared" si="24"/>
        <v>32508121.824700505</v>
      </c>
      <c r="U116" s="104">
        <f t="shared" si="25"/>
        <v>55618.408649883015</v>
      </c>
      <c r="V116" s="55">
        <f t="shared" si="26"/>
        <v>128736.83825155591</v>
      </c>
      <c r="W116" s="55">
        <f t="shared" si="27"/>
        <v>32452503.41605062</v>
      </c>
    </row>
    <row r="117" spans="13:23" x14ac:dyDescent="0.3">
      <c r="M117" s="52">
        <v>46881</v>
      </c>
      <c r="N117" s="53">
        <v>2.7703999999999999E-2</v>
      </c>
      <c r="Q117" s="27">
        <f t="shared" si="21"/>
        <v>46873</v>
      </c>
      <c r="R117" s="55">
        <f t="shared" si="22"/>
        <v>112</v>
      </c>
      <c r="S117" s="55">
        <f t="shared" si="23"/>
        <v>184355.24690143892</v>
      </c>
      <c r="T117" s="55">
        <f t="shared" si="24"/>
        <v>32452503.41605062</v>
      </c>
      <c r="U117" s="104">
        <f t="shared" si="25"/>
        <v>59984.361720734785</v>
      </c>
      <c r="V117" s="55">
        <f t="shared" si="26"/>
        <v>124370.88518070414</v>
      </c>
      <c r="W117" s="55">
        <f t="shared" si="27"/>
        <v>32392519.054329887</v>
      </c>
    </row>
    <row r="118" spans="13:23" x14ac:dyDescent="0.3">
      <c r="M118" s="52">
        <v>46911</v>
      </c>
      <c r="N118" s="53">
        <v>2.7731100000000002E-2</v>
      </c>
      <c r="Q118" s="27">
        <f t="shared" si="21"/>
        <v>46904</v>
      </c>
      <c r="R118" s="55">
        <f t="shared" si="22"/>
        <v>113</v>
      </c>
      <c r="S118" s="55">
        <f t="shared" si="23"/>
        <v>184355.24690143892</v>
      </c>
      <c r="T118" s="55">
        <f t="shared" si="24"/>
        <v>32392519.054329887</v>
      </c>
      <c r="U118" s="104">
        <f t="shared" si="25"/>
        <v>56076.21224834639</v>
      </c>
      <c r="V118" s="55">
        <f t="shared" si="26"/>
        <v>128279.03465309253</v>
      </c>
      <c r="W118" s="55">
        <f t="shared" si="27"/>
        <v>32336442.842081539</v>
      </c>
    </row>
    <row r="119" spans="13:23" x14ac:dyDescent="0.3">
      <c r="M119" s="52">
        <v>46941</v>
      </c>
      <c r="N119" s="53">
        <v>2.7762599999999998E-2</v>
      </c>
      <c r="Q119" s="27">
        <f t="shared" si="21"/>
        <v>46934</v>
      </c>
      <c r="R119" s="55">
        <f t="shared" si="22"/>
        <v>114</v>
      </c>
      <c r="S119" s="55">
        <f t="shared" si="23"/>
        <v>184355.24690143892</v>
      </c>
      <c r="T119" s="55">
        <f t="shared" si="24"/>
        <v>32336442.842081539</v>
      </c>
      <c r="U119" s="104">
        <f t="shared" si="25"/>
        <v>60429.151946439713</v>
      </c>
      <c r="V119" s="55">
        <f t="shared" si="26"/>
        <v>123926.09495499921</v>
      </c>
      <c r="W119" s="55">
        <f t="shared" si="27"/>
        <v>32276013.690135099</v>
      </c>
    </row>
    <row r="120" spans="13:23" x14ac:dyDescent="0.3">
      <c r="M120" s="52">
        <v>46972</v>
      </c>
      <c r="N120" s="53">
        <v>2.7798400000000001E-2</v>
      </c>
      <c r="Q120" s="27">
        <f t="shared" si="21"/>
        <v>46965</v>
      </c>
      <c r="R120" s="55">
        <f t="shared" si="22"/>
        <v>115</v>
      </c>
      <c r="S120" s="55">
        <f t="shared" si="23"/>
        <v>184355.24690143892</v>
      </c>
      <c r="T120" s="55">
        <f t="shared" si="24"/>
        <v>32276013.690135099</v>
      </c>
      <c r="U120" s="104">
        <f t="shared" si="25"/>
        <v>56537.590248178632</v>
      </c>
      <c r="V120" s="55">
        <f t="shared" si="26"/>
        <v>127817.65665326029</v>
      </c>
      <c r="W120" s="55">
        <f t="shared" si="27"/>
        <v>32219476.09988692</v>
      </c>
    </row>
    <row r="121" spans="13:23" x14ac:dyDescent="0.3">
      <c r="M121" s="52">
        <v>47003</v>
      </c>
      <c r="N121" s="53">
        <v>2.7814599999999998E-2</v>
      </c>
      <c r="Q121" s="27">
        <f t="shared" si="21"/>
        <v>46996</v>
      </c>
      <c r="R121" s="55">
        <f t="shared" si="22"/>
        <v>116</v>
      </c>
      <c r="S121" s="55">
        <f t="shared" si="23"/>
        <v>184355.24690143892</v>
      </c>
      <c r="T121" s="55">
        <f t="shared" si="24"/>
        <v>32219476.09988692</v>
      </c>
      <c r="U121" s="104">
        <f t="shared" si="25"/>
        <v>56761.487237680558</v>
      </c>
      <c r="V121" s="55">
        <f t="shared" si="26"/>
        <v>127593.75966375836</v>
      </c>
      <c r="W121" s="55">
        <f t="shared" si="27"/>
        <v>32162714.61264924</v>
      </c>
    </row>
    <row r="122" spans="13:23" x14ac:dyDescent="0.3">
      <c r="M122" s="52">
        <v>47035</v>
      </c>
      <c r="N122" s="53">
        <v>2.78347E-2</v>
      </c>
      <c r="Q122" s="27">
        <f t="shared" si="21"/>
        <v>47026</v>
      </c>
      <c r="R122" s="55">
        <f t="shared" si="22"/>
        <v>117</v>
      </c>
      <c r="S122" s="55">
        <f t="shared" si="23"/>
        <v>184355.24690143892</v>
      </c>
      <c r="T122" s="55">
        <f t="shared" si="24"/>
        <v>32162714.61264924</v>
      </c>
      <c r="U122" s="104">
        <f t="shared" si="25"/>
        <v>61094.947536948312</v>
      </c>
      <c r="V122" s="55">
        <f t="shared" si="26"/>
        <v>123260.29936449061</v>
      </c>
      <c r="W122" s="55">
        <f t="shared" si="27"/>
        <v>32101619.665112291</v>
      </c>
    </row>
    <row r="123" spans="13:23" x14ac:dyDescent="0.3">
      <c r="M123" s="52">
        <v>47064</v>
      </c>
      <c r="N123" s="53">
        <v>2.78576E-2</v>
      </c>
      <c r="Q123" s="27">
        <f t="shared" si="21"/>
        <v>47057</v>
      </c>
      <c r="R123" s="55">
        <f t="shared" si="22"/>
        <v>118</v>
      </c>
      <c r="S123" s="55">
        <f t="shared" si="23"/>
        <v>184355.24690143892</v>
      </c>
      <c r="T123" s="55">
        <f t="shared" si="24"/>
        <v>32101619.665112291</v>
      </c>
      <c r="U123" s="104">
        <f t="shared" si="25"/>
        <v>57228.215671341037</v>
      </c>
      <c r="V123" s="55">
        <f t="shared" si="26"/>
        <v>127127.03123009788</v>
      </c>
      <c r="W123" s="55">
        <f t="shared" si="27"/>
        <v>32044391.449440949</v>
      </c>
    </row>
    <row r="124" spans="13:23" x14ac:dyDescent="0.3">
      <c r="M124" s="52">
        <v>47094</v>
      </c>
      <c r="N124" s="53">
        <v>2.7859700000000001E-2</v>
      </c>
      <c r="Q124" s="27">
        <f t="shared" si="21"/>
        <v>47087</v>
      </c>
      <c r="R124" s="55">
        <f t="shared" si="22"/>
        <v>119</v>
      </c>
      <c r="S124" s="55">
        <f t="shared" si="23"/>
        <v>184355.24690143892</v>
      </c>
      <c r="T124" s="55">
        <f t="shared" si="24"/>
        <v>32044391.449440949</v>
      </c>
      <c r="U124" s="104">
        <f t="shared" si="25"/>
        <v>61548.408903454721</v>
      </c>
      <c r="V124" s="55">
        <f t="shared" si="26"/>
        <v>122806.8379979842</v>
      </c>
      <c r="W124" s="55">
        <f t="shared" si="27"/>
        <v>31982843.040537495</v>
      </c>
    </row>
    <row r="125" spans="13:23" x14ac:dyDescent="0.3">
      <c r="M125" s="52">
        <v>47126</v>
      </c>
      <c r="N125" s="53">
        <v>2.7867400000000001E-2</v>
      </c>
      <c r="Q125" s="27">
        <f t="shared" si="21"/>
        <v>47118</v>
      </c>
      <c r="R125" s="55">
        <f t="shared" si="22"/>
        <v>120</v>
      </c>
      <c r="S125" s="55">
        <f t="shared" si="23"/>
        <v>184355.24690143892</v>
      </c>
      <c r="T125" s="55">
        <f t="shared" si="24"/>
        <v>31982843.040537495</v>
      </c>
      <c r="U125" s="104">
        <f t="shared" si="25"/>
        <v>57698.588188966256</v>
      </c>
      <c r="V125" s="55">
        <f t="shared" si="26"/>
        <v>126656.65871247266</v>
      </c>
      <c r="W125" s="55">
        <f t="shared" si="27"/>
        <v>31925144.45234853</v>
      </c>
    </row>
    <row r="126" spans="13:23" x14ac:dyDescent="0.3">
      <c r="Q126" s="27">
        <f t="shared" ref="Q126:Q189" si="28">EOMONTH(Q125,1)</f>
        <v>47149</v>
      </c>
      <c r="R126" s="55">
        <f t="shared" ref="R126:R189" si="29">++R125+1</f>
        <v>121</v>
      </c>
      <c r="S126" s="55">
        <f t="shared" ref="S126:S189" si="30">S125</f>
        <v>184355.24690143892</v>
      </c>
      <c r="T126" s="55">
        <f t="shared" ref="T126:T189" si="31">W125</f>
        <v>31925144.45234853</v>
      </c>
      <c r="U126" s="104">
        <f t="shared" ref="U126:U189" si="32">(S126-V126)*(R126&gt;$J$26)</f>
        <v>57927.082897306565</v>
      </c>
      <c r="V126" s="55">
        <f t="shared" ref="V126:V189" si="33">$J$25*T126*((Q126-Q125)/365)</f>
        <v>126428.16400413236</v>
      </c>
      <c r="W126" s="55">
        <f t="shared" ref="W126:W189" si="34">T126-U126</f>
        <v>31867217.369451225</v>
      </c>
    </row>
    <row r="127" spans="13:23" x14ac:dyDescent="0.3">
      <c r="Q127" s="27">
        <f t="shared" si="28"/>
        <v>47177</v>
      </c>
      <c r="R127" s="55">
        <f t="shared" si="29"/>
        <v>122</v>
      </c>
      <c r="S127" s="55">
        <f t="shared" si="30"/>
        <v>184355.24690143892</v>
      </c>
      <c r="T127" s="55">
        <f t="shared" si="31"/>
        <v>31867217.369451225</v>
      </c>
      <c r="U127" s="104">
        <f t="shared" si="32"/>
        <v>70369.266131481549</v>
      </c>
      <c r="V127" s="55">
        <f t="shared" si="33"/>
        <v>113985.98076995737</v>
      </c>
      <c r="W127" s="55">
        <f t="shared" si="34"/>
        <v>31796848.103319742</v>
      </c>
    </row>
    <row r="128" spans="13:23" x14ac:dyDescent="0.3">
      <c r="Q128" s="27">
        <f t="shared" si="28"/>
        <v>47208</v>
      </c>
      <c r="R128" s="55">
        <f t="shared" si="29"/>
        <v>123</v>
      </c>
      <c r="S128" s="55">
        <f t="shared" si="30"/>
        <v>184355.24690143892</v>
      </c>
      <c r="T128" s="55">
        <f t="shared" si="31"/>
        <v>31796848.103319742</v>
      </c>
      <c r="U128" s="104">
        <f t="shared" si="32"/>
        <v>58435.154893045008</v>
      </c>
      <c r="V128" s="55">
        <f t="shared" si="33"/>
        <v>125920.09200839391</v>
      </c>
      <c r="W128" s="55">
        <f t="shared" si="34"/>
        <v>31738412.948426697</v>
      </c>
    </row>
    <row r="129" spans="17:23" x14ac:dyDescent="0.3">
      <c r="Q129" s="27">
        <f t="shared" si="28"/>
        <v>47238</v>
      </c>
      <c r="R129" s="55">
        <f t="shared" si="29"/>
        <v>124</v>
      </c>
      <c r="S129" s="55">
        <f t="shared" si="30"/>
        <v>184355.24690143892</v>
      </c>
      <c r="T129" s="55">
        <f t="shared" si="31"/>
        <v>31738412.948426697</v>
      </c>
      <c r="U129" s="104">
        <f t="shared" si="32"/>
        <v>62721.040072444477</v>
      </c>
      <c r="V129" s="55">
        <f t="shared" si="33"/>
        <v>121634.20682899444</v>
      </c>
      <c r="W129" s="55">
        <f t="shared" si="34"/>
        <v>31675691.908354253</v>
      </c>
    </row>
    <row r="130" spans="17:23" x14ac:dyDescent="0.3">
      <c r="Q130" s="27">
        <f t="shared" si="28"/>
        <v>47269</v>
      </c>
      <c r="R130" s="55">
        <f t="shared" si="29"/>
        <v>125</v>
      </c>
      <c r="S130" s="55">
        <f t="shared" si="30"/>
        <v>184355.24690143892</v>
      </c>
      <c r="T130" s="55">
        <f t="shared" si="31"/>
        <v>31675691.908354253</v>
      </c>
      <c r="U130" s="104">
        <f t="shared" si="32"/>
        <v>58914.950851684334</v>
      </c>
      <c r="V130" s="55">
        <f t="shared" si="33"/>
        <v>125440.29604975459</v>
      </c>
      <c r="W130" s="55">
        <f t="shared" si="34"/>
        <v>31616776.95750257</v>
      </c>
    </row>
    <row r="131" spans="17:23" x14ac:dyDescent="0.3">
      <c r="Q131" s="27">
        <f t="shared" si="28"/>
        <v>47299</v>
      </c>
      <c r="R131" s="55">
        <f t="shared" si="29"/>
        <v>126</v>
      </c>
      <c r="S131" s="55">
        <f t="shared" si="30"/>
        <v>184355.24690143892</v>
      </c>
      <c r="T131" s="55">
        <f t="shared" si="31"/>
        <v>31616776.95750257</v>
      </c>
      <c r="U131" s="104">
        <f t="shared" si="32"/>
        <v>63187.19751081281</v>
      </c>
      <c r="V131" s="55">
        <f t="shared" si="33"/>
        <v>121168.04939062611</v>
      </c>
      <c r="W131" s="55">
        <f t="shared" si="34"/>
        <v>31553589.759991758</v>
      </c>
    </row>
    <row r="132" spans="17:23" x14ac:dyDescent="0.3">
      <c r="Q132" s="27">
        <f t="shared" si="28"/>
        <v>47330</v>
      </c>
      <c r="R132" s="55">
        <f t="shared" si="29"/>
        <v>127</v>
      </c>
      <c r="S132" s="55">
        <f t="shared" si="30"/>
        <v>184355.24690143892</v>
      </c>
      <c r="T132" s="55">
        <f t="shared" si="31"/>
        <v>31553589.759991758</v>
      </c>
      <c r="U132" s="104">
        <f t="shared" si="32"/>
        <v>59398.492921837591</v>
      </c>
      <c r="V132" s="55">
        <f t="shared" si="33"/>
        <v>124956.75397960133</v>
      </c>
      <c r="W132" s="55">
        <f t="shared" si="34"/>
        <v>31494191.267069921</v>
      </c>
    </row>
    <row r="133" spans="17:23" x14ac:dyDescent="0.3">
      <c r="Q133" s="27">
        <f t="shared" si="28"/>
        <v>47361</v>
      </c>
      <c r="R133" s="55">
        <f t="shared" si="29"/>
        <v>128</v>
      </c>
      <c r="S133" s="55">
        <f t="shared" si="30"/>
        <v>184355.24690143892</v>
      </c>
      <c r="T133" s="55">
        <f t="shared" si="31"/>
        <v>31494191.267069921</v>
      </c>
      <c r="U133" s="104">
        <f t="shared" si="32"/>
        <v>59633.719497426908</v>
      </c>
      <c r="V133" s="55">
        <f t="shared" si="33"/>
        <v>124721.52740401201</v>
      </c>
      <c r="W133" s="55">
        <f t="shared" si="34"/>
        <v>31434557.547572494</v>
      </c>
    </row>
    <row r="134" spans="17:23" x14ac:dyDescent="0.3">
      <c r="Q134" s="27">
        <f t="shared" si="28"/>
        <v>47391</v>
      </c>
      <c r="R134" s="55">
        <f t="shared" si="29"/>
        <v>129</v>
      </c>
      <c r="S134" s="55">
        <f t="shared" si="30"/>
        <v>184355.24690143892</v>
      </c>
      <c r="T134" s="55">
        <f t="shared" si="31"/>
        <v>31434557.547572494</v>
      </c>
      <c r="U134" s="104">
        <f t="shared" si="32"/>
        <v>63885.534678197582</v>
      </c>
      <c r="V134" s="55">
        <f t="shared" si="33"/>
        <v>120469.71222324134</v>
      </c>
      <c r="W134" s="55">
        <f t="shared" si="34"/>
        <v>31370672.012894295</v>
      </c>
    </row>
    <row r="135" spans="17:23" x14ac:dyDescent="0.3">
      <c r="Q135" s="27">
        <f t="shared" si="28"/>
        <v>47422</v>
      </c>
      <c r="R135" s="55">
        <f t="shared" si="29"/>
        <v>130</v>
      </c>
      <c r="S135" s="55">
        <f t="shared" si="30"/>
        <v>184355.24690143892</v>
      </c>
      <c r="T135" s="55">
        <f t="shared" si="31"/>
        <v>31370672.012894295</v>
      </c>
      <c r="U135" s="104">
        <f t="shared" si="32"/>
        <v>60122.873510430451</v>
      </c>
      <c r="V135" s="55">
        <f t="shared" si="33"/>
        <v>124232.37339100847</v>
      </c>
      <c r="W135" s="55">
        <f t="shared" si="34"/>
        <v>31310549.139383864</v>
      </c>
    </row>
    <row r="136" spans="17:23" x14ac:dyDescent="0.3">
      <c r="Q136" s="27">
        <f t="shared" si="28"/>
        <v>47452</v>
      </c>
      <c r="R136" s="55">
        <f t="shared" si="29"/>
        <v>131</v>
      </c>
      <c r="S136" s="55">
        <f t="shared" si="30"/>
        <v>184355.24690143892</v>
      </c>
      <c r="T136" s="55">
        <f t="shared" si="31"/>
        <v>31310549.139383864</v>
      </c>
      <c r="U136" s="104">
        <f t="shared" si="32"/>
        <v>64360.784161990596</v>
      </c>
      <c r="V136" s="55">
        <f t="shared" si="33"/>
        <v>119994.46273944833</v>
      </c>
      <c r="W136" s="55">
        <f t="shared" si="34"/>
        <v>31246188.355221871</v>
      </c>
    </row>
    <row r="137" spans="17:23" x14ac:dyDescent="0.3">
      <c r="Q137" s="27">
        <f t="shared" si="28"/>
        <v>47483</v>
      </c>
      <c r="R137" s="55">
        <f t="shared" si="29"/>
        <v>132</v>
      </c>
      <c r="S137" s="55">
        <f t="shared" si="30"/>
        <v>184355.24690143892</v>
      </c>
      <c r="T137" s="55">
        <f t="shared" si="31"/>
        <v>31246188.355221871</v>
      </c>
      <c r="U137" s="104">
        <f t="shared" si="32"/>
        <v>60615.846699996895</v>
      </c>
      <c r="V137" s="55">
        <f t="shared" si="33"/>
        <v>123739.40020144203</v>
      </c>
      <c r="W137" s="55">
        <f t="shared" si="34"/>
        <v>31185572.508521874</v>
      </c>
    </row>
    <row r="138" spans="17:23" x14ac:dyDescent="0.3">
      <c r="Q138" s="27">
        <f t="shared" si="28"/>
        <v>47514</v>
      </c>
      <c r="R138" s="55">
        <f t="shared" si="29"/>
        <v>133</v>
      </c>
      <c r="S138" s="55">
        <f t="shared" si="30"/>
        <v>184355.24690143892</v>
      </c>
      <c r="T138" s="55">
        <f t="shared" si="31"/>
        <v>31185572.508521874</v>
      </c>
      <c r="U138" s="104">
        <f t="shared" si="32"/>
        <v>60855.894171646563</v>
      </c>
      <c r="V138" s="55">
        <f t="shared" si="33"/>
        <v>123499.35272979236</v>
      </c>
      <c r="W138" s="55">
        <f t="shared" si="34"/>
        <v>31124716.614350226</v>
      </c>
    </row>
    <row r="139" spans="17:23" x14ac:dyDescent="0.3">
      <c r="Q139" s="27">
        <f t="shared" si="28"/>
        <v>47542</v>
      </c>
      <c r="R139" s="55">
        <f t="shared" si="29"/>
        <v>134</v>
      </c>
      <c r="S139" s="55">
        <f t="shared" si="30"/>
        <v>184355.24690143892</v>
      </c>
      <c r="T139" s="55">
        <f t="shared" si="31"/>
        <v>31124716.614350226</v>
      </c>
      <c r="U139" s="104">
        <f t="shared" si="32"/>
        <v>73025.120133775272</v>
      </c>
      <c r="V139" s="55">
        <f t="shared" si="33"/>
        <v>111330.12676766365</v>
      </c>
      <c r="W139" s="55">
        <f t="shared" si="34"/>
        <v>31051691.49421645</v>
      </c>
    </row>
    <row r="140" spans="17:23" x14ac:dyDescent="0.3">
      <c r="Q140" s="27">
        <f t="shared" si="28"/>
        <v>47573</v>
      </c>
      <c r="R140" s="55">
        <f t="shared" si="29"/>
        <v>135</v>
      </c>
      <c r="S140" s="55">
        <f t="shared" si="30"/>
        <v>184355.24690143892</v>
      </c>
      <c r="T140" s="55">
        <f t="shared" si="31"/>
        <v>31051691.49421645</v>
      </c>
      <c r="U140" s="104">
        <f t="shared" si="32"/>
        <v>61386.082245154263</v>
      </c>
      <c r="V140" s="55">
        <f t="shared" si="33"/>
        <v>122969.16465628466</v>
      </c>
      <c r="W140" s="55">
        <f t="shared" si="34"/>
        <v>30990305.411971297</v>
      </c>
    </row>
    <row r="141" spans="17:23" x14ac:dyDescent="0.3">
      <c r="Q141" s="27">
        <f t="shared" si="28"/>
        <v>47603</v>
      </c>
      <c r="R141" s="55">
        <f t="shared" si="29"/>
        <v>136</v>
      </c>
      <c r="S141" s="55">
        <f t="shared" si="30"/>
        <v>184355.24690143892</v>
      </c>
      <c r="T141" s="55">
        <f t="shared" si="31"/>
        <v>30990305.411971297</v>
      </c>
      <c r="U141" s="104">
        <f t="shared" si="32"/>
        <v>65588.085345546453</v>
      </c>
      <c r="V141" s="55">
        <f t="shared" si="33"/>
        <v>118767.16155589247</v>
      </c>
      <c r="W141" s="55">
        <f t="shared" si="34"/>
        <v>30924717.326625749</v>
      </c>
    </row>
    <row r="142" spans="17:23" x14ac:dyDescent="0.3">
      <c r="Q142" s="27">
        <f t="shared" si="28"/>
        <v>47634</v>
      </c>
      <c r="R142" s="55">
        <f t="shared" si="29"/>
        <v>137</v>
      </c>
      <c r="S142" s="55">
        <f t="shared" si="30"/>
        <v>184355.24690143892</v>
      </c>
      <c r="T142" s="55">
        <f t="shared" si="31"/>
        <v>30924717.326625749</v>
      </c>
      <c r="U142" s="104">
        <f t="shared" si="32"/>
        <v>61888.918212221077</v>
      </c>
      <c r="V142" s="55">
        <f t="shared" si="33"/>
        <v>122466.32868921784</v>
      </c>
      <c r="W142" s="55">
        <f t="shared" si="34"/>
        <v>30862828.408413529</v>
      </c>
    </row>
    <row r="143" spans="17:23" x14ac:dyDescent="0.3">
      <c r="Q143" s="27">
        <f t="shared" si="28"/>
        <v>47664</v>
      </c>
      <c r="R143" s="55">
        <f t="shared" si="29"/>
        <v>138</v>
      </c>
      <c r="S143" s="55">
        <f t="shared" si="30"/>
        <v>184355.24690143892</v>
      </c>
      <c r="T143" s="55">
        <f t="shared" si="31"/>
        <v>30862828.408413529</v>
      </c>
      <c r="U143" s="104">
        <f t="shared" si="32"/>
        <v>66076.627864729177</v>
      </c>
      <c r="V143" s="55">
        <f t="shared" si="33"/>
        <v>118278.61903670974</v>
      </c>
      <c r="W143" s="55">
        <f t="shared" si="34"/>
        <v>30796751.7805488</v>
      </c>
    </row>
    <row r="144" spans="17:23" x14ac:dyDescent="0.3">
      <c r="Q144" s="27">
        <f t="shared" si="28"/>
        <v>47695</v>
      </c>
      <c r="R144" s="55">
        <f t="shared" si="29"/>
        <v>139</v>
      </c>
      <c r="S144" s="55">
        <f t="shared" si="30"/>
        <v>184355.24690143892</v>
      </c>
      <c r="T144" s="55">
        <f t="shared" si="31"/>
        <v>30796751.7805488</v>
      </c>
      <c r="U144" s="104">
        <f t="shared" si="32"/>
        <v>62395.680180689014</v>
      </c>
      <c r="V144" s="55">
        <f t="shared" si="33"/>
        <v>121959.56672074991</v>
      </c>
      <c r="W144" s="55">
        <f t="shared" si="34"/>
        <v>30734356.100368112</v>
      </c>
    </row>
    <row r="145" spans="17:23" x14ac:dyDescent="0.3">
      <c r="Q145" s="27">
        <f t="shared" si="28"/>
        <v>47726</v>
      </c>
      <c r="R145" s="55">
        <f t="shared" si="29"/>
        <v>140</v>
      </c>
      <c r="S145" s="55">
        <f t="shared" si="30"/>
        <v>184355.24690143892</v>
      </c>
      <c r="T145" s="55">
        <f t="shared" si="31"/>
        <v>30734356.100368112</v>
      </c>
      <c r="U145" s="104">
        <f t="shared" si="32"/>
        <v>62642.776048925662</v>
      </c>
      <c r="V145" s="55">
        <f t="shared" si="33"/>
        <v>121712.47085251326</v>
      </c>
      <c r="W145" s="55">
        <f t="shared" si="34"/>
        <v>30671713.324319188</v>
      </c>
    </row>
    <row r="146" spans="17:23" x14ac:dyDescent="0.3">
      <c r="Q146" s="27">
        <f t="shared" si="28"/>
        <v>47756</v>
      </c>
      <c r="R146" s="55">
        <f t="shared" si="29"/>
        <v>141</v>
      </c>
      <c r="S146" s="55">
        <f t="shared" si="30"/>
        <v>184355.24690143892</v>
      </c>
      <c r="T146" s="55">
        <f t="shared" si="31"/>
        <v>30671713.324319188</v>
      </c>
      <c r="U146" s="104">
        <f t="shared" si="32"/>
        <v>66809.056789409369</v>
      </c>
      <c r="V146" s="55">
        <f t="shared" si="33"/>
        <v>117546.19011202955</v>
      </c>
      <c r="W146" s="55">
        <f t="shared" si="34"/>
        <v>30604904.267529778</v>
      </c>
    </row>
    <row r="147" spans="17:23" x14ac:dyDescent="0.3">
      <c r="Q147" s="27">
        <f t="shared" si="28"/>
        <v>47787</v>
      </c>
      <c r="R147" s="55">
        <f t="shared" si="29"/>
        <v>142</v>
      </c>
      <c r="S147" s="55">
        <f t="shared" si="30"/>
        <v>184355.24690143892</v>
      </c>
      <c r="T147" s="55">
        <f t="shared" si="31"/>
        <v>30604904.267529778</v>
      </c>
      <c r="U147" s="104">
        <f t="shared" si="32"/>
        <v>63155.42392674963</v>
      </c>
      <c r="V147" s="55">
        <f t="shared" si="33"/>
        <v>121199.82297468929</v>
      </c>
      <c r="W147" s="55">
        <f t="shared" si="34"/>
        <v>30541748.84360303</v>
      </c>
    </row>
    <row r="148" spans="17:23" x14ac:dyDescent="0.3">
      <c r="Q148" s="27">
        <f t="shared" si="28"/>
        <v>47817</v>
      </c>
      <c r="R148" s="55">
        <f t="shared" si="29"/>
        <v>143</v>
      </c>
      <c r="S148" s="55">
        <f t="shared" si="30"/>
        <v>184355.24690143892</v>
      </c>
      <c r="T148" s="55">
        <f t="shared" si="31"/>
        <v>30541748.84360303</v>
      </c>
      <c r="U148" s="104">
        <f t="shared" si="32"/>
        <v>67307.132309238892</v>
      </c>
      <c r="V148" s="55">
        <f t="shared" si="33"/>
        <v>117048.11459220003</v>
      </c>
      <c r="W148" s="55">
        <f t="shared" si="34"/>
        <v>30474441.71129379</v>
      </c>
    </row>
    <row r="149" spans="17:23" x14ac:dyDescent="0.3">
      <c r="Q149" s="27">
        <f t="shared" si="28"/>
        <v>47848</v>
      </c>
      <c r="R149" s="55">
        <f t="shared" si="29"/>
        <v>144</v>
      </c>
      <c r="S149" s="55">
        <f t="shared" si="30"/>
        <v>184355.24690143892</v>
      </c>
      <c r="T149" s="55">
        <f t="shared" si="31"/>
        <v>30474441.71129379</v>
      </c>
      <c r="U149" s="104">
        <f t="shared" si="32"/>
        <v>63672.074414606352</v>
      </c>
      <c r="V149" s="55">
        <f t="shared" si="33"/>
        <v>120683.17248683257</v>
      </c>
      <c r="W149" s="55">
        <f t="shared" si="34"/>
        <v>30410769.636879183</v>
      </c>
    </row>
    <row r="150" spans="17:23" x14ac:dyDescent="0.3">
      <c r="Q150" s="27">
        <f t="shared" si="28"/>
        <v>47879</v>
      </c>
      <c r="R150" s="55">
        <f t="shared" si="29"/>
        <v>145</v>
      </c>
      <c r="S150" s="55">
        <f t="shared" si="30"/>
        <v>184355.24690143892</v>
      </c>
      <c r="T150" s="55">
        <f t="shared" si="31"/>
        <v>30410769.636879183</v>
      </c>
      <c r="U150" s="104">
        <f t="shared" si="32"/>
        <v>63924.224987600261</v>
      </c>
      <c r="V150" s="55">
        <f t="shared" si="33"/>
        <v>120431.02191383866</v>
      </c>
      <c r="W150" s="55">
        <f t="shared" si="34"/>
        <v>30346845.411891583</v>
      </c>
    </row>
    <row r="151" spans="17:23" x14ac:dyDescent="0.3">
      <c r="Q151" s="27">
        <f t="shared" si="28"/>
        <v>47907</v>
      </c>
      <c r="R151" s="55">
        <f t="shared" si="29"/>
        <v>146</v>
      </c>
      <c r="S151" s="55">
        <f t="shared" si="30"/>
        <v>184355.24690143892</v>
      </c>
      <c r="T151" s="55">
        <f t="shared" si="31"/>
        <v>30346845.411891583</v>
      </c>
      <c r="U151" s="104">
        <f t="shared" si="32"/>
        <v>75807.49083458056</v>
      </c>
      <c r="V151" s="55">
        <f t="shared" si="33"/>
        <v>108547.75606685836</v>
      </c>
      <c r="W151" s="55">
        <f t="shared" si="34"/>
        <v>30271037.921057004</v>
      </c>
    </row>
    <row r="152" spans="17:23" x14ac:dyDescent="0.3">
      <c r="Q152" s="27">
        <f t="shared" si="28"/>
        <v>47938</v>
      </c>
      <c r="R152" s="55">
        <f t="shared" si="29"/>
        <v>147</v>
      </c>
      <c r="S152" s="55">
        <f t="shared" si="30"/>
        <v>184355.24690143892</v>
      </c>
      <c r="T152" s="55">
        <f t="shared" si="31"/>
        <v>30271037.921057004</v>
      </c>
      <c r="U152" s="104">
        <f t="shared" si="32"/>
        <v>64477.582680653577</v>
      </c>
      <c r="V152" s="55">
        <f t="shared" si="33"/>
        <v>119877.66422078534</v>
      </c>
      <c r="W152" s="55">
        <f t="shared" si="34"/>
        <v>30206560.338376351</v>
      </c>
    </row>
    <row r="153" spans="17:23" x14ac:dyDescent="0.3">
      <c r="Q153" s="27">
        <f t="shared" si="28"/>
        <v>47968</v>
      </c>
      <c r="R153" s="55">
        <f t="shared" si="29"/>
        <v>148</v>
      </c>
      <c r="S153" s="55">
        <f t="shared" si="30"/>
        <v>184355.24690143892</v>
      </c>
      <c r="T153" s="55">
        <f t="shared" si="31"/>
        <v>30206560.338376351</v>
      </c>
      <c r="U153" s="104">
        <f t="shared" si="32"/>
        <v>68591.707818344963</v>
      </c>
      <c r="V153" s="55">
        <f t="shared" si="33"/>
        <v>115763.53908309396</v>
      </c>
      <c r="W153" s="55">
        <f t="shared" si="34"/>
        <v>30137968.630558006</v>
      </c>
    </row>
    <row r="154" spans="17:23" x14ac:dyDescent="0.3">
      <c r="Q154" s="27">
        <f t="shared" si="28"/>
        <v>47999</v>
      </c>
      <c r="R154" s="55">
        <f t="shared" si="29"/>
        <v>149</v>
      </c>
      <c r="S154" s="55">
        <f t="shared" si="30"/>
        <v>184355.24690143892</v>
      </c>
      <c r="T154" s="55">
        <f t="shared" si="31"/>
        <v>30137968.630558006</v>
      </c>
      <c r="U154" s="104">
        <f t="shared" si="32"/>
        <v>65004.556211133036</v>
      </c>
      <c r="V154" s="55">
        <f t="shared" si="33"/>
        <v>119350.69069030588</v>
      </c>
      <c r="W154" s="55">
        <f t="shared" si="34"/>
        <v>30072964.074346874</v>
      </c>
    </row>
    <row r="155" spans="17:23" x14ac:dyDescent="0.3">
      <c r="Q155" s="27">
        <f t="shared" si="28"/>
        <v>48029</v>
      </c>
      <c r="R155" s="55">
        <f t="shared" si="29"/>
        <v>150</v>
      </c>
      <c r="S155" s="55">
        <f t="shared" si="30"/>
        <v>184355.24690143892</v>
      </c>
      <c r="T155" s="55">
        <f t="shared" si="31"/>
        <v>30072964.074346874</v>
      </c>
      <c r="U155" s="104">
        <f t="shared" si="32"/>
        <v>69103.701774594359</v>
      </c>
      <c r="V155" s="55">
        <f t="shared" si="33"/>
        <v>115251.54512684456</v>
      </c>
      <c r="W155" s="55">
        <f t="shared" si="34"/>
        <v>30003860.37257228</v>
      </c>
    </row>
    <row r="156" spans="17:23" x14ac:dyDescent="0.3">
      <c r="Q156" s="27">
        <f t="shared" si="28"/>
        <v>48060</v>
      </c>
      <c r="R156" s="55">
        <f t="shared" si="29"/>
        <v>151</v>
      </c>
      <c r="S156" s="55">
        <f t="shared" si="30"/>
        <v>184355.24690143892</v>
      </c>
      <c r="T156" s="55">
        <f t="shared" si="31"/>
        <v>30003860.37257228</v>
      </c>
      <c r="U156" s="104">
        <f t="shared" si="32"/>
        <v>65535.644202300464</v>
      </c>
      <c r="V156" s="55">
        <f t="shared" si="33"/>
        <v>118819.60269913846</v>
      </c>
      <c r="W156" s="55">
        <f t="shared" si="34"/>
        <v>29938324.728369981</v>
      </c>
    </row>
    <row r="157" spans="17:23" x14ac:dyDescent="0.3">
      <c r="Q157" s="27">
        <f t="shared" si="28"/>
        <v>48091</v>
      </c>
      <c r="R157" s="55">
        <f t="shared" si="29"/>
        <v>152</v>
      </c>
      <c r="S157" s="55">
        <f t="shared" si="30"/>
        <v>184355.24690143892</v>
      </c>
      <c r="T157" s="55">
        <f t="shared" si="31"/>
        <v>29938324.728369981</v>
      </c>
      <c r="U157" s="104">
        <f t="shared" si="32"/>
        <v>65795.174779701367</v>
      </c>
      <c r="V157" s="55">
        <f t="shared" si="33"/>
        <v>118560.07212173755</v>
      </c>
      <c r="W157" s="55">
        <f t="shared" si="34"/>
        <v>29872529.553590279</v>
      </c>
    </row>
    <row r="158" spans="17:23" x14ac:dyDescent="0.3">
      <c r="Q158" s="27">
        <f t="shared" si="28"/>
        <v>48121</v>
      </c>
      <c r="R158" s="55">
        <f t="shared" si="29"/>
        <v>153</v>
      </c>
      <c r="S158" s="55">
        <f t="shared" si="30"/>
        <v>184355.24690143892</v>
      </c>
      <c r="T158" s="55">
        <f t="shared" si="31"/>
        <v>29872529.553590279</v>
      </c>
      <c r="U158" s="104">
        <f t="shared" si="32"/>
        <v>69871.846482806257</v>
      </c>
      <c r="V158" s="55">
        <f t="shared" si="33"/>
        <v>114483.40041863266</v>
      </c>
      <c r="W158" s="55">
        <f t="shared" si="34"/>
        <v>29802657.707107473</v>
      </c>
    </row>
    <row r="159" spans="17:23" x14ac:dyDescent="0.3">
      <c r="Q159" s="27">
        <f t="shared" si="28"/>
        <v>48152</v>
      </c>
      <c r="R159" s="55">
        <f t="shared" si="29"/>
        <v>154</v>
      </c>
      <c r="S159" s="55">
        <f t="shared" si="30"/>
        <v>184355.24690143892</v>
      </c>
      <c r="T159" s="55">
        <f t="shared" si="31"/>
        <v>29802657.707107473</v>
      </c>
      <c r="U159" s="104">
        <f t="shared" si="32"/>
        <v>66332.435697650508</v>
      </c>
      <c r="V159" s="55">
        <f t="shared" si="33"/>
        <v>118022.81120378841</v>
      </c>
      <c r="W159" s="55">
        <f t="shared" si="34"/>
        <v>29736325.271409824</v>
      </c>
    </row>
    <row r="160" spans="17:23" x14ac:dyDescent="0.3">
      <c r="Q160" s="27">
        <f t="shared" si="28"/>
        <v>48182</v>
      </c>
      <c r="R160" s="55">
        <f t="shared" si="29"/>
        <v>155</v>
      </c>
      <c r="S160" s="55">
        <f t="shared" si="30"/>
        <v>184355.24690143892</v>
      </c>
      <c r="T160" s="55">
        <f t="shared" si="31"/>
        <v>29736325.271409824</v>
      </c>
      <c r="U160" s="104">
        <f t="shared" si="32"/>
        <v>70393.835400672222</v>
      </c>
      <c r="V160" s="55">
        <f t="shared" si="33"/>
        <v>113961.4115007667</v>
      </c>
      <c r="W160" s="55">
        <f t="shared" si="34"/>
        <v>29665931.436009154</v>
      </c>
    </row>
    <row r="161" spans="17:23" x14ac:dyDescent="0.3">
      <c r="Q161" s="27">
        <f t="shared" si="28"/>
        <v>48213</v>
      </c>
      <c r="R161" s="55">
        <f t="shared" si="29"/>
        <v>156</v>
      </c>
      <c r="S161" s="55">
        <f t="shared" si="30"/>
        <v>184355.24690143892</v>
      </c>
      <c r="T161" s="55">
        <f t="shared" si="31"/>
        <v>29665931.436009154</v>
      </c>
      <c r="U161" s="104">
        <f t="shared" si="32"/>
        <v>66873.891397307365</v>
      </c>
      <c r="V161" s="55">
        <f t="shared" si="33"/>
        <v>117481.35550413156</v>
      </c>
      <c r="W161" s="55">
        <f t="shared" si="34"/>
        <v>29599057.544611845</v>
      </c>
    </row>
    <row r="162" spans="17:23" x14ac:dyDescent="0.3">
      <c r="Q162" s="27">
        <f t="shared" si="28"/>
        <v>48244</v>
      </c>
      <c r="R162" s="55">
        <f t="shared" si="29"/>
        <v>157</v>
      </c>
      <c r="S162" s="55">
        <f t="shared" si="30"/>
        <v>184355.24690143892</v>
      </c>
      <c r="T162" s="55">
        <f t="shared" si="31"/>
        <v>29599057.544611845</v>
      </c>
      <c r="U162" s="104">
        <f t="shared" si="32"/>
        <v>67138.721626088081</v>
      </c>
      <c r="V162" s="55">
        <f t="shared" si="33"/>
        <v>117216.52527535084</v>
      </c>
      <c r="W162" s="55">
        <f t="shared" si="34"/>
        <v>29531918.822985757</v>
      </c>
    </row>
    <row r="163" spans="17:23" x14ac:dyDescent="0.3">
      <c r="Q163" s="27">
        <f t="shared" si="28"/>
        <v>48273</v>
      </c>
      <c r="R163" s="55">
        <f t="shared" si="29"/>
        <v>158</v>
      </c>
      <c r="S163" s="55">
        <f t="shared" si="30"/>
        <v>184355.24690143892</v>
      </c>
      <c r="T163" s="55">
        <f t="shared" si="31"/>
        <v>29531918.822985757</v>
      </c>
      <c r="U163" s="104">
        <f t="shared" si="32"/>
        <v>74949.803606523055</v>
      </c>
      <c r="V163" s="55">
        <f t="shared" si="33"/>
        <v>109405.44329491587</v>
      </c>
      <c r="W163" s="55">
        <f t="shared" si="34"/>
        <v>29456969.019379236</v>
      </c>
    </row>
    <row r="164" spans="17:23" x14ac:dyDescent="0.3">
      <c r="Q164" s="27">
        <f t="shared" si="28"/>
        <v>48304</v>
      </c>
      <c r="R164" s="55">
        <f t="shared" si="29"/>
        <v>159</v>
      </c>
      <c r="S164" s="55">
        <f t="shared" si="30"/>
        <v>184355.24690143892</v>
      </c>
      <c r="T164" s="55">
        <f t="shared" si="31"/>
        <v>29456969.019379236</v>
      </c>
      <c r="U164" s="104">
        <f t="shared" si="32"/>
        <v>67701.41262339984</v>
      </c>
      <c r="V164" s="55">
        <f t="shared" si="33"/>
        <v>116653.83427803908</v>
      </c>
      <c r="W164" s="55">
        <f t="shared" si="34"/>
        <v>29389267.606755838</v>
      </c>
    </row>
    <row r="165" spans="17:23" x14ac:dyDescent="0.3">
      <c r="Q165" s="27">
        <f t="shared" si="28"/>
        <v>48334</v>
      </c>
      <c r="R165" s="55">
        <f t="shared" si="29"/>
        <v>160</v>
      </c>
      <c r="S165" s="55">
        <f t="shared" si="30"/>
        <v>184355.24690143892</v>
      </c>
      <c r="T165" s="55">
        <f t="shared" si="31"/>
        <v>29389267.606755838</v>
      </c>
      <c r="U165" s="104">
        <f t="shared" si="32"/>
        <v>71723.898243849238</v>
      </c>
      <c r="V165" s="55">
        <f t="shared" si="33"/>
        <v>112631.34865758968</v>
      </c>
      <c r="W165" s="55">
        <f t="shared" si="34"/>
        <v>29317543.70851199</v>
      </c>
    </row>
    <row r="166" spans="17:23" x14ac:dyDescent="0.3">
      <c r="Q166" s="27">
        <f t="shared" si="28"/>
        <v>48365</v>
      </c>
      <c r="R166" s="55">
        <f t="shared" si="29"/>
        <v>161</v>
      </c>
      <c r="S166" s="55">
        <f t="shared" si="30"/>
        <v>184355.24690143892</v>
      </c>
      <c r="T166" s="55">
        <f t="shared" si="31"/>
        <v>29317543.70851199</v>
      </c>
      <c r="U166" s="104">
        <f t="shared" si="32"/>
        <v>68253.556908759667</v>
      </c>
      <c r="V166" s="55">
        <f t="shared" si="33"/>
        <v>116101.68999267925</v>
      </c>
      <c r="W166" s="55">
        <f t="shared" si="34"/>
        <v>29249290.151603229</v>
      </c>
    </row>
    <row r="167" spans="17:23" x14ac:dyDescent="0.3">
      <c r="Q167" s="27">
        <f t="shared" si="28"/>
        <v>48395</v>
      </c>
      <c r="R167" s="55">
        <f t="shared" si="29"/>
        <v>162</v>
      </c>
      <c r="S167" s="55">
        <f t="shared" si="30"/>
        <v>184355.24690143892</v>
      </c>
      <c r="T167" s="55">
        <f t="shared" si="31"/>
        <v>29249290.151603229</v>
      </c>
      <c r="U167" s="104">
        <f t="shared" si="32"/>
        <v>72260.347459476223</v>
      </c>
      <c r="V167" s="55">
        <f t="shared" si="33"/>
        <v>112094.8994419627</v>
      </c>
      <c r="W167" s="55">
        <f t="shared" si="34"/>
        <v>29177029.804143753</v>
      </c>
    </row>
    <row r="168" spans="17:23" x14ac:dyDescent="0.3">
      <c r="Q168" s="27">
        <f t="shared" si="28"/>
        <v>48426</v>
      </c>
      <c r="R168" s="55">
        <f t="shared" si="29"/>
        <v>163</v>
      </c>
      <c r="S168" s="55">
        <f t="shared" si="30"/>
        <v>184355.24690143892</v>
      </c>
      <c r="T168" s="55">
        <f t="shared" si="31"/>
        <v>29177029.804143753</v>
      </c>
      <c r="U168" s="104">
        <f t="shared" si="32"/>
        <v>68810.01218096193</v>
      </c>
      <c r="V168" s="55">
        <f t="shared" si="33"/>
        <v>115545.23472047699</v>
      </c>
      <c r="W168" s="55">
        <f t="shared" si="34"/>
        <v>29108219.791962791</v>
      </c>
    </row>
    <row r="169" spans="17:23" x14ac:dyDescent="0.3">
      <c r="Q169" s="27">
        <f t="shared" si="28"/>
        <v>48457</v>
      </c>
      <c r="R169" s="55">
        <f t="shared" si="29"/>
        <v>164</v>
      </c>
      <c r="S169" s="55">
        <f t="shared" si="30"/>
        <v>184355.24690143892</v>
      </c>
      <c r="T169" s="55">
        <f t="shared" si="31"/>
        <v>29108219.791962791</v>
      </c>
      <c r="U169" s="104">
        <f t="shared" si="32"/>
        <v>69082.509726529068</v>
      </c>
      <c r="V169" s="55">
        <f t="shared" si="33"/>
        <v>115272.73717490985</v>
      </c>
      <c r="W169" s="55">
        <f t="shared" si="34"/>
        <v>29039137.282236263</v>
      </c>
    </row>
    <row r="170" spans="17:23" x14ac:dyDescent="0.3">
      <c r="Q170" s="27">
        <f t="shared" si="28"/>
        <v>48487</v>
      </c>
      <c r="R170" s="55">
        <f t="shared" si="29"/>
        <v>165</v>
      </c>
      <c r="S170" s="55">
        <f t="shared" si="30"/>
        <v>184355.24690143892</v>
      </c>
      <c r="T170" s="55">
        <f t="shared" si="31"/>
        <v>29039137.282236263</v>
      </c>
      <c r="U170" s="104">
        <f t="shared" si="32"/>
        <v>73065.736740276887</v>
      </c>
      <c r="V170" s="55">
        <f t="shared" si="33"/>
        <v>111289.51016116203</v>
      </c>
      <c r="W170" s="55">
        <f t="shared" si="34"/>
        <v>28966071.545495987</v>
      </c>
    </row>
    <row r="171" spans="17:23" x14ac:dyDescent="0.3">
      <c r="Q171" s="27">
        <f t="shared" si="28"/>
        <v>48518</v>
      </c>
      <c r="R171" s="55">
        <f t="shared" si="29"/>
        <v>166</v>
      </c>
      <c r="S171" s="55">
        <f t="shared" si="30"/>
        <v>184355.24690143892</v>
      </c>
      <c r="T171" s="55">
        <f t="shared" si="31"/>
        <v>28966071.545495987</v>
      </c>
      <c r="U171" s="104">
        <f t="shared" si="32"/>
        <v>69645.437228518262</v>
      </c>
      <c r="V171" s="55">
        <f t="shared" si="33"/>
        <v>114709.80967292066</v>
      </c>
      <c r="W171" s="55">
        <f t="shared" si="34"/>
        <v>28896426.108267467</v>
      </c>
    </row>
    <row r="172" spans="17:23" x14ac:dyDescent="0.3">
      <c r="Q172" s="27">
        <f t="shared" si="28"/>
        <v>48548</v>
      </c>
      <c r="R172" s="55">
        <f t="shared" si="29"/>
        <v>167</v>
      </c>
      <c r="S172" s="55">
        <f t="shared" si="30"/>
        <v>184355.24690143892</v>
      </c>
      <c r="T172" s="55">
        <f t="shared" si="31"/>
        <v>28896426.108267467</v>
      </c>
      <c r="U172" s="104">
        <f t="shared" si="32"/>
        <v>73612.662652405386</v>
      </c>
      <c r="V172" s="55">
        <f t="shared" si="33"/>
        <v>110742.58424903353</v>
      </c>
      <c r="W172" s="55">
        <f t="shared" si="34"/>
        <v>28822813.445615061</v>
      </c>
    </row>
    <row r="173" spans="17:23" x14ac:dyDescent="0.3">
      <c r="Q173" s="27">
        <f t="shared" si="28"/>
        <v>48579</v>
      </c>
      <c r="R173" s="55">
        <f t="shared" si="29"/>
        <v>168</v>
      </c>
      <c r="S173" s="55">
        <f t="shared" si="30"/>
        <v>184355.24690143892</v>
      </c>
      <c r="T173" s="55">
        <f t="shared" si="31"/>
        <v>28822813.445615061</v>
      </c>
      <c r="U173" s="104">
        <f t="shared" si="32"/>
        <v>70212.759909663844</v>
      </c>
      <c r="V173" s="55">
        <f t="shared" si="33"/>
        <v>114142.48699177508</v>
      </c>
      <c r="W173" s="55">
        <f t="shared" si="34"/>
        <v>28752600.685705397</v>
      </c>
    </row>
    <row r="174" spans="17:23" x14ac:dyDescent="0.3">
      <c r="Q174" s="27">
        <f t="shared" si="28"/>
        <v>48610</v>
      </c>
      <c r="R174" s="55">
        <f t="shared" si="29"/>
        <v>169</v>
      </c>
      <c r="S174" s="55">
        <f t="shared" si="30"/>
        <v>184355.24690143892</v>
      </c>
      <c r="T174" s="55">
        <f t="shared" si="31"/>
        <v>28752600.685705397</v>
      </c>
      <c r="U174" s="104">
        <f t="shared" si="32"/>
        <v>70490.812538001715</v>
      </c>
      <c r="V174" s="55">
        <f t="shared" si="33"/>
        <v>113864.43436343721</v>
      </c>
      <c r="W174" s="55">
        <f t="shared" si="34"/>
        <v>28682109.873167396</v>
      </c>
    </row>
    <row r="175" spans="17:23" x14ac:dyDescent="0.3">
      <c r="Q175" s="27">
        <f t="shared" si="28"/>
        <v>48638</v>
      </c>
      <c r="R175" s="55">
        <f t="shared" si="29"/>
        <v>170</v>
      </c>
      <c r="S175" s="55">
        <f t="shared" si="30"/>
        <v>184355.24690143892</v>
      </c>
      <c r="T175" s="55">
        <f t="shared" si="31"/>
        <v>28682109.873167396</v>
      </c>
      <c r="U175" s="104">
        <f t="shared" si="32"/>
        <v>81762.090224422049</v>
      </c>
      <c r="V175" s="55">
        <f t="shared" si="33"/>
        <v>102593.15667701687</v>
      </c>
      <c r="W175" s="55">
        <f t="shared" si="34"/>
        <v>28600347.782942973</v>
      </c>
    </row>
    <row r="176" spans="17:23" x14ac:dyDescent="0.3">
      <c r="Q176" s="27">
        <f t="shared" si="28"/>
        <v>48669</v>
      </c>
      <c r="R176" s="55">
        <f t="shared" si="29"/>
        <v>171</v>
      </c>
      <c r="S176" s="55">
        <f t="shared" si="30"/>
        <v>184355.24690143892</v>
      </c>
      <c r="T176" s="55">
        <f t="shared" si="31"/>
        <v>28600347.782942973</v>
      </c>
      <c r="U176" s="104">
        <f t="shared" si="32"/>
        <v>71093.755932331042</v>
      </c>
      <c r="V176" s="55">
        <f t="shared" si="33"/>
        <v>113261.49096910788</v>
      </c>
      <c r="W176" s="55">
        <f t="shared" si="34"/>
        <v>28529254.027010642</v>
      </c>
    </row>
    <row r="177" spans="17:23" x14ac:dyDescent="0.3">
      <c r="Q177" s="27">
        <f t="shared" si="28"/>
        <v>48699</v>
      </c>
      <c r="R177" s="55">
        <f t="shared" si="29"/>
        <v>172</v>
      </c>
      <c r="S177" s="55">
        <f t="shared" si="30"/>
        <v>184355.24690143892</v>
      </c>
      <c r="T177" s="55">
        <f t="shared" si="31"/>
        <v>28529254.027010642</v>
      </c>
      <c r="U177" s="104">
        <f t="shared" si="32"/>
        <v>75019.811930663142</v>
      </c>
      <c r="V177" s="55">
        <f t="shared" si="33"/>
        <v>109335.43497077578</v>
      </c>
      <c r="W177" s="55">
        <f t="shared" si="34"/>
        <v>28454234.215079978</v>
      </c>
    </row>
    <row r="178" spans="17:23" x14ac:dyDescent="0.3">
      <c r="Q178" s="27">
        <f t="shared" si="28"/>
        <v>48730</v>
      </c>
      <c r="R178" s="55">
        <f t="shared" si="29"/>
        <v>173</v>
      </c>
      <c r="S178" s="55">
        <f t="shared" si="30"/>
        <v>184355.24690143892</v>
      </c>
      <c r="T178" s="55">
        <f t="shared" si="31"/>
        <v>28454234.215079978</v>
      </c>
      <c r="U178" s="104">
        <f t="shared" si="32"/>
        <v>71672.3866774036</v>
      </c>
      <c r="V178" s="55">
        <f t="shared" si="33"/>
        <v>112682.86022403532</v>
      </c>
      <c r="W178" s="55">
        <f t="shared" si="34"/>
        <v>28382561.828402575</v>
      </c>
    </row>
    <row r="179" spans="17:23" x14ac:dyDescent="0.3">
      <c r="Q179" s="27">
        <f t="shared" si="28"/>
        <v>48760</v>
      </c>
      <c r="R179" s="55">
        <f t="shared" si="29"/>
        <v>174</v>
      </c>
      <c r="S179" s="55">
        <f t="shared" si="30"/>
        <v>184355.24690143892</v>
      </c>
      <c r="T179" s="55">
        <f t="shared" si="31"/>
        <v>28382561.828402575</v>
      </c>
      <c r="U179" s="104">
        <f t="shared" si="32"/>
        <v>75581.994710712257</v>
      </c>
      <c r="V179" s="55">
        <f t="shared" si="33"/>
        <v>108773.25219072666</v>
      </c>
      <c r="W179" s="55">
        <f t="shared" si="34"/>
        <v>28306979.833691861</v>
      </c>
    </row>
    <row r="180" spans="17:23" x14ac:dyDescent="0.3">
      <c r="Q180" s="27">
        <f t="shared" si="28"/>
        <v>48791</v>
      </c>
      <c r="R180" s="55">
        <f t="shared" si="29"/>
        <v>175</v>
      </c>
      <c r="S180" s="55">
        <f t="shared" si="30"/>
        <v>184355.24690143892</v>
      </c>
      <c r="T180" s="55">
        <f t="shared" si="31"/>
        <v>28306979.833691861</v>
      </c>
      <c r="U180" s="104">
        <f t="shared" si="32"/>
        <v>72255.535208125249</v>
      </c>
      <c r="V180" s="55">
        <f t="shared" si="33"/>
        <v>112099.71169331367</v>
      </c>
      <c r="W180" s="55">
        <f t="shared" si="34"/>
        <v>28234724.298483737</v>
      </c>
    </row>
    <row r="181" spans="17:23" x14ac:dyDescent="0.3">
      <c r="Q181" s="27">
        <f t="shared" si="28"/>
        <v>48822</v>
      </c>
      <c r="R181" s="55">
        <f t="shared" si="29"/>
        <v>176</v>
      </c>
      <c r="S181" s="55">
        <f t="shared" si="30"/>
        <v>184355.24690143892</v>
      </c>
      <c r="T181" s="55">
        <f t="shared" si="31"/>
        <v>28234724.298483737</v>
      </c>
      <c r="U181" s="104">
        <f t="shared" si="32"/>
        <v>72541.677520468875</v>
      </c>
      <c r="V181" s="55">
        <f t="shared" si="33"/>
        <v>111813.56938097005</v>
      </c>
      <c r="W181" s="55">
        <f t="shared" si="34"/>
        <v>28162182.620963268</v>
      </c>
    </row>
    <row r="182" spans="17:23" x14ac:dyDescent="0.3">
      <c r="Q182" s="27">
        <f t="shared" si="28"/>
        <v>48852</v>
      </c>
      <c r="R182" s="55">
        <f t="shared" si="29"/>
        <v>177</v>
      </c>
      <c r="S182" s="55">
        <f t="shared" si="30"/>
        <v>184355.24690143892</v>
      </c>
      <c r="T182" s="55">
        <f t="shared" si="31"/>
        <v>28162182.620963268</v>
      </c>
      <c r="U182" s="104">
        <f t="shared" si="32"/>
        <v>76426.575381524017</v>
      </c>
      <c r="V182" s="55">
        <f t="shared" si="33"/>
        <v>107928.6715199149</v>
      </c>
      <c r="W182" s="55">
        <f t="shared" si="34"/>
        <v>28085756.045581743</v>
      </c>
    </row>
    <row r="183" spans="17:23" x14ac:dyDescent="0.3">
      <c r="Q183" s="27">
        <f t="shared" si="28"/>
        <v>48883</v>
      </c>
      <c r="R183" s="55">
        <f t="shared" si="29"/>
        <v>178</v>
      </c>
      <c r="S183" s="55">
        <f t="shared" si="30"/>
        <v>184355.24690143892</v>
      </c>
      <c r="T183" s="55">
        <f t="shared" si="31"/>
        <v>28085756.045581743</v>
      </c>
      <c r="U183" s="104">
        <f t="shared" si="32"/>
        <v>73131.613228901275</v>
      </c>
      <c r="V183" s="55">
        <f t="shared" si="33"/>
        <v>111223.63367253765</v>
      </c>
      <c r="W183" s="55">
        <f t="shared" si="34"/>
        <v>28012624.432352841</v>
      </c>
    </row>
    <row r="184" spans="17:23" x14ac:dyDescent="0.3">
      <c r="Q184" s="27">
        <f t="shared" si="28"/>
        <v>48913</v>
      </c>
      <c r="R184" s="55">
        <f t="shared" si="29"/>
        <v>179</v>
      </c>
      <c r="S184" s="55">
        <f t="shared" si="30"/>
        <v>184355.24690143892</v>
      </c>
      <c r="T184" s="55">
        <f t="shared" si="31"/>
        <v>28012624.432352841</v>
      </c>
      <c r="U184" s="104">
        <f t="shared" si="32"/>
        <v>76999.741773806149</v>
      </c>
      <c r="V184" s="55">
        <f t="shared" si="33"/>
        <v>107355.50512763277</v>
      </c>
      <c r="W184" s="55">
        <f t="shared" si="34"/>
        <v>27935624.690579034</v>
      </c>
    </row>
    <row r="185" spans="17:23" x14ac:dyDescent="0.3">
      <c r="Q185" s="27">
        <f t="shared" si="28"/>
        <v>48944</v>
      </c>
      <c r="R185" s="55">
        <f t="shared" si="29"/>
        <v>180</v>
      </c>
      <c r="S185" s="55">
        <f t="shared" si="30"/>
        <v>184355.24690143892</v>
      </c>
      <c r="T185" s="55">
        <f t="shared" si="31"/>
        <v>27935624.690579034</v>
      </c>
      <c r="U185" s="104">
        <f t="shared" si="32"/>
        <v>73726.154988947994</v>
      </c>
      <c r="V185" s="55">
        <f t="shared" si="33"/>
        <v>110629.09191249093</v>
      </c>
      <c r="W185" s="55">
        <f t="shared" si="34"/>
        <v>27861898.535590086</v>
      </c>
    </row>
    <row r="186" spans="17:23" x14ac:dyDescent="0.3">
      <c r="Q186" s="27">
        <f t="shared" si="28"/>
        <v>48975</v>
      </c>
      <c r="R186" s="55">
        <f t="shared" si="29"/>
        <v>181</v>
      </c>
      <c r="S186" s="55">
        <f t="shared" si="30"/>
        <v>184355.24690143892</v>
      </c>
      <c r="T186" s="55">
        <f t="shared" si="31"/>
        <v>27861898.535590086</v>
      </c>
      <c r="U186" s="104">
        <f t="shared" si="32"/>
        <v>74018.121167151156</v>
      </c>
      <c r="V186" s="55">
        <f t="shared" si="33"/>
        <v>110337.12573428777</v>
      </c>
      <c r="W186" s="55">
        <f t="shared" si="34"/>
        <v>27787880.414422937</v>
      </c>
    </row>
    <row r="187" spans="17:23" x14ac:dyDescent="0.3">
      <c r="Q187" s="27">
        <f t="shared" si="28"/>
        <v>49003</v>
      </c>
      <c r="R187" s="55">
        <f t="shared" si="29"/>
        <v>182</v>
      </c>
      <c r="S187" s="55">
        <f t="shared" si="30"/>
        <v>184355.24690143892</v>
      </c>
      <c r="T187" s="55">
        <f t="shared" si="31"/>
        <v>27787880.414422937</v>
      </c>
      <c r="U187" s="104">
        <f t="shared" si="32"/>
        <v>84960.663250320678</v>
      </c>
      <c r="V187" s="55">
        <f t="shared" si="33"/>
        <v>99394.583651118242</v>
      </c>
      <c r="W187" s="55">
        <f t="shared" si="34"/>
        <v>27702919.751172617</v>
      </c>
    </row>
    <row r="188" spans="17:23" x14ac:dyDescent="0.3">
      <c r="Q188" s="27">
        <f t="shared" si="28"/>
        <v>49034</v>
      </c>
      <c r="R188" s="55">
        <f t="shared" si="29"/>
        <v>183</v>
      </c>
      <c r="S188" s="55">
        <f t="shared" si="30"/>
        <v>184355.24690143892</v>
      </c>
      <c r="T188" s="55">
        <f t="shared" si="31"/>
        <v>27702919.751172617</v>
      </c>
      <c r="U188" s="104">
        <f t="shared" si="32"/>
        <v>74647.700020255797</v>
      </c>
      <c r="V188" s="55">
        <f t="shared" si="33"/>
        <v>109707.54688118312</v>
      </c>
      <c r="W188" s="55">
        <f t="shared" si="34"/>
        <v>27628272.05115236</v>
      </c>
    </row>
    <row r="189" spans="17:23" x14ac:dyDescent="0.3">
      <c r="Q189" s="27">
        <f t="shared" si="28"/>
        <v>49064</v>
      </c>
      <c r="R189" s="55">
        <f t="shared" si="29"/>
        <v>184</v>
      </c>
      <c r="S189" s="55">
        <f t="shared" si="30"/>
        <v>184355.24690143892</v>
      </c>
      <c r="T189" s="55">
        <f t="shared" si="31"/>
        <v>27628272.05115236</v>
      </c>
      <c r="U189" s="104">
        <f t="shared" si="32"/>
        <v>78472.732786498644</v>
      </c>
      <c r="V189" s="55">
        <f t="shared" si="33"/>
        <v>105882.51411494028</v>
      </c>
      <c r="W189" s="55">
        <f t="shared" si="34"/>
        <v>27549799.318365861</v>
      </c>
    </row>
    <row r="190" spans="17:23" x14ac:dyDescent="0.3">
      <c r="Q190" s="27">
        <f t="shared" ref="Q190:Q253" si="35">EOMONTH(Q189,1)</f>
        <v>49095</v>
      </c>
      <c r="R190" s="55">
        <f t="shared" ref="R190:R253" si="36">++R189+1</f>
        <v>185</v>
      </c>
      <c r="S190" s="55">
        <f t="shared" ref="S190:S253" si="37">S189</f>
        <v>184355.24690143892</v>
      </c>
      <c r="T190" s="55">
        <f t="shared" ref="T190:T253" si="38">W189</f>
        <v>27549799.318365861</v>
      </c>
      <c r="U190" s="104">
        <f t="shared" ref="U190:U253" si="39">(S190-V190)*(R190&gt;$J$26)</f>
        <v>75254.078958342405</v>
      </c>
      <c r="V190" s="55">
        <f t="shared" ref="V190:V253" si="40">$J$25*T190*((Q190-Q189)/365)</f>
        <v>109101.16794309652</v>
      </c>
      <c r="W190" s="55">
        <f t="shared" ref="W190:W253" si="41">T190-U190</f>
        <v>27474545.239407517</v>
      </c>
    </row>
    <row r="191" spans="17:23" x14ac:dyDescent="0.3">
      <c r="Q191" s="27">
        <f t="shared" si="35"/>
        <v>49125</v>
      </c>
      <c r="R191" s="55">
        <f t="shared" si="36"/>
        <v>186</v>
      </c>
      <c r="S191" s="55">
        <f t="shared" si="37"/>
        <v>184355.24690143892</v>
      </c>
      <c r="T191" s="55">
        <f t="shared" si="38"/>
        <v>27474545.239407517</v>
      </c>
      <c r="U191" s="104">
        <f t="shared" si="39"/>
        <v>79061.874998660234</v>
      </c>
      <c r="V191" s="55">
        <f t="shared" si="40"/>
        <v>105293.37190277869</v>
      </c>
      <c r="W191" s="55">
        <f t="shared" si="41"/>
        <v>27395483.364408858</v>
      </c>
    </row>
    <row r="192" spans="17:23" x14ac:dyDescent="0.3">
      <c r="Q192" s="27">
        <f t="shared" si="35"/>
        <v>49156</v>
      </c>
      <c r="R192" s="55">
        <f t="shared" si="36"/>
        <v>187</v>
      </c>
      <c r="S192" s="55">
        <f t="shared" si="37"/>
        <v>184355.24690143892</v>
      </c>
      <c r="T192" s="55">
        <f t="shared" si="38"/>
        <v>27395483.364408858</v>
      </c>
      <c r="U192" s="104">
        <f t="shared" si="39"/>
        <v>75865.192332142498</v>
      </c>
      <c r="V192" s="55">
        <f t="shared" si="40"/>
        <v>108490.05456929642</v>
      </c>
      <c r="W192" s="55">
        <f t="shared" si="41"/>
        <v>27319618.172076717</v>
      </c>
    </row>
    <row r="193" spans="17:23" x14ac:dyDescent="0.3">
      <c r="Q193" s="27">
        <f t="shared" si="35"/>
        <v>49187</v>
      </c>
      <c r="R193" s="55">
        <f t="shared" si="36"/>
        <v>188</v>
      </c>
      <c r="S193" s="55">
        <f t="shared" si="37"/>
        <v>184355.24690143892</v>
      </c>
      <c r="T193" s="55">
        <f t="shared" si="38"/>
        <v>27319618.172076717</v>
      </c>
      <c r="U193" s="104">
        <f t="shared" si="39"/>
        <v>76165.629405894477</v>
      </c>
      <c r="V193" s="55">
        <f t="shared" si="40"/>
        <v>108189.61749554444</v>
      </c>
      <c r="W193" s="55">
        <f t="shared" si="41"/>
        <v>27243452.542670824</v>
      </c>
    </row>
    <row r="194" spans="17:23" x14ac:dyDescent="0.3">
      <c r="Q194" s="27">
        <f t="shared" si="35"/>
        <v>49217</v>
      </c>
      <c r="R194" s="55">
        <f t="shared" si="36"/>
        <v>189</v>
      </c>
      <c r="S194" s="55">
        <f t="shared" si="37"/>
        <v>184355.24690143892</v>
      </c>
      <c r="T194" s="55">
        <f t="shared" si="38"/>
        <v>27243452.542670824</v>
      </c>
      <c r="U194" s="104">
        <f t="shared" si="39"/>
        <v>79947.514016503264</v>
      </c>
      <c r="V194" s="55">
        <f t="shared" si="40"/>
        <v>104407.73288493566</v>
      </c>
      <c r="W194" s="55">
        <f t="shared" si="41"/>
        <v>27163505.028654322</v>
      </c>
    </row>
    <row r="195" spans="17:23" x14ac:dyDescent="0.3">
      <c r="Q195" s="27">
        <f t="shared" si="35"/>
        <v>49248</v>
      </c>
      <c r="R195" s="55">
        <f t="shared" si="36"/>
        <v>190</v>
      </c>
      <c r="S195" s="55">
        <f t="shared" si="37"/>
        <v>184355.24690143892</v>
      </c>
      <c r="T195" s="55">
        <f t="shared" si="38"/>
        <v>27163505.028654322</v>
      </c>
      <c r="U195" s="104">
        <f t="shared" si="39"/>
        <v>76783.859908477374</v>
      </c>
      <c r="V195" s="55">
        <f t="shared" si="40"/>
        <v>107571.38699296155</v>
      </c>
      <c r="W195" s="55">
        <f t="shared" si="41"/>
        <v>27086721.168745846</v>
      </c>
    </row>
    <row r="196" spans="17:23" x14ac:dyDescent="0.3">
      <c r="Q196" s="27">
        <f t="shared" si="35"/>
        <v>49278</v>
      </c>
      <c r="R196" s="55">
        <f t="shared" si="36"/>
        <v>191</v>
      </c>
      <c r="S196" s="55">
        <f t="shared" si="37"/>
        <v>184355.24690143892</v>
      </c>
      <c r="T196" s="55">
        <f t="shared" si="38"/>
        <v>27086721.168745846</v>
      </c>
      <c r="U196" s="104">
        <f t="shared" si="39"/>
        <v>80548.170904532322</v>
      </c>
      <c r="V196" s="55">
        <f t="shared" si="40"/>
        <v>103807.0759969066</v>
      </c>
      <c r="W196" s="55">
        <f t="shared" si="41"/>
        <v>27006172.997841313</v>
      </c>
    </row>
    <row r="197" spans="17:23" x14ac:dyDescent="0.3">
      <c r="Q197" s="27">
        <f t="shared" si="35"/>
        <v>49309</v>
      </c>
      <c r="R197" s="55">
        <f t="shared" si="36"/>
        <v>192</v>
      </c>
      <c r="S197" s="55">
        <f t="shared" si="37"/>
        <v>184355.24690143892</v>
      </c>
      <c r="T197" s="55">
        <f t="shared" si="38"/>
        <v>27006172.997841313</v>
      </c>
      <c r="U197" s="104">
        <f t="shared" si="39"/>
        <v>77406.917380446539</v>
      </c>
      <c r="V197" s="55">
        <f t="shared" si="40"/>
        <v>106948.32952099238</v>
      </c>
      <c r="W197" s="55">
        <f t="shared" si="41"/>
        <v>26928766.080460869</v>
      </c>
    </row>
    <row r="198" spans="17:23" x14ac:dyDescent="0.3">
      <c r="Q198" s="27">
        <f t="shared" si="35"/>
        <v>49340</v>
      </c>
      <c r="R198" s="55">
        <f t="shared" si="36"/>
        <v>193</v>
      </c>
      <c r="S198" s="55">
        <f t="shared" si="37"/>
        <v>184355.24690143892</v>
      </c>
      <c r="T198" s="55">
        <f t="shared" si="38"/>
        <v>26928766.080460869</v>
      </c>
      <c r="U198" s="104">
        <f t="shared" si="39"/>
        <v>77713.459907144774</v>
      </c>
      <c r="V198" s="55">
        <f t="shared" si="40"/>
        <v>106641.78699429415</v>
      </c>
      <c r="W198" s="55">
        <f t="shared" si="41"/>
        <v>26851052.620553724</v>
      </c>
    </row>
    <row r="199" spans="17:23" x14ac:dyDescent="0.3">
      <c r="Q199" s="27">
        <f t="shared" si="35"/>
        <v>49368</v>
      </c>
      <c r="R199" s="55">
        <f t="shared" si="36"/>
        <v>194</v>
      </c>
      <c r="S199" s="55">
        <f t="shared" si="37"/>
        <v>184355.24690143892</v>
      </c>
      <c r="T199" s="55">
        <f t="shared" si="38"/>
        <v>26851052.620553724</v>
      </c>
      <c r="U199" s="104">
        <f t="shared" si="39"/>
        <v>88311.606436188697</v>
      </c>
      <c r="V199" s="55">
        <f t="shared" si="40"/>
        <v>96043.640465250224</v>
      </c>
      <c r="W199" s="55">
        <f t="shared" si="41"/>
        <v>26762741.014117535</v>
      </c>
    </row>
    <row r="200" spans="17:23" x14ac:dyDescent="0.3">
      <c r="Q200" s="27">
        <f t="shared" si="35"/>
        <v>49399</v>
      </c>
      <c r="R200" s="55">
        <f t="shared" si="36"/>
        <v>195</v>
      </c>
      <c r="S200" s="55">
        <f t="shared" si="37"/>
        <v>184355.24690143892</v>
      </c>
      <c r="T200" s="55">
        <f t="shared" si="38"/>
        <v>26762741.014117535</v>
      </c>
      <c r="U200" s="104">
        <f t="shared" si="39"/>
        <v>78370.943050182133</v>
      </c>
      <c r="V200" s="55">
        <f t="shared" si="40"/>
        <v>105984.30385125679</v>
      </c>
      <c r="W200" s="55">
        <f t="shared" si="41"/>
        <v>26684370.071067352</v>
      </c>
    </row>
    <row r="201" spans="17:23" x14ac:dyDescent="0.3">
      <c r="Q201" s="27">
        <f t="shared" si="35"/>
        <v>49429</v>
      </c>
      <c r="R201" s="55">
        <f t="shared" si="36"/>
        <v>196</v>
      </c>
      <c r="S201" s="55">
        <f t="shared" si="37"/>
        <v>184355.24690143892</v>
      </c>
      <c r="T201" s="55">
        <f t="shared" si="38"/>
        <v>26684370.071067352</v>
      </c>
      <c r="U201" s="104">
        <f t="shared" si="39"/>
        <v>82090.14014894361</v>
      </c>
      <c r="V201" s="55">
        <f t="shared" si="40"/>
        <v>102265.10675249531</v>
      </c>
      <c r="W201" s="55">
        <f t="shared" si="41"/>
        <v>26602279.930918407</v>
      </c>
    </row>
    <row r="202" spans="17:23" x14ac:dyDescent="0.3">
      <c r="Q202" s="27">
        <f t="shared" si="35"/>
        <v>49460</v>
      </c>
      <c r="R202" s="55">
        <f t="shared" si="36"/>
        <v>197</v>
      </c>
      <c r="S202" s="55">
        <f t="shared" si="37"/>
        <v>184355.24690143892</v>
      </c>
      <c r="T202" s="55">
        <f t="shared" si="38"/>
        <v>26602279.930918407</v>
      </c>
      <c r="U202" s="104">
        <f t="shared" si="39"/>
        <v>79006.392019669511</v>
      </c>
      <c r="V202" s="55">
        <f t="shared" si="40"/>
        <v>105348.85488176941</v>
      </c>
      <c r="W202" s="55">
        <f t="shared" si="41"/>
        <v>26523273.538898736</v>
      </c>
    </row>
    <row r="203" spans="17:23" x14ac:dyDescent="0.3">
      <c r="Q203" s="27">
        <f t="shared" si="35"/>
        <v>49490</v>
      </c>
      <c r="R203" s="55">
        <f t="shared" si="36"/>
        <v>198</v>
      </c>
      <c r="S203" s="55">
        <f t="shared" si="37"/>
        <v>184355.24690143892</v>
      </c>
      <c r="T203" s="55">
        <f t="shared" si="38"/>
        <v>26523273.538898736</v>
      </c>
      <c r="U203" s="104">
        <f t="shared" si="39"/>
        <v>82707.526057466253</v>
      </c>
      <c r="V203" s="55">
        <f t="shared" si="40"/>
        <v>101647.72084397267</v>
      </c>
      <c r="W203" s="55">
        <f t="shared" si="41"/>
        <v>26440566.012841269</v>
      </c>
    </row>
    <row r="204" spans="17:23" x14ac:dyDescent="0.3">
      <c r="Q204" s="27">
        <f t="shared" si="35"/>
        <v>49521</v>
      </c>
      <c r="R204" s="55">
        <f t="shared" si="36"/>
        <v>199</v>
      </c>
      <c r="S204" s="55">
        <f t="shared" si="37"/>
        <v>184355.24690143892</v>
      </c>
      <c r="T204" s="55">
        <f t="shared" si="38"/>
        <v>26440566.012841269</v>
      </c>
      <c r="U204" s="104">
        <f t="shared" si="39"/>
        <v>79646.802395476057</v>
      </c>
      <c r="V204" s="55">
        <f t="shared" si="40"/>
        <v>104708.44450596286</v>
      </c>
      <c r="W204" s="55">
        <f t="shared" si="41"/>
        <v>26360919.210445791</v>
      </c>
    </row>
    <row r="205" spans="17:23" x14ac:dyDescent="0.3">
      <c r="Q205" s="27">
        <f t="shared" si="35"/>
        <v>49552</v>
      </c>
      <c r="R205" s="55">
        <f t="shared" si="36"/>
        <v>200</v>
      </c>
      <c r="S205" s="55">
        <f t="shared" si="37"/>
        <v>184355.24690143892</v>
      </c>
      <c r="T205" s="55">
        <f t="shared" si="38"/>
        <v>26360919.210445791</v>
      </c>
      <c r="U205" s="104">
        <f t="shared" si="39"/>
        <v>79962.215189009061</v>
      </c>
      <c r="V205" s="55">
        <f t="shared" si="40"/>
        <v>104393.03171242986</v>
      </c>
      <c r="W205" s="55">
        <f t="shared" si="41"/>
        <v>26280956.995256782</v>
      </c>
    </row>
    <row r="206" spans="17:23" x14ac:dyDescent="0.3">
      <c r="Q206" s="27">
        <f t="shared" si="35"/>
        <v>49582</v>
      </c>
      <c r="R206" s="55">
        <f t="shared" si="36"/>
        <v>201</v>
      </c>
      <c r="S206" s="55">
        <f t="shared" si="37"/>
        <v>184355.24690143892</v>
      </c>
      <c r="T206" s="55">
        <f t="shared" si="38"/>
        <v>26280956.995256782</v>
      </c>
      <c r="U206" s="104">
        <f t="shared" si="39"/>
        <v>83636.179315438741</v>
      </c>
      <c r="V206" s="55">
        <f t="shared" si="40"/>
        <v>100719.06758600018</v>
      </c>
      <c r="W206" s="55">
        <f t="shared" si="41"/>
        <v>26197320.815941341</v>
      </c>
    </row>
    <row r="207" spans="17:23" x14ac:dyDescent="0.3">
      <c r="Q207" s="27">
        <f t="shared" si="35"/>
        <v>49613</v>
      </c>
      <c r="R207" s="55">
        <f t="shared" si="36"/>
        <v>202</v>
      </c>
      <c r="S207" s="55">
        <f t="shared" si="37"/>
        <v>184355.24690143892</v>
      </c>
      <c r="T207" s="55">
        <f t="shared" si="38"/>
        <v>26197320.815941341</v>
      </c>
      <c r="U207" s="104">
        <f t="shared" si="39"/>
        <v>80610.088362522612</v>
      </c>
      <c r="V207" s="55">
        <f t="shared" si="40"/>
        <v>103745.15853891631</v>
      </c>
      <c r="W207" s="55">
        <f t="shared" si="41"/>
        <v>26116710.727578819</v>
      </c>
    </row>
    <row r="208" spans="17:23" x14ac:dyDescent="0.3">
      <c r="Q208" s="27">
        <f t="shared" si="35"/>
        <v>49643</v>
      </c>
      <c r="R208" s="55">
        <f t="shared" si="36"/>
        <v>203</v>
      </c>
      <c r="S208" s="55">
        <f t="shared" si="37"/>
        <v>184355.24690143892</v>
      </c>
      <c r="T208" s="55">
        <f t="shared" si="38"/>
        <v>26116710.727578819</v>
      </c>
      <c r="U208" s="104">
        <f t="shared" si="39"/>
        <v>84265.636261697975</v>
      </c>
      <c r="V208" s="55">
        <f t="shared" si="40"/>
        <v>100089.61063974095</v>
      </c>
      <c r="W208" s="55">
        <f t="shared" si="41"/>
        <v>26032445.091317121</v>
      </c>
    </row>
    <row r="209" spans="17:23" x14ac:dyDescent="0.3">
      <c r="Q209" s="27">
        <f t="shared" si="35"/>
        <v>49674</v>
      </c>
      <c r="R209" s="55">
        <f t="shared" si="36"/>
        <v>204</v>
      </c>
      <c r="S209" s="55">
        <f t="shared" si="37"/>
        <v>184355.24690143892</v>
      </c>
      <c r="T209" s="55">
        <f t="shared" si="38"/>
        <v>26032445.091317121</v>
      </c>
      <c r="U209" s="104">
        <f t="shared" si="39"/>
        <v>81263.019947036009</v>
      </c>
      <c r="V209" s="55">
        <f t="shared" si="40"/>
        <v>103092.22695440291</v>
      </c>
      <c r="W209" s="55">
        <f t="shared" si="41"/>
        <v>25951182.071370084</v>
      </c>
    </row>
    <row r="210" spans="17:23" x14ac:dyDescent="0.3">
      <c r="Q210" s="27">
        <f t="shared" si="35"/>
        <v>49705</v>
      </c>
      <c r="R210" s="55">
        <f t="shared" si="36"/>
        <v>205</v>
      </c>
      <c r="S210" s="55">
        <f t="shared" si="37"/>
        <v>184355.24690143892</v>
      </c>
      <c r="T210" s="55">
        <f t="shared" si="38"/>
        <v>25951182.071370084</v>
      </c>
      <c r="U210" s="104">
        <f t="shared" si="39"/>
        <v>81584.833194542836</v>
      </c>
      <c r="V210" s="55">
        <f t="shared" si="40"/>
        <v>102770.41370689608</v>
      </c>
      <c r="W210" s="55">
        <f t="shared" si="41"/>
        <v>25869597.238175541</v>
      </c>
    </row>
    <row r="211" spans="17:23" x14ac:dyDescent="0.3">
      <c r="Q211" s="27">
        <f t="shared" si="35"/>
        <v>49734</v>
      </c>
      <c r="R211" s="55">
        <f t="shared" si="36"/>
        <v>206</v>
      </c>
      <c r="S211" s="55">
        <f t="shared" si="37"/>
        <v>184355.24690143892</v>
      </c>
      <c r="T211" s="55">
        <f t="shared" si="38"/>
        <v>25869597.238175541</v>
      </c>
      <c r="U211" s="104">
        <f t="shared" si="39"/>
        <v>88517.425774129675</v>
      </c>
      <c r="V211" s="55">
        <f t="shared" si="40"/>
        <v>95837.821127309246</v>
      </c>
      <c r="W211" s="55">
        <f t="shared" si="41"/>
        <v>25781079.81240141</v>
      </c>
    </row>
    <row r="212" spans="17:23" x14ac:dyDescent="0.3">
      <c r="Q212" s="27">
        <f t="shared" si="35"/>
        <v>49765</v>
      </c>
      <c r="R212" s="55">
        <f t="shared" si="36"/>
        <v>207</v>
      </c>
      <c r="S212" s="55">
        <f t="shared" si="37"/>
        <v>184355.24690143892</v>
      </c>
      <c r="T212" s="55">
        <f t="shared" si="38"/>
        <v>25781079.81240141</v>
      </c>
      <c r="U212" s="104">
        <f t="shared" si="39"/>
        <v>82258.462606822068</v>
      </c>
      <c r="V212" s="55">
        <f t="shared" si="40"/>
        <v>102096.78429461685</v>
      </c>
      <c r="W212" s="55">
        <f t="shared" si="41"/>
        <v>25698821.349794589</v>
      </c>
    </row>
    <row r="213" spans="17:23" x14ac:dyDescent="0.3">
      <c r="Q213" s="27">
        <f t="shared" si="35"/>
        <v>49795</v>
      </c>
      <c r="R213" s="55">
        <f t="shared" si="36"/>
        <v>208</v>
      </c>
      <c r="S213" s="55">
        <f t="shared" si="37"/>
        <v>184355.24690143892</v>
      </c>
      <c r="T213" s="55">
        <f t="shared" si="38"/>
        <v>25698821.349794589</v>
      </c>
      <c r="U213" s="104">
        <f t="shared" si="39"/>
        <v>85867.154368215866</v>
      </c>
      <c r="V213" s="55">
        <f t="shared" si="40"/>
        <v>98488.092533223054</v>
      </c>
      <c r="W213" s="55">
        <f t="shared" si="41"/>
        <v>25612954.195426375</v>
      </c>
    </row>
    <row r="214" spans="17:23" x14ac:dyDescent="0.3">
      <c r="Q214" s="27">
        <f t="shared" si="35"/>
        <v>49826</v>
      </c>
      <c r="R214" s="55">
        <f t="shared" si="36"/>
        <v>209</v>
      </c>
      <c r="S214" s="55">
        <f t="shared" si="37"/>
        <v>184355.24690143892</v>
      </c>
      <c r="T214" s="55">
        <f t="shared" si="38"/>
        <v>25612954.195426375</v>
      </c>
      <c r="U214" s="104">
        <f t="shared" si="39"/>
        <v>82924.26423249497</v>
      </c>
      <c r="V214" s="55">
        <f t="shared" si="40"/>
        <v>101430.98266894395</v>
      </c>
      <c r="W214" s="55">
        <f t="shared" si="41"/>
        <v>25530029.931193881</v>
      </c>
    </row>
    <row r="215" spans="17:23" x14ac:dyDescent="0.3">
      <c r="Q215" s="27">
        <f t="shared" si="35"/>
        <v>49856</v>
      </c>
      <c r="R215" s="55">
        <f t="shared" si="36"/>
        <v>210</v>
      </c>
      <c r="S215" s="55">
        <f t="shared" si="37"/>
        <v>184355.24690143892</v>
      </c>
      <c r="T215" s="55">
        <f t="shared" si="38"/>
        <v>25530029.931193881</v>
      </c>
      <c r="U215" s="104">
        <f t="shared" si="39"/>
        <v>86514.030138418981</v>
      </c>
      <c r="V215" s="55">
        <f t="shared" si="40"/>
        <v>97841.21676301994</v>
      </c>
      <c r="W215" s="55">
        <f t="shared" si="41"/>
        <v>25443515.901055463</v>
      </c>
    </row>
    <row r="216" spans="17:23" x14ac:dyDescent="0.3">
      <c r="Q216" s="27">
        <f t="shared" si="35"/>
        <v>49887</v>
      </c>
      <c r="R216" s="55">
        <f t="shared" si="36"/>
        <v>211</v>
      </c>
      <c r="S216" s="55">
        <f t="shared" si="37"/>
        <v>184355.24690143892</v>
      </c>
      <c r="T216" s="55">
        <f t="shared" si="38"/>
        <v>25443515.901055463</v>
      </c>
      <c r="U216" s="104">
        <f t="shared" si="39"/>
        <v>83595.264249465297</v>
      </c>
      <c r="V216" s="55">
        <f t="shared" si="40"/>
        <v>100759.98265197362</v>
      </c>
      <c r="W216" s="55">
        <f t="shared" si="41"/>
        <v>25359920.636805996</v>
      </c>
    </row>
    <row r="217" spans="17:23" x14ac:dyDescent="0.3">
      <c r="Q217" s="27">
        <f t="shared" si="35"/>
        <v>49918</v>
      </c>
      <c r="R217" s="55">
        <f t="shared" si="36"/>
        <v>212</v>
      </c>
      <c r="S217" s="55">
        <f t="shared" si="37"/>
        <v>184355.24690143892</v>
      </c>
      <c r="T217" s="55">
        <f t="shared" si="38"/>
        <v>25359920.636805996</v>
      </c>
      <c r="U217" s="104">
        <f t="shared" si="39"/>
        <v>83926.313519869538</v>
      </c>
      <c r="V217" s="55">
        <f t="shared" si="40"/>
        <v>100428.93338156938</v>
      </c>
      <c r="W217" s="55">
        <f t="shared" si="41"/>
        <v>25275994.323286127</v>
      </c>
    </row>
    <row r="218" spans="17:23" x14ac:dyDescent="0.3">
      <c r="Q218" s="27">
        <f t="shared" si="35"/>
        <v>49948</v>
      </c>
      <c r="R218" s="55">
        <f t="shared" si="36"/>
        <v>213</v>
      </c>
      <c r="S218" s="55">
        <f t="shared" si="37"/>
        <v>184355.24690143892</v>
      </c>
      <c r="T218" s="55">
        <f t="shared" si="38"/>
        <v>25275994.323286127</v>
      </c>
      <c r="U218" s="104">
        <f t="shared" si="39"/>
        <v>87487.595506176673</v>
      </c>
      <c r="V218" s="55">
        <f t="shared" si="40"/>
        <v>96867.651395262248</v>
      </c>
      <c r="W218" s="55">
        <f t="shared" si="41"/>
        <v>25188506.727779951</v>
      </c>
    </row>
    <row r="219" spans="17:23" x14ac:dyDescent="0.3">
      <c r="Q219" s="27">
        <f t="shared" si="35"/>
        <v>49979</v>
      </c>
      <c r="R219" s="55">
        <f t="shared" si="36"/>
        <v>214</v>
      </c>
      <c r="S219" s="55">
        <f t="shared" si="37"/>
        <v>184355.24690143892</v>
      </c>
      <c r="T219" s="55">
        <f t="shared" si="38"/>
        <v>25188506.727779951</v>
      </c>
      <c r="U219" s="104">
        <f t="shared" si="39"/>
        <v>84605.13725503796</v>
      </c>
      <c r="V219" s="55">
        <f t="shared" si="40"/>
        <v>99750.109646400961</v>
      </c>
      <c r="W219" s="55">
        <f t="shared" si="41"/>
        <v>25103901.590524912</v>
      </c>
    </row>
    <row r="220" spans="17:23" x14ac:dyDescent="0.3">
      <c r="Q220" s="27">
        <f t="shared" si="35"/>
        <v>50009</v>
      </c>
      <c r="R220" s="55">
        <f t="shared" si="36"/>
        <v>215</v>
      </c>
      <c r="S220" s="55">
        <f t="shared" si="37"/>
        <v>184355.24690143892</v>
      </c>
      <c r="T220" s="55">
        <f t="shared" si="38"/>
        <v>25103901.590524912</v>
      </c>
      <c r="U220" s="104">
        <f t="shared" si="39"/>
        <v>88147.123223723829</v>
      </c>
      <c r="V220" s="55">
        <f t="shared" si="40"/>
        <v>96208.123677715092</v>
      </c>
      <c r="W220" s="55">
        <f t="shared" si="41"/>
        <v>25015754.46730119</v>
      </c>
    </row>
    <row r="221" spans="17:23" x14ac:dyDescent="0.3">
      <c r="Q221" s="27">
        <f t="shared" si="35"/>
        <v>50040</v>
      </c>
      <c r="R221" s="55">
        <f t="shared" si="36"/>
        <v>216</v>
      </c>
      <c r="S221" s="55">
        <f t="shared" si="37"/>
        <v>184355.24690143892</v>
      </c>
      <c r="T221" s="55">
        <f t="shared" si="38"/>
        <v>25015754.46730119</v>
      </c>
      <c r="U221" s="104">
        <f t="shared" si="39"/>
        <v>85289.26105446172</v>
      </c>
      <c r="V221" s="55">
        <f t="shared" si="40"/>
        <v>99065.985846977201</v>
      </c>
      <c r="W221" s="55">
        <f t="shared" si="41"/>
        <v>24930465.20624673</v>
      </c>
    </row>
    <row r="222" spans="17:23" x14ac:dyDescent="0.3">
      <c r="Q222" s="27">
        <f t="shared" si="35"/>
        <v>50071</v>
      </c>
      <c r="R222" s="55">
        <f t="shared" si="36"/>
        <v>217</v>
      </c>
      <c r="S222" s="55">
        <f t="shared" si="37"/>
        <v>184355.24690143892</v>
      </c>
      <c r="T222" s="55">
        <f t="shared" si="38"/>
        <v>24930465.20624673</v>
      </c>
      <c r="U222" s="104">
        <f t="shared" si="39"/>
        <v>85627.018795870827</v>
      </c>
      <c r="V222" s="55">
        <f t="shared" si="40"/>
        <v>98728.228105568094</v>
      </c>
      <c r="W222" s="55">
        <f t="shared" si="41"/>
        <v>24844838.18745086</v>
      </c>
    </row>
    <row r="223" spans="17:23" x14ac:dyDescent="0.3">
      <c r="Q223" s="27">
        <f t="shared" si="35"/>
        <v>50099</v>
      </c>
      <c r="R223" s="55">
        <f t="shared" si="36"/>
        <v>218</v>
      </c>
      <c r="S223" s="55">
        <f t="shared" si="37"/>
        <v>184355.24690143892</v>
      </c>
      <c r="T223" s="55">
        <f t="shared" si="38"/>
        <v>24844838.18745086</v>
      </c>
      <c r="U223" s="104">
        <f t="shared" si="39"/>
        <v>95487.643086671203</v>
      </c>
      <c r="V223" s="55">
        <f t="shared" si="40"/>
        <v>88867.603814767717</v>
      </c>
      <c r="W223" s="55">
        <f t="shared" si="41"/>
        <v>24749350.544364188</v>
      </c>
    </row>
    <row r="224" spans="17:23" x14ac:dyDescent="0.3">
      <c r="Q224" s="27">
        <f t="shared" si="35"/>
        <v>50130</v>
      </c>
      <c r="R224" s="55">
        <f t="shared" si="36"/>
        <v>219</v>
      </c>
      <c r="S224" s="55">
        <f t="shared" si="37"/>
        <v>184355.24690143892</v>
      </c>
      <c r="T224" s="55">
        <f t="shared" si="38"/>
        <v>24749350.544364188</v>
      </c>
      <c r="U224" s="104">
        <f t="shared" si="39"/>
        <v>86344.258907664742</v>
      </c>
      <c r="V224" s="55">
        <f t="shared" si="40"/>
        <v>98010.987993774179</v>
      </c>
      <c r="W224" s="55">
        <f t="shared" si="41"/>
        <v>24663006.285456523</v>
      </c>
    </row>
    <row r="225" spans="17:23" x14ac:dyDescent="0.3">
      <c r="Q225" s="27">
        <f t="shared" si="35"/>
        <v>50160</v>
      </c>
      <c r="R225" s="55">
        <f t="shared" si="36"/>
        <v>220</v>
      </c>
      <c r="S225" s="55">
        <f t="shared" si="37"/>
        <v>184355.24690143892</v>
      </c>
      <c r="T225" s="55">
        <f t="shared" si="38"/>
        <v>24663006.285456523</v>
      </c>
      <c r="U225" s="104">
        <f t="shared" si="39"/>
        <v>89836.809182935584</v>
      </c>
      <c r="V225" s="55">
        <f t="shared" si="40"/>
        <v>94518.437718503337</v>
      </c>
      <c r="W225" s="55">
        <f t="shared" si="41"/>
        <v>24573169.476273589</v>
      </c>
    </row>
    <row r="226" spans="17:23" x14ac:dyDescent="0.3">
      <c r="Q226" s="27">
        <f t="shared" si="35"/>
        <v>50191</v>
      </c>
      <c r="R226" s="55">
        <f t="shared" si="36"/>
        <v>221</v>
      </c>
      <c r="S226" s="55">
        <f t="shared" si="37"/>
        <v>184355.24690143892</v>
      </c>
      <c r="T226" s="55">
        <f t="shared" si="38"/>
        <v>24573169.476273589</v>
      </c>
      <c r="U226" s="104">
        <f t="shared" si="39"/>
        <v>87041.961278416042</v>
      </c>
      <c r="V226" s="55">
        <f t="shared" si="40"/>
        <v>97313.285623022879</v>
      </c>
      <c r="W226" s="55">
        <f t="shared" si="41"/>
        <v>24486127.514995173</v>
      </c>
    </row>
    <row r="227" spans="17:23" x14ac:dyDescent="0.3">
      <c r="Q227" s="27">
        <f t="shared" si="35"/>
        <v>50221</v>
      </c>
      <c r="R227" s="55">
        <f t="shared" si="36"/>
        <v>222</v>
      </c>
      <c r="S227" s="55">
        <f t="shared" si="37"/>
        <v>184355.24690143892</v>
      </c>
      <c r="T227" s="55">
        <f t="shared" si="38"/>
        <v>24486127.514995173</v>
      </c>
      <c r="U227" s="104">
        <f t="shared" si="39"/>
        <v>90514.678898252285</v>
      </c>
      <c r="V227" s="55">
        <f t="shared" si="40"/>
        <v>93840.568003186636</v>
      </c>
      <c r="W227" s="55">
        <f t="shared" si="41"/>
        <v>24395612.83609692</v>
      </c>
    </row>
    <row r="228" spans="17:23" x14ac:dyDescent="0.3">
      <c r="Q228" s="27">
        <f t="shared" si="35"/>
        <v>50252</v>
      </c>
      <c r="R228" s="55">
        <f t="shared" si="36"/>
        <v>223</v>
      </c>
      <c r="S228" s="55">
        <f t="shared" si="37"/>
        <v>184355.24690143892</v>
      </c>
      <c r="T228" s="55">
        <f t="shared" si="38"/>
        <v>24395612.83609692</v>
      </c>
      <c r="U228" s="104">
        <f t="shared" si="39"/>
        <v>87745.111112484432</v>
      </c>
      <c r="V228" s="55">
        <f t="shared" si="40"/>
        <v>96610.135788954489</v>
      </c>
      <c r="W228" s="55">
        <f t="shared" si="41"/>
        <v>24307867.724984437</v>
      </c>
    </row>
    <row r="229" spans="17:23" x14ac:dyDescent="0.3">
      <c r="Q229" s="27">
        <f t="shared" si="35"/>
        <v>50283</v>
      </c>
      <c r="R229" s="55">
        <f t="shared" si="36"/>
        <v>224</v>
      </c>
      <c r="S229" s="55">
        <f t="shared" si="37"/>
        <v>184355.24690143892</v>
      </c>
      <c r="T229" s="55">
        <f t="shared" si="38"/>
        <v>24307867.724984437</v>
      </c>
      <c r="U229" s="104">
        <f t="shared" si="39"/>
        <v>88092.594373362037</v>
      </c>
      <c r="V229" s="55">
        <f t="shared" si="40"/>
        <v>96262.652528076884</v>
      </c>
      <c r="W229" s="55">
        <f t="shared" si="41"/>
        <v>24219775.130611077</v>
      </c>
    </row>
    <row r="230" spans="17:23" x14ac:dyDescent="0.3">
      <c r="Q230" s="27">
        <f t="shared" si="35"/>
        <v>50313</v>
      </c>
      <c r="R230" s="55">
        <f t="shared" si="36"/>
        <v>225</v>
      </c>
      <c r="S230" s="55">
        <f t="shared" si="37"/>
        <v>184355.24690143892</v>
      </c>
      <c r="T230" s="55">
        <f t="shared" si="38"/>
        <v>24219775.130611077</v>
      </c>
      <c r="U230" s="104">
        <f t="shared" si="39"/>
        <v>91535.447046433343</v>
      </c>
      <c r="V230" s="55">
        <f t="shared" si="40"/>
        <v>92819.799855005578</v>
      </c>
      <c r="W230" s="55">
        <f t="shared" si="41"/>
        <v>24128239.683564644</v>
      </c>
    </row>
    <row r="231" spans="17:23" x14ac:dyDescent="0.3">
      <c r="Q231" s="27">
        <f t="shared" si="35"/>
        <v>50344</v>
      </c>
      <c r="R231" s="55">
        <f t="shared" si="36"/>
        <v>226</v>
      </c>
      <c r="S231" s="55">
        <f t="shared" si="37"/>
        <v>184355.24690143892</v>
      </c>
      <c r="T231" s="55">
        <f t="shared" si="38"/>
        <v>24128239.683564644</v>
      </c>
      <c r="U231" s="104">
        <f t="shared" si="39"/>
        <v>88803.947254294471</v>
      </c>
      <c r="V231" s="55">
        <f t="shared" si="40"/>
        <v>95551.299647144449</v>
      </c>
      <c r="W231" s="55">
        <f t="shared" si="41"/>
        <v>24039435.736310352</v>
      </c>
    </row>
    <row r="232" spans="17:23" x14ac:dyDescent="0.3">
      <c r="Q232" s="27">
        <f t="shared" si="35"/>
        <v>50374</v>
      </c>
      <c r="R232" s="55">
        <f t="shared" si="36"/>
        <v>227</v>
      </c>
      <c r="S232" s="55">
        <f t="shared" si="37"/>
        <v>184355.24690143892</v>
      </c>
      <c r="T232" s="55">
        <f t="shared" si="38"/>
        <v>24039435.736310352</v>
      </c>
      <c r="U232" s="104">
        <f t="shared" si="39"/>
        <v>92226.579247070898</v>
      </c>
      <c r="V232" s="55">
        <f t="shared" si="40"/>
        <v>92128.667654368022</v>
      </c>
      <c r="W232" s="55">
        <f t="shared" si="41"/>
        <v>23947209.157063279</v>
      </c>
    </row>
    <row r="233" spans="17:23" x14ac:dyDescent="0.3">
      <c r="Q233" s="27">
        <f t="shared" si="35"/>
        <v>50405</v>
      </c>
      <c r="R233" s="55">
        <f t="shared" si="36"/>
        <v>228</v>
      </c>
      <c r="S233" s="55">
        <f t="shared" si="37"/>
        <v>184355.24690143892</v>
      </c>
      <c r="T233" s="55">
        <f t="shared" si="38"/>
        <v>23947209.157063279</v>
      </c>
      <c r="U233" s="104">
        <f t="shared" si="39"/>
        <v>89520.854177877234</v>
      </c>
      <c r="V233" s="55">
        <f t="shared" si="40"/>
        <v>94834.392723561687</v>
      </c>
      <c r="W233" s="55">
        <f t="shared" si="41"/>
        <v>23857688.302885402</v>
      </c>
    </row>
    <row r="234" spans="17:23" x14ac:dyDescent="0.3">
      <c r="Q234" s="27">
        <f t="shared" si="35"/>
        <v>50436</v>
      </c>
      <c r="R234" s="55">
        <f t="shared" si="36"/>
        <v>229</v>
      </c>
      <c r="S234" s="55">
        <f t="shared" si="37"/>
        <v>184355.24690143892</v>
      </c>
      <c r="T234" s="55">
        <f t="shared" si="38"/>
        <v>23857688.302885402</v>
      </c>
      <c r="U234" s="104">
        <f t="shared" si="39"/>
        <v>89875.369636708885</v>
      </c>
      <c r="V234" s="55">
        <f t="shared" si="40"/>
        <v>94479.877264730036</v>
      </c>
      <c r="W234" s="55">
        <f t="shared" si="41"/>
        <v>23767812.933248691</v>
      </c>
    </row>
    <row r="235" spans="17:23" x14ac:dyDescent="0.3">
      <c r="Q235" s="27">
        <f t="shared" si="35"/>
        <v>50464</v>
      </c>
      <c r="R235" s="55">
        <f t="shared" si="36"/>
        <v>230</v>
      </c>
      <c r="S235" s="55">
        <f t="shared" si="37"/>
        <v>184355.24690143892</v>
      </c>
      <c r="T235" s="55">
        <f t="shared" si="38"/>
        <v>23767812.933248691</v>
      </c>
      <c r="U235" s="104">
        <f t="shared" si="39"/>
        <v>99340.059144558109</v>
      </c>
      <c r="V235" s="55">
        <f t="shared" si="40"/>
        <v>85015.187756880812</v>
      </c>
      <c r="W235" s="55">
        <f t="shared" si="41"/>
        <v>23668472.874104135</v>
      </c>
    </row>
    <row r="236" spans="17:23" x14ac:dyDescent="0.3">
      <c r="Q236" s="27">
        <f t="shared" si="35"/>
        <v>50495</v>
      </c>
      <c r="R236" s="55">
        <f t="shared" si="36"/>
        <v>231</v>
      </c>
      <c r="S236" s="55">
        <f t="shared" si="37"/>
        <v>184355.24690143892</v>
      </c>
      <c r="T236" s="55">
        <f t="shared" si="38"/>
        <v>23668472.874104135</v>
      </c>
      <c r="U236" s="104">
        <f t="shared" si="39"/>
        <v>90624.689950600543</v>
      </c>
      <c r="V236" s="55">
        <f t="shared" si="40"/>
        <v>93730.556950838378</v>
      </c>
      <c r="W236" s="55">
        <f t="shared" si="41"/>
        <v>23577848.184153534</v>
      </c>
    </row>
    <row r="237" spans="17:23" x14ac:dyDescent="0.3">
      <c r="Q237" s="27">
        <f t="shared" si="35"/>
        <v>50525</v>
      </c>
      <c r="R237" s="55">
        <f t="shared" si="36"/>
        <v>232</v>
      </c>
      <c r="S237" s="55">
        <f t="shared" si="37"/>
        <v>184355.24690143892</v>
      </c>
      <c r="T237" s="55">
        <f t="shared" si="38"/>
        <v>23577848.184153534</v>
      </c>
      <c r="U237" s="104">
        <f t="shared" si="39"/>
        <v>93995.566117333263</v>
      </c>
      <c r="V237" s="55">
        <f t="shared" si="40"/>
        <v>90359.680784105658</v>
      </c>
      <c r="W237" s="55">
        <f t="shared" si="41"/>
        <v>23483852.618036199</v>
      </c>
    </row>
    <row r="238" spans="17:23" x14ac:dyDescent="0.3">
      <c r="Q238" s="27">
        <f t="shared" si="35"/>
        <v>50556</v>
      </c>
      <c r="R238" s="55">
        <f t="shared" si="36"/>
        <v>233</v>
      </c>
      <c r="S238" s="55">
        <f t="shared" si="37"/>
        <v>184355.24690143892</v>
      </c>
      <c r="T238" s="55">
        <f t="shared" si="38"/>
        <v>23483852.618036199</v>
      </c>
      <c r="U238" s="104">
        <f t="shared" si="39"/>
        <v>91355.812719597903</v>
      </c>
      <c r="V238" s="55">
        <f t="shared" si="40"/>
        <v>92999.434181841018</v>
      </c>
      <c r="W238" s="55">
        <f t="shared" si="41"/>
        <v>23392496.805316601</v>
      </c>
    </row>
    <row r="239" spans="17:23" x14ac:dyDescent="0.3">
      <c r="Q239" s="27">
        <f t="shared" si="35"/>
        <v>50586</v>
      </c>
      <c r="R239" s="55">
        <f t="shared" si="36"/>
        <v>234</v>
      </c>
      <c r="S239" s="55">
        <f t="shared" si="37"/>
        <v>184355.24690143892</v>
      </c>
      <c r="T239" s="55">
        <f t="shared" si="38"/>
        <v>23392496.805316601</v>
      </c>
      <c r="U239" s="104">
        <f t="shared" si="39"/>
        <v>94705.906233775924</v>
      </c>
      <c r="V239" s="55">
        <f t="shared" si="40"/>
        <v>89649.340667662997</v>
      </c>
      <c r="W239" s="55">
        <f t="shared" si="41"/>
        <v>23297790.899082825</v>
      </c>
    </row>
    <row r="240" spans="17:23" x14ac:dyDescent="0.3">
      <c r="Q240" s="27">
        <f t="shared" si="35"/>
        <v>50617</v>
      </c>
      <c r="R240" s="55">
        <f t="shared" si="36"/>
        <v>235</v>
      </c>
      <c r="S240" s="55">
        <f t="shared" si="37"/>
        <v>184355.24690143892</v>
      </c>
      <c r="T240" s="55">
        <f t="shared" si="38"/>
        <v>23297790.899082825</v>
      </c>
      <c r="U240" s="104">
        <f t="shared" si="39"/>
        <v>92092.64388895531</v>
      </c>
      <c r="V240" s="55">
        <f t="shared" si="40"/>
        <v>92262.603012483611</v>
      </c>
      <c r="W240" s="55">
        <f t="shared" si="41"/>
        <v>23205698.255193871</v>
      </c>
    </row>
    <row r="241" spans="17:23" x14ac:dyDescent="0.3">
      <c r="Q241" s="27">
        <f t="shared" si="35"/>
        <v>50648</v>
      </c>
      <c r="R241" s="55">
        <f t="shared" si="36"/>
        <v>236</v>
      </c>
      <c r="S241" s="55">
        <f t="shared" si="37"/>
        <v>184355.24690143892</v>
      </c>
      <c r="T241" s="55">
        <f t="shared" si="38"/>
        <v>23205698.255193871</v>
      </c>
      <c r="U241" s="104">
        <f t="shared" si="39"/>
        <v>92457.344004957777</v>
      </c>
      <c r="V241" s="55">
        <f t="shared" si="40"/>
        <v>91897.902896481144</v>
      </c>
      <c r="W241" s="55">
        <f t="shared" si="41"/>
        <v>23113240.911188912</v>
      </c>
    </row>
    <row r="242" spans="17:23" x14ac:dyDescent="0.3">
      <c r="Q242" s="27">
        <f t="shared" si="35"/>
        <v>50678</v>
      </c>
      <c r="R242" s="55">
        <f t="shared" si="36"/>
        <v>237</v>
      </c>
      <c r="S242" s="55">
        <f t="shared" si="37"/>
        <v>184355.24690143892</v>
      </c>
      <c r="T242" s="55">
        <f t="shared" si="38"/>
        <v>23113240.911188912</v>
      </c>
      <c r="U242" s="104">
        <f t="shared" si="39"/>
        <v>95776.12575734625</v>
      </c>
      <c r="V242" s="55">
        <f t="shared" si="40"/>
        <v>88579.121144092671</v>
      </c>
      <c r="W242" s="55">
        <f t="shared" si="41"/>
        <v>23017464.785431564</v>
      </c>
    </row>
    <row r="243" spans="17:23" x14ac:dyDescent="0.3">
      <c r="Q243" s="27">
        <f t="shared" si="35"/>
        <v>50709</v>
      </c>
      <c r="R243" s="55">
        <f t="shared" si="36"/>
        <v>238</v>
      </c>
      <c r="S243" s="55">
        <f t="shared" si="37"/>
        <v>184355.24690143892</v>
      </c>
      <c r="T243" s="55">
        <f t="shared" si="38"/>
        <v>23017464.785431564</v>
      </c>
      <c r="U243" s="104">
        <f t="shared" si="39"/>
        <v>93202.775619893655</v>
      </c>
      <c r="V243" s="55">
        <f t="shared" si="40"/>
        <v>91152.471281545266</v>
      </c>
      <c r="W243" s="55">
        <f t="shared" si="41"/>
        <v>22924262.00981167</v>
      </c>
    </row>
    <row r="244" spans="17:23" x14ac:dyDescent="0.3">
      <c r="Q244" s="27">
        <f t="shared" si="35"/>
        <v>50739</v>
      </c>
      <c r="R244" s="55">
        <f t="shared" si="36"/>
        <v>239</v>
      </c>
      <c r="S244" s="55">
        <f t="shared" si="37"/>
        <v>184355.24690143892</v>
      </c>
      <c r="T244" s="55">
        <f t="shared" si="38"/>
        <v>22924262.00981167</v>
      </c>
      <c r="U244" s="104">
        <f t="shared" si="39"/>
        <v>96500.367981233969</v>
      </c>
      <c r="V244" s="55">
        <f t="shared" si="40"/>
        <v>87854.878920204952</v>
      </c>
      <c r="W244" s="55">
        <f t="shared" si="41"/>
        <v>22827761.641830437</v>
      </c>
    </row>
    <row r="245" spans="17:23" x14ac:dyDescent="0.3">
      <c r="Q245" s="27">
        <f t="shared" si="35"/>
        <v>50770</v>
      </c>
      <c r="R245" s="55">
        <f t="shared" si="36"/>
        <v>240</v>
      </c>
      <c r="S245" s="55">
        <f t="shared" si="37"/>
        <v>184355.24690143892</v>
      </c>
      <c r="T245" s="55">
        <f t="shared" si="38"/>
        <v>22827761.641830437</v>
      </c>
      <c r="U245" s="104">
        <f t="shared" si="39"/>
        <v>93954.027354622725</v>
      </c>
      <c r="V245" s="55">
        <f t="shared" si="40"/>
        <v>90401.219546816195</v>
      </c>
      <c r="W245" s="55">
        <f t="shared" si="41"/>
        <v>22733807.614475813</v>
      </c>
    </row>
    <row r="246" spans="17:23" x14ac:dyDescent="0.3">
      <c r="Q246" s="27">
        <f t="shared" si="35"/>
        <v>50801</v>
      </c>
      <c r="R246" s="55">
        <f t="shared" si="36"/>
        <v>241</v>
      </c>
      <c r="S246" s="55">
        <f t="shared" si="37"/>
        <v>184355.24690143892</v>
      </c>
      <c r="T246" s="55">
        <f t="shared" si="38"/>
        <v>22733807.614475813</v>
      </c>
      <c r="U246" s="104">
        <f t="shared" si="39"/>
        <v>94326.098816882484</v>
      </c>
      <c r="V246" s="55">
        <f t="shared" si="40"/>
        <v>90029.148084556437</v>
      </c>
      <c r="W246" s="55">
        <f t="shared" si="41"/>
        <v>22639481.51565893</v>
      </c>
    </row>
    <row r="247" spans="17:23" x14ac:dyDescent="0.3">
      <c r="Q247" s="27">
        <f t="shared" si="35"/>
        <v>50829</v>
      </c>
      <c r="R247" s="55">
        <f t="shared" si="36"/>
        <v>242</v>
      </c>
      <c r="S247" s="55">
        <f t="shared" si="37"/>
        <v>184355.24690143892</v>
      </c>
      <c r="T247" s="55">
        <f t="shared" si="38"/>
        <v>22639481.51565893</v>
      </c>
      <c r="U247" s="104">
        <f t="shared" si="39"/>
        <v>103375.99242911335</v>
      </c>
      <c r="V247" s="55">
        <f t="shared" si="40"/>
        <v>80979.254472325571</v>
      </c>
      <c r="W247" s="55">
        <f t="shared" si="41"/>
        <v>22536105.523229815</v>
      </c>
    </row>
    <row r="248" spans="17:23" x14ac:dyDescent="0.3">
      <c r="Q248" s="27">
        <f t="shared" si="35"/>
        <v>50860</v>
      </c>
      <c r="R248" s="55">
        <f t="shared" si="36"/>
        <v>243</v>
      </c>
      <c r="S248" s="55">
        <f t="shared" si="37"/>
        <v>184355.24690143892</v>
      </c>
      <c r="T248" s="55">
        <f t="shared" si="38"/>
        <v>22536105.523229815</v>
      </c>
      <c r="U248" s="104">
        <f t="shared" si="39"/>
        <v>95109.027534818801</v>
      </c>
      <c r="V248" s="55">
        <f t="shared" si="40"/>
        <v>89246.21936662012</v>
      </c>
      <c r="W248" s="55">
        <f t="shared" si="41"/>
        <v>22440996.495694995</v>
      </c>
    </row>
    <row r="249" spans="17:23" x14ac:dyDescent="0.3">
      <c r="Q249" s="27">
        <f t="shared" si="35"/>
        <v>50890</v>
      </c>
      <c r="R249" s="55">
        <f t="shared" si="36"/>
        <v>244</v>
      </c>
      <c r="S249" s="55">
        <f t="shared" si="37"/>
        <v>184355.24690143892</v>
      </c>
      <c r="T249" s="55">
        <f t="shared" si="38"/>
        <v>22440996.495694995</v>
      </c>
      <c r="U249" s="104">
        <f t="shared" si="39"/>
        <v>98352.433413519611</v>
      </c>
      <c r="V249" s="55">
        <f t="shared" si="40"/>
        <v>86002.813487919309</v>
      </c>
      <c r="W249" s="55">
        <f t="shared" si="41"/>
        <v>22342644.062281474</v>
      </c>
    </row>
    <row r="250" spans="17:23" x14ac:dyDescent="0.3">
      <c r="Q250" s="27">
        <f t="shared" si="35"/>
        <v>50921</v>
      </c>
      <c r="R250" s="55">
        <f t="shared" si="36"/>
        <v>245</v>
      </c>
      <c r="S250" s="55">
        <f t="shared" si="37"/>
        <v>184355.24690143892</v>
      </c>
      <c r="T250" s="55">
        <f t="shared" si="38"/>
        <v>22342644.062281474</v>
      </c>
      <c r="U250" s="104">
        <f t="shared" si="39"/>
        <v>95875.162746822723</v>
      </c>
      <c r="V250" s="55">
        <f t="shared" si="40"/>
        <v>88480.084154616197</v>
      </c>
      <c r="W250" s="55">
        <f t="shared" si="41"/>
        <v>22246768.89953465</v>
      </c>
    </row>
    <row r="251" spans="17:23" x14ac:dyDescent="0.3">
      <c r="Q251" s="27">
        <f t="shared" si="35"/>
        <v>50951</v>
      </c>
      <c r="R251" s="55">
        <f t="shared" si="36"/>
        <v>246</v>
      </c>
      <c r="S251" s="55">
        <f t="shared" si="37"/>
        <v>184355.24690143892</v>
      </c>
      <c r="T251" s="55">
        <f t="shared" si="38"/>
        <v>22246768.89953465</v>
      </c>
      <c r="U251" s="104">
        <f t="shared" si="39"/>
        <v>99096.790720914098</v>
      </c>
      <c r="V251" s="55">
        <f t="shared" si="40"/>
        <v>85258.456180524823</v>
      </c>
      <c r="W251" s="55">
        <f t="shared" si="41"/>
        <v>22147672.108813737</v>
      </c>
    </row>
    <row r="252" spans="17:23" x14ac:dyDescent="0.3">
      <c r="Q252" s="27">
        <f t="shared" si="35"/>
        <v>50982</v>
      </c>
      <c r="R252" s="55">
        <f t="shared" si="36"/>
        <v>247</v>
      </c>
      <c r="S252" s="55">
        <f t="shared" si="37"/>
        <v>184355.24690143892</v>
      </c>
      <c r="T252" s="55">
        <f t="shared" si="38"/>
        <v>22147672.108813737</v>
      </c>
      <c r="U252" s="104">
        <f t="shared" si="39"/>
        <v>96647.279726466077</v>
      </c>
      <c r="V252" s="55">
        <f t="shared" si="40"/>
        <v>87707.967174972844</v>
      </c>
      <c r="W252" s="55">
        <f t="shared" si="41"/>
        <v>22051024.829087272</v>
      </c>
    </row>
    <row r="253" spans="17:23" x14ac:dyDescent="0.3">
      <c r="Q253" s="27">
        <f t="shared" si="35"/>
        <v>51013</v>
      </c>
      <c r="R253" s="55">
        <f t="shared" si="36"/>
        <v>248</v>
      </c>
      <c r="S253" s="55">
        <f t="shared" si="37"/>
        <v>184355.24690143892</v>
      </c>
      <c r="T253" s="55">
        <f t="shared" si="38"/>
        <v>22051024.829087272</v>
      </c>
      <c r="U253" s="104">
        <f t="shared" si="39"/>
        <v>97030.016855503927</v>
      </c>
      <c r="V253" s="55">
        <f t="shared" si="40"/>
        <v>87325.230045934994</v>
      </c>
      <c r="W253" s="55">
        <f t="shared" si="41"/>
        <v>21953994.812231768</v>
      </c>
    </row>
    <row r="254" spans="17:23" x14ac:dyDescent="0.3">
      <c r="Q254" s="27">
        <f t="shared" ref="Q254:Q317" si="42">EOMONTH(Q253,1)</f>
        <v>51043</v>
      </c>
      <c r="R254" s="55">
        <f t="shared" ref="R254:R317" si="43">++R253+1</f>
        <v>249</v>
      </c>
      <c r="S254" s="55">
        <f t="shared" ref="S254:S317" si="44">S253</f>
        <v>184355.24690143892</v>
      </c>
      <c r="T254" s="55">
        <f t="shared" ref="T254:T317" si="45">W253</f>
        <v>21953994.812231768</v>
      </c>
      <c r="U254" s="104">
        <f t="shared" ref="U254:U317" si="46">(S254-V254)*(R254&gt;$J$26)</f>
        <v>100218.81733097289</v>
      </c>
      <c r="V254" s="55">
        <f t="shared" ref="V254:V317" si="47">$J$25*T254*((Q254-Q253)/365)</f>
        <v>84136.429570466033</v>
      </c>
      <c r="W254" s="55">
        <f t="shared" ref="W254:W317" si="48">T254-U254</f>
        <v>21853775.994900797</v>
      </c>
    </row>
    <row r="255" spans="17:23" x14ac:dyDescent="0.3">
      <c r="Q255" s="27">
        <f t="shared" si="42"/>
        <v>51074</v>
      </c>
      <c r="R255" s="55">
        <f t="shared" si="43"/>
        <v>250</v>
      </c>
      <c r="S255" s="55">
        <f t="shared" si="44"/>
        <v>184355.24690143892</v>
      </c>
      <c r="T255" s="55">
        <f t="shared" si="45"/>
        <v>21853775.994900797</v>
      </c>
      <c r="U255" s="104">
        <f t="shared" si="46"/>
        <v>97811.150610290031</v>
      </c>
      <c r="V255" s="55">
        <f t="shared" si="47"/>
        <v>86544.09629114889</v>
      </c>
      <c r="W255" s="55">
        <f t="shared" si="48"/>
        <v>21755964.844290506</v>
      </c>
    </row>
    <row r="256" spans="17:23" x14ac:dyDescent="0.3">
      <c r="Q256" s="27">
        <f t="shared" si="42"/>
        <v>51104</v>
      </c>
      <c r="R256" s="55">
        <f t="shared" si="43"/>
        <v>251</v>
      </c>
      <c r="S256" s="55">
        <f t="shared" si="44"/>
        <v>184355.24690143892</v>
      </c>
      <c r="T256" s="55">
        <f t="shared" si="45"/>
        <v>21755964.844290506</v>
      </c>
      <c r="U256" s="104">
        <f t="shared" si="46"/>
        <v>100977.74683756311</v>
      </c>
      <c r="V256" s="55">
        <f t="shared" si="47"/>
        <v>83377.500063875807</v>
      </c>
      <c r="W256" s="55">
        <f t="shared" si="48"/>
        <v>21654987.097452942</v>
      </c>
    </row>
    <row r="257" spans="17:23" x14ac:dyDescent="0.3">
      <c r="Q257" s="27">
        <f t="shared" si="42"/>
        <v>51135</v>
      </c>
      <c r="R257" s="55">
        <f t="shared" si="43"/>
        <v>252</v>
      </c>
      <c r="S257" s="55">
        <f t="shared" si="44"/>
        <v>184355.24690143892</v>
      </c>
      <c r="T257" s="55">
        <f t="shared" si="45"/>
        <v>21654987.097452942</v>
      </c>
      <c r="U257" s="104">
        <f t="shared" si="46"/>
        <v>98598.383237107148</v>
      </c>
      <c r="V257" s="55">
        <f t="shared" si="47"/>
        <v>85756.863664331773</v>
      </c>
      <c r="W257" s="55">
        <f t="shared" si="48"/>
        <v>21556388.714215834</v>
      </c>
    </row>
    <row r="258" spans="17:23" x14ac:dyDescent="0.3">
      <c r="Q258" s="27">
        <f t="shared" si="42"/>
        <v>51166</v>
      </c>
      <c r="R258" s="55">
        <f t="shared" si="43"/>
        <v>253</v>
      </c>
      <c r="S258" s="55">
        <f t="shared" si="44"/>
        <v>184355.24690143892</v>
      </c>
      <c r="T258" s="55">
        <f t="shared" si="45"/>
        <v>21556388.714215834</v>
      </c>
      <c r="U258" s="104">
        <f t="shared" si="46"/>
        <v>98988.847016685322</v>
      </c>
      <c r="V258" s="55">
        <f t="shared" si="47"/>
        <v>85366.399884753599</v>
      </c>
      <c r="W258" s="55">
        <f t="shared" si="48"/>
        <v>21457399.867199149</v>
      </c>
    </row>
    <row r="259" spans="17:23" x14ac:dyDescent="0.3">
      <c r="Q259" s="27">
        <f t="shared" si="42"/>
        <v>51195</v>
      </c>
      <c r="R259" s="55">
        <f t="shared" si="43"/>
        <v>254</v>
      </c>
      <c r="S259" s="55">
        <f t="shared" si="44"/>
        <v>184355.24690143892</v>
      </c>
      <c r="T259" s="55">
        <f t="shared" si="45"/>
        <v>21457399.867199149</v>
      </c>
      <c r="U259" s="104">
        <f t="shared" si="46"/>
        <v>104863.07578657036</v>
      </c>
      <c r="V259" s="55">
        <f t="shared" si="47"/>
        <v>79492.171114868557</v>
      </c>
      <c r="W259" s="55">
        <f t="shared" si="48"/>
        <v>21352536.791412577</v>
      </c>
    </row>
    <row r="260" spans="17:23" x14ac:dyDescent="0.3">
      <c r="Q260" s="27">
        <f t="shared" si="42"/>
        <v>51226</v>
      </c>
      <c r="R260" s="55">
        <f t="shared" si="43"/>
        <v>255</v>
      </c>
      <c r="S260" s="55">
        <f t="shared" si="44"/>
        <v>184355.24690143892</v>
      </c>
      <c r="T260" s="55">
        <f t="shared" si="45"/>
        <v>21352536.791412577</v>
      </c>
      <c r="U260" s="104">
        <f t="shared" si="46"/>
        <v>99796.129952153206</v>
      </c>
      <c r="V260" s="55">
        <f t="shared" si="47"/>
        <v>84559.116949285715</v>
      </c>
      <c r="W260" s="55">
        <f t="shared" si="48"/>
        <v>21252740.661460422</v>
      </c>
    </row>
    <row r="261" spans="17:23" x14ac:dyDescent="0.3">
      <c r="Q261" s="27">
        <f t="shared" si="42"/>
        <v>51256</v>
      </c>
      <c r="R261" s="55">
        <f t="shared" si="43"/>
        <v>256</v>
      </c>
      <c r="S261" s="55">
        <f t="shared" si="44"/>
        <v>184355.24690143892</v>
      </c>
      <c r="T261" s="55">
        <f t="shared" si="45"/>
        <v>21252740.661460422</v>
      </c>
      <c r="U261" s="104">
        <f t="shared" si="46"/>
        <v>102906.30181714475</v>
      </c>
      <c r="V261" s="55">
        <f t="shared" si="47"/>
        <v>81448.945084294173</v>
      </c>
      <c r="W261" s="55">
        <f t="shared" si="48"/>
        <v>21149834.359643277</v>
      </c>
    </row>
    <row r="262" spans="17:23" x14ac:dyDescent="0.3">
      <c r="Q262" s="27">
        <f t="shared" si="42"/>
        <v>51287</v>
      </c>
      <c r="R262" s="55">
        <f t="shared" si="43"/>
        <v>257</v>
      </c>
      <c r="S262" s="55">
        <f t="shared" si="44"/>
        <v>184355.24690143892</v>
      </c>
      <c r="T262" s="55">
        <f t="shared" si="45"/>
        <v>21149834.359643277</v>
      </c>
      <c r="U262" s="104">
        <f t="shared" si="46"/>
        <v>100598.86073778885</v>
      </c>
      <c r="V262" s="55">
        <f t="shared" si="47"/>
        <v>83756.386163650066</v>
      </c>
      <c r="W262" s="55">
        <f t="shared" si="48"/>
        <v>21049235.498905487</v>
      </c>
    </row>
    <row r="263" spans="17:23" x14ac:dyDescent="0.3">
      <c r="Q263" s="27">
        <f t="shared" si="42"/>
        <v>51317</v>
      </c>
      <c r="R263" s="55">
        <f t="shared" si="43"/>
        <v>258</v>
      </c>
      <c r="S263" s="55">
        <f t="shared" si="44"/>
        <v>184355.24690143892</v>
      </c>
      <c r="T263" s="55">
        <f t="shared" si="45"/>
        <v>21049235.498905487</v>
      </c>
      <c r="U263" s="104">
        <f t="shared" si="46"/>
        <v>103686.21444457189</v>
      </c>
      <c r="V263" s="55">
        <f t="shared" si="47"/>
        <v>80669.032456867033</v>
      </c>
      <c r="W263" s="55">
        <f t="shared" si="48"/>
        <v>20945549.284460917</v>
      </c>
    </row>
    <row r="264" spans="17:23" x14ac:dyDescent="0.3">
      <c r="Q264" s="27">
        <f t="shared" si="42"/>
        <v>51348</v>
      </c>
      <c r="R264" s="55">
        <f t="shared" si="43"/>
        <v>259</v>
      </c>
      <c r="S264" s="55">
        <f t="shared" si="44"/>
        <v>184355.24690143892</v>
      </c>
      <c r="T264" s="55">
        <f t="shared" si="45"/>
        <v>20945549.284460917</v>
      </c>
      <c r="U264" s="104">
        <f t="shared" si="46"/>
        <v>101407.85901898071</v>
      </c>
      <c r="V264" s="55">
        <f t="shared" si="47"/>
        <v>82947.387882458206</v>
      </c>
      <c r="W264" s="55">
        <f t="shared" si="48"/>
        <v>20844141.425441936</v>
      </c>
    </row>
    <row r="265" spans="17:23" x14ac:dyDescent="0.3">
      <c r="Q265" s="27">
        <f t="shared" si="42"/>
        <v>51379</v>
      </c>
      <c r="R265" s="55">
        <f t="shared" si="43"/>
        <v>260</v>
      </c>
      <c r="S265" s="55">
        <f t="shared" si="44"/>
        <v>184355.24690143892</v>
      </c>
      <c r="T265" s="55">
        <f t="shared" si="45"/>
        <v>20844141.425441936</v>
      </c>
      <c r="U265" s="104">
        <f t="shared" si="46"/>
        <v>101809.44872675779</v>
      </c>
      <c r="V265" s="55">
        <f t="shared" si="47"/>
        <v>82545.798174681127</v>
      </c>
      <c r="W265" s="55">
        <f t="shared" si="48"/>
        <v>20742331.976715177</v>
      </c>
    </row>
    <row r="266" spans="17:23" x14ac:dyDescent="0.3">
      <c r="Q266" s="27">
        <f t="shared" si="42"/>
        <v>51409</v>
      </c>
      <c r="R266" s="55">
        <f t="shared" si="43"/>
        <v>261</v>
      </c>
      <c r="S266" s="55">
        <f t="shared" si="44"/>
        <v>184355.24690143892</v>
      </c>
      <c r="T266" s="55">
        <f t="shared" si="45"/>
        <v>20742331.976715177</v>
      </c>
      <c r="U266" s="104">
        <f t="shared" si="46"/>
        <v>104862.39066218246</v>
      </c>
      <c r="V266" s="55">
        <f t="shared" si="47"/>
        <v>79492.856239256464</v>
      </c>
      <c r="W266" s="55">
        <f t="shared" si="48"/>
        <v>20637469.586052995</v>
      </c>
    </row>
    <row r="267" spans="17:23" x14ac:dyDescent="0.3">
      <c r="Q267" s="27">
        <f t="shared" si="42"/>
        <v>51440</v>
      </c>
      <c r="R267" s="55">
        <f t="shared" si="43"/>
        <v>262</v>
      </c>
      <c r="S267" s="55">
        <f t="shared" si="44"/>
        <v>184355.24690143892</v>
      </c>
      <c r="T267" s="55">
        <f t="shared" si="45"/>
        <v>20637469.586052995</v>
      </c>
      <c r="U267" s="104">
        <f t="shared" si="46"/>
        <v>102627.89893750942</v>
      </c>
      <c r="V267" s="55">
        <f t="shared" si="47"/>
        <v>81727.347963929496</v>
      </c>
      <c r="W267" s="55">
        <f t="shared" si="48"/>
        <v>20534841.687115487</v>
      </c>
    </row>
    <row r="268" spans="17:23" x14ac:dyDescent="0.3">
      <c r="Q268" s="27">
        <f t="shared" si="42"/>
        <v>51470</v>
      </c>
      <c r="R268" s="55">
        <f t="shared" si="43"/>
        <v>263</v>
      </c>
      <c r="S268" s="55">
        <f t="shared" si="44"/>
        <v>184355.24690143892</v>
      </c>
      <c r="T268" s="55">
        <f t="shared" si="45"/>
        <v>20534841.687115487</v>
      </c>
      <c r="U268" s="104">
        <f t="shared" si="46"/>
        <v>105657.57587957777</v>
      </c>
      <c r="V268" s="55">
        <f t="shared" si="47"/>
        <v>78697.671021861155</v>
      </c>
      <c r="W268" s="55">
        <f t="shared" si="48"/>
        <v>20429184.111235909</v>
      </c>
    </row>
    <row r="269" spans="17:23" x14ac:dyDescent="0.3">
      <c r="Q269" s="27">
        <f t="shared" si="42"/>
        <v>51501</v>
      </c>
      <c r="R269" s="55">
        <f t="shared" si="43"/>
        <v>264</v>
      </c>
      <c r="S269" s="55">
        <f t="shared" si="44"/>
        <v>184355.24690143892</v>
      </c>
      <c r="T269" s="55">
        <f t="shared" si="45"/>
        <v>20429184.111235909</v>
      </c>
      <c r="U269" s="104">
        <f t="shared" si="46"/>
        <v>103452.73937665475</v>
      </c>
      <c r="V269" s="55">
        <f t="shared" si="47"/>
        <v>80902.507524784174</v>
      </c>
      <c r="W269" s="55">
        <f t="shared" si="48"/>
        <v>20325731.371859256</v>
      </c>
    </row>
    <row r="270" spans="17:23" x14ac:dyDescent="0.3">
      <c r="Q270" s="27">
        <f t="shared" si="42"/>
        <v>51532</v>
      </c>
      <c r="R270" s="55">
        <f t="shared" si="43"/>
        <v>265</v>
      </c>
      <c r="S270" s="55">
        <f t="shared" si="44"/>
        <v>184355.24690143892</v>
      </c>
      <c r="T270" s="55">
        <f t="shared" si="45"/>
        <v>20325731.371859256</v>
      </c>
      <c r="U270" s="104">
        <f t="shared" si="46"/>
        <v>103862.42710477483</v>
      </c>
      <c r="V270" s="55">
        <f t="shared" si="47"/>
        <v>80492.819796664087</v>
      </c>
      <c r="W270" s="55">
        <f t="shared" si="48"/>
        <v>20221868.944754481</v>
      </c>
    </row>
    <row r="271" spans="17:23" x14ac:dyDescent="0.3">
      <c r="Q271" s="27">
        <f t="shared" si="42"/>
        <v>51560</v>
      </c>
      <c r="R271" s="55">
        <f t="shared" si="43"/>
        <v>266</v>
      </c>
      <c r="S271" s="55">
        <f t="shared" si="44"/>
        <v>184355.24690143892</v>
      </c>
      <c r="T271" s="55">
        <f t="shared" si="45"/>
        <v>20221868.944754481</v>
      </c>
      <c r="U271" s="104">
        <f t="shared" si="46"/>
        <v>112023.5607693756</v>
      </c>
      <c r="V271" s="55">
        <f t="shared" si="47"/>
        <v>72331.686132063318</v>
      </c>
      <c r="W271" s="55">
        <f t="shared" si="48"/>
        <v>20109845.383985106</v>
      </c>
    </row>
    <row r="272" spans="17:23" x14ac:dyDescent="0.3">
      <c r="Q272" s="27">
        <f t="shared" si="42"/>
        <v>51591</v>
      </c>
      <c r="R272" s="55">
        <f t="shared" si="43"/>
        <v>267</v>
      </c>
      <c r="S272" s="55">
        <f t="shared" si="44"/>
        <v>184355.24690143892</v>
      </c>
      <c r="T272" s="55">
        <f t="shared" si="45"/>
        <v>20109845.383985106</v>
      </c>
      <c r="U272" s="104">
        <f t="shared" si="46"/>
        <v>104717.36666885061</v>
      </c>
      <c r="V272" s="55">
        <f t="shared" si="47"/>
        <v>79637.880232588315</v>
      </c>
      <c r="W272" s="55">
        <f t="shared" si="48"/>
        <v>20005128.017316256</v>
      </c>
    </row>
    <row r="273" spans="17:23" x14ac:dyDescent="0.3">
      <c r="Q273" s="27">
        <f t="shared" si="42"/>
        <v>51621</v>
      </c>
      <c r="R273" s="55">
        <f t="shared" si="43"/>
        <v>268</v>
      </c>
      <c r="S273" s="55">
        <f t="shared" si="44"/>
        <v>184355.24690143892</v>
      </c>
      <c r="T273" s="55">
        <f t="shared" si="45"/>
        <v>20005128.017316256</v>
      </c>
      <c r="U273" s="104">
        <f t="shared" si="46"/>
        <v>107687.64909644601</v>
      </c>
      <c r="V273" s="55">
        <f t="shared" si="47"/>
        <v>76667.597804992911</v>
      </c>
      <c r="W273" s="55">
        <f t="shared" si="48"/>
        <v>19897440.368219811</v>
      </c>
    </row>
    <row r="274" spans="17:23" x14ac:dyDescent="0.3">
      <c r="Q274" s="27">
        <f t="shared" si="42"/>
        <v>51652</v>
      </c>
      <c r="R274" s="55">
        <f t="shared" si="43"/>
        <v>269</v>
      </c>
      <c r="S274" s="55">
        <f t="shared" si="44"/>
        <v>184355.24690143892</v>
      </c>
      <c r="T274" s="55">
        <f t="shared" si="45"/>
        <v>19897440.368219811</v>
      </c>
      <c r="U274" s="104">
        <f t="shared" si="46"/>
        <v>105558.52108268756</v>
      </c>
      <c r="V274" s="55">
        <f t="shared" si="47"/>
        <v>78796.725818751365</v>
      </c>
      <c r="W274" s="55">
        <f t="shared" si="48"/>
        <v>19791881.847137123</v>
      </c>
    </row>
    <row r="275" spans="17:23" x14ac:dyDescent="0.3">
      <c r="Q275" s="27">
        <f t="shared" si="42"/>
        <v>51682</v>
      </c>
      <c r="R275" s="55">
        <f t="shared" si="43"/>
        <v>270</v>
      </c>
      <c r="S275" s="55">
        <f t="shared" si="44"/>
        <v>184355.24690143892</v>
      </c>
      <c r="T275" s="55">
        <f t="shared" si="45"/>
        <v>19791881.847137123</v>
      </c>
      <c r="U275" s="104">
        <f t="shared" si="46"/>
        <v>108504.89313480444</v>
      </c>
      <c r="V275" s="55">
        <f t="shared" si="47"/>
        <v>75850.353766634478</v>
      </c>
      <c r="W275" s="55">
        <f t="shared" si="48"/>
        <v>19683376.954002321</v>
      </c>
    </row>
    <row r="276" spans="17:23" x14ac:dyDescent="0.3">
      <c r="Q276" s="27">
        <f t="shared" si="42"/>
        <v>51713</v>
      </c>
      <c r="R276" s="55">
        <f t="shared" si="43"/>
        <v>271</v>
      </c>
      <c r="S276" s="55">
        <f t="shared" si="44"/>
        <v>184355.24690143892</v>
      </c>
      <c r="T276" s="55">
        <f t="shared" si="45"/>
        <v>19683376.954002321</v>
      </c>
      <c r="U276" s="104">
        <f t="shared" si="46"/>
        <v>106406.24299293196</v>
      </c>
      <c r="V276" s="55">
        <f t="shared" si="47"/>
        <v>77949.003908506958</v>
      </c>
      <c r="W276" s="55">
        <f t="shared" si="48"/>
        <v>19576970.711009391</v>
      </c>
    </row>
    <row r="277" spans="17:23" x14ac:dyDescent="0.3">
      <c r="Q277" s="27">
        <f t="shared" si="42"/>
        <v>51744</v>
      </c>
      <c r="R277" s="55">
        <f t="shared" si="43"/>
        <v>272</v>
      </c>
      <c r="S277" s="55">
        <f t="shared" si="44"/>
        <v>184355.24690143892</v>
      </c>
      <c r="T277" s="55">
        <f t="shared" si="45"/>
        <v>19576970.711009391</v>
      </c>
      <c r="U277" s="104">
        <f t="shared" si="46"/>
        <v>106827.62702019152</v>
      </c>
      <c r="V277" s="55">
        <f t="shared" si="47"/>
        <v>77527.619881247403</v>
      </c>
      <c r="W277" s="55">
        <f t="shared" si="48"/>
        <v>19470143.083989199</v>
      </c>
    </row>
    <row r="278" spans="17:23" x14ac:dyDescent="0.3">
      <c r="Q278" s="27">
        <f t="shared" si="42"/>
        <v>51774</v>
      </c>
      <c r="R278" s="55">
        <f t="shared" si="43"/>
        <v>273</v>
      </c>
      <c r="S278" s="55">
        <f t="shared" si="44"/>
        <v>184355.24690143892</v>
      </c>
      <c r="T278" s="55">
        <f t="shared" si="45"/>
        <v>19470143.083989199</v>
      </c>
      <c r="U278" s="104">
        <f t="shared" si="46"/>
        <v>109737.92388921647</v>
      </c>
      <c r="V278" s="55">
        <f t="shared" si="47"/>
        <v>74617.323012222449</v>
      </c>
      <c r="W278" s="55">
        <f t="shared" si="48"/>
        <v>19360405.160099983</v>
      </c>
    </row>
    <row r="279" spans="17:23" x14ac:dyDescent="0.3">
      <c r="Q279" s="27">
        <f t="shared" si="42"/>
        <v>51805</v>
      </c>
      <c r="R279" s="55">
        <f t="shared" si="43"/>
        <v>274</v>
      </c>
      <c r="S279" s="55">
        <f t="shared" si="44"/>
        <v>184355.24690143892</v>
      </c>
      <c r="T279" s="55">
        <f t="shared" si="45"/>
        <v>19360405.160099983</v>
      </c>
      <c r="U279" s="104">
        <f t="shared" si="46"/>
        <v>107685.25775163228</v>
      </c>
      <c r="V279" s="55">
        <f t="shared" si="47"/>
        <v>76669.989149806643</v>
      </c>
      <c r="W279" s="55">
        <f t="shared" si="48"/>
        <v>19252719.902348351</v>
      </c>
    </row>
    <row r="280" spans="17:23" x14ac:dyDescent="0.3">
      <c r="Q280" s="27">
        <f t="shared" si="42"/>
        <v>51835</v>
      </c>
      <c r="R280" s="55">
        <f t="shared" si="43"/>
        <v>275</v>
      </c>
      <c r="S280" s="55">
        <f t="shared" si="44"/>
        <v>184355.24690143892</v>
      </c>
      <c r="T280" s="55">
        <f t="shared" si="45"/>
        <v>19252719.902348351</v>
      </c>
      <c r="U280" s="104">
        <f t="shared" si="46"/>
        <v>110571.17589485692</v>
      </c>
      <c r="V280" s="55">
        <f t="shared" si="47"/>
        <v>73784.071006582002</v>
      </c>
      <c r="W280" s="55">
        <f t="shared" si="48"/>
        <v>19142148.726453494</v>
      </c>
    </row>
    <row r="281" spans="17:23" x14ac:dyDescent="0.3">
      <c r="Q281" s="27">
        <f t="shared" si="42"/>
        <v>51866</v>
      </c>
      <c r="R281" s="55">
        <f t="shared" si="43"/>
        <v>276</v>
      </c>
      <c r="S281" s="55">
        <f t="shared" si="44"/>
        <v>184355.24690143892</v>
      </c>
      <c r="T281" s="55">
        <f t="shared" si="45"/>
        <v>19142148.726453494</v>
      </c>
      <c r="U281" s="104">
        <f t="shared" si="46"/>
        <v>108549.58462192107</v>
      </c>
      <c r="V281" s="55">
        <f t="shared" si="47"/>
        <v>75805.662279517855</v>
      </c>
      <c r="W281" s="55">
        <f t="shared" si="48"/>
        <v>19033599.141831573</v>
      </c>
    </row>
    <row r="282" spans="17:23" x14ac:dyDescent="0.3">
      <c r="Q282" s="27">
        <f t="shared" si="42"/>
        <v>51897</v>
      </c>
      <c r="R282" s="55">
        <f t="shared" si="43"/>
        <v>277</v>
      </c>
      <c r="S282" s="55">
        <f t="shared" si="44"/>
        <v>184355.24690143892</v>
      </c>
      <c r="T282" s="55">
        <f t="shared" si="45"/>
        <v>19033599.141831573</v>
      </c>
      <c r="U282" s="104">
        <f t="shared" si="46"/>
        <v>108979.45659032029</v>
      </c>
      <c r="V282" s="55">
        <f t="shared" si="47"/>
        <v>75375.790311118632</v>
      </c>
      <c r="W282" s="55">
        <f t="shared" si="48"/>
        <v>18924619.685241252</v>
      </c>
    </row>
    <row r="283" spans="17:23" x14ac:dyDescent="0.3">
      <c r="Q283" s="27">
        <f t="shared" si="42"/>
        <v>51925</v>
      </c>
      <c r="R283" s="55">
        <f t="shared" si="43"/>
        <v>278</v>
      </c>
      <c r="S283" s="55">
        <f t="shared" si="44"/>
        <v>184355.24690143892</v>
      </c>
      <c r="T283" s="55">
        <f t="shared" si="45"/>
        <v>18924619.685241252</v>
      </c>
      <c r="U283" s="104">
        <f t="shared" si="46"/>
        <v>116663.69697688981</v>
      </c>
      <c r="V283" s="55">
        <f t="shared" si="47"/>
        <v>67691.549924549108</v>
      </c>
      <c r="W283" s="55">
        <f t="shared" si="48"/>
        <v>18807955.988264363</v>
      </c>
    </row>
    <row r="284" spans="17:23" x14ac:dyDescent="0.3">
      <c r="Q284" s="27">
        <f t="shared" si="42"/>
        <v>51956</v>
      </c>
      <c r="R284" s="55">
        <f t="shared" si="43"/>
        <v>279</v>
      </c>
      <c r="S284" s="55">
        <f t="shared" si="44"/>
        <v>184355.24690143892</v>
      </c>
      <c r="T284" s="55">
        <f t="shared" si="45"/>
        <v>18807955.988264363</v>
      </c>
      <c r="U284" s="104">
        <f t="shared" si="46"/>
        <v>109873.03593396852</v>
      </c>
      <c r="V284" s="55">
        <f t="shared" si="47"/>
        <v>74482.210967470397</v>
      </c>
      <c r="W284" s="55">
        <f t="shared" si="48"/>
        <v>18698082.952330396</v>
      </c>
    </row>
    <row r="285" spans="17:23" x14ac:dyDescent="0.3">
      <c r="Q285" s="27">
        <f t="shared" si="42"/>
        <v>51986</v>
      </c>
      <c r="R285" s="55">
        <f t="shared" si="43"/>
        <v>280</v>
      </c>
      <c r="S285" s="55">
        <f t="shared" si="44"/>
        <v>184355.24690143892</v>
      </c>
      <c r="T285" s="55">
        <f t="shared" si="45"/>
        <v>18698082.952330396</v>
      </c>
      <c r="U285" s="104">
        <f t="shared" si="46"/>
        <v>112696.76502255244</v>
      </c>
      <c r="V285" s="55">
        <f t="shared" si="47"/>
        <v>71658.48187888648</v>
      </c>
      <c r="W285" s="55">
        <f t="shared" si="48"/>
        <v>18585386.187307842</v>
      </c>
    </row>
    <row r="286" spans="17:23" x14ac:dyDescent="0.3">
      <c r="Q286" s="27">
        <f t="shared" si="42"/>
        <v>52017</v>
      </c>
      <c r="R286" s="55">
        <f t="shared" si="43"/>
        <v>281</v>
      </c>
      <c r="S286" s="55">
        <f t="shared" si="44"/>
        <v>184355.24690143892</v>
      </c>
      <c r="T286" s="55">
        <f t="shared" si="45"/>
        <v>18585386.187307842</v>
      </c>
      <c r="U286" s="104">
        <f t="shared" si="46"/>
        <v>110754.44435922087</v>
      </c>
      <c r="V286" s="55">
        <f t="shared" si="47"/>
        <v>73600.802542218051</v>
      </c>
      <c r="W286" s="55">
        <f t="shared" si="48"/>
        <v>18474631.742948622</v>
      </c>
    </row>
    <row r="287" spans="17:23" x14ac:dyDescent="0.3">
      <c r="Q287" s="27">
        <f t="shared" si="42"/>
        <v>52047</v>
      </c>
      <c r="R287" s="55">
        <f t="shared" si="43"/>
        <v>282</v>
      </c>
      <c r="S287" s="55">
        <f t="shared" si="44"/>
        <v>184355.24690143892</v>
      </c>
      <c r="T287" s="55">
        <f t="shared" si="45"/>
        <v>18474631.742948622</v>
      </c>
      <c r="U287" s="104">
        <f t="shared" si="46"/>
        <v>113553.11882519207</v>
      </c>
      <c r="V287" s="55">
        <f t="shared" si="47"/>
        <v>70802.128076246852</v>
      </c>
      <c r="W287" s="55">
        <f t="shared" si="48"/>
        <v>18361078.624123428</v>
      </c>
    </row>
    <row r="288" spans="17:23" x14ac:dyDescent="0.3">
      <c r="Q288" s="27">
        <f t="shared" si="42"/>
        <v>52078</v>
      </c>
      <c r="R288" s="55">
        <f t="shared" si="43"/>
        <v>283</v>
      </c>
      <c r="S288" s="55">
        <f t="shared" si="44"/>
        <v>184355.24690143892</v>
      </c>
      <c r="T288" s="55">
        <f t="shared" si="45"/>
        <v>18361078.624123428</v>
      </c>
      <c r="U288" s="104">
        <f t="shared" si="46"/>
        <v>111642.73457284777</v>
      </c>
      <c r="V288" s="55">
        <f t="shared" si="47"/>
        <v>72712.512328591154</v>
      </c>
      <c r="W288" s="55">
        <f t="shared" si="48"/>
        <v>18249435.889550582</v>
      </c>
    </row>
    <row r="289" spans="17:23" x14ac:dyDescent="0.3">
      <c r="Q289" s="27">
        <f t="shared" si="42"/>
        <v>52109</v>
      </c>
      <c r="R289" s="55">
        <f t="shared" si="43"/>
        <v>284</v>
      </c>
      <c r="S289" s="55">
        <f t="shared" si="44"/>
        <v>184355.24690143892</v>
      </c>
      <c r="T289" s="55">
        <f t="shared" si="45"/>
        <v>18249435.889550582</v>
      </c>
      <c r="U289" s="104">
        <f t="shared" si="46"/>
        <v>112084.8558599578</v>
      </c>
      <c r="V289" s="55">
        <f t="shared" si="47"/>
        <v>72270.391041481125</v>
      </c>
      <c r="W289" s="55">
        <f t="shared" si="48"/>
        <v>18137351.033690624</v>
      </c>
    </row>
    <row r="290" spans="17:23" x14ac:dyDescent="0.3">
      <c r="Q290" s="27">
        <f t="shared" si="42"/>
        <v>52139</v>
      </c>
      <c r="R290" s="55">
        <f t="shared" si="43"/>
        <v>285</v>
      </c>
      <c r="S290" s="55">
        <f t="shared" si="44"/>
        <v>184355.24690143892</v>
      </c>
      <c r="T290" s="55">
        <f t="shared" si="45"/>
        <v>18137351.033690624</v>
      </c>
      <c r="U290" s="104">
        <f t="shared" si="46"/>
        <v>114845.71249129566</v>
      </c>
      <c r="V290" s="55">
        <f t="shared" si="47"/>
        <v>69509.534410143257</v>
      </c>
      <c r="W290" s="55">
        <f t="shared" si="48"/>
        <v>18022505.321199328</v>
      </c>
    </row>
    <row r="291" spans="17:23" x14ac:dyDescent="0.3">
      <c r="Q291" s="27">
        <f t="shared" si="42"/>
        <v>52170</v>
      </c>
      <c r="R291" s="55">
        <f t="shared" si="43"/>
        <v>286</v>
      </c>
      <c r="S291" s="55">
        <f t="shared" si="44"/>
        <v>184355.24690143892</v>
      </c>
      <c r="T291" s="55">
        <f t="shared" si="45"/>
        <v>18022505.321199328</v>
      </c>
      <c r="U291" s="104">
        <f t="shared" si="46"/>
        <v>112983.53355132695</v>
      </c>
      <c r="V291" s="55">
        <f t="shared" si="47"/>
        <v>71371.713350111968</v>
      </c>
      <c r="W291" s="55">
        <f t="shared" si="48"/>
        <v>17909521.787648</v>
      </c>
    </row>
    <row r="292" spans="17:23" x14ac:dyDescent="0.3">
      <c r="Q292" s="27">
        <f t="shared" si="42"/>
        <v>52200</v>
      </c>
      <c r="R292" s="55">
        <f t="shared" si="43"/>
        <v>287</v>
      </c>
      <c r="S292" s="55">
        <f t="shared" si="44"/>
        <v>184355.24690143892</v>
      </c>
      <c r="T292" s="55">
        <f t="shared" si="45"/>
        <v>17909521.787648</v>
      </c>
      <c r="U292" s="104">
        <f t="shared" si="46"/>
        <v>115718.84466963971</v>
      </c>
      <c r="V292" s="55">
        <f t="shared" si="47"/>
        <v>68636.402231799206</v>
      </c>
      <c r="W292" s="55">
        <f t="shared" si="48"/>
        <v>17793802.94297836</v>
      </c>
    </row>
    <row r="293" spans="17:23" x14ac:dyDescent="0.3">
      <c r="Q293" s="27">
        <f t="shared" si="42"/>
        <v>52231</v>
      </c>
      <c r="R293" s="55">
        <f t="shared" si="43"/>
        <v>288</v>
      </c>
      <c r="S293" s="55">
        <f t="shared" si="44"/>
        <v>184355.24690143892</v>
      </c>
      <c r="T293" s="55">
        <f t="shared" si="45"/>
        <v>17793802.94297836</v>
      </c>
      <c r="U293" s="104">
        <f t="shared" si="46"/>
        <v>113889.22786462953</v>
      </c>
      <c r="V293" s="55">
        <f t="shared" si="47"/>
        <v>70466.01903680939</v>
      </c>
      <c r="W293" s="55">
        <f t="shared" si="48"/>
        <v>17679913.715113729</v>
      </c>
    </row>
    <row r="294" spans="17:23" x14ac:dyDescent="0.3">
      <c r="Q294" s="27">
        <f t="shared" si="42"/>
        <v>52262</v>
      </c>
      <c r="R294" s="55">
        <f t="shared" si="43"/>
        <v>289</v>
      </c>
      <c r="S294" s="55">
        <f t="shared" si="44"/>
        <v>184355.24690143892</v>
      </c>
      <c r="T294" s="55">
        <f t="shared" si="45"/>
        <v>17679913.715113729</v>
      </c>
      <c r="U294" s="104">
        <f t="shared" si="46"/>
        <v>114340.24558830076</v>
      </c>
      <c r="V294" s="55">
        <f t="shared" si="47"/>
        <v>70015.001313138157</v>
      </c>
      <c r="W294" s="55">
        <f t="shared" si="48"/>
        <v>17565573.469525427</v>
      </c>
    </row>
    <row r="295" spans="17:23" x14ac:dyDescent="0.3">
      <c r="Q295" s="27">
        <f t="shared" si="42"/>
        <v>52290</v>
      </c>
      <c r="R295" s="55">
        <f t="shared" si="43"/>
        <v>290</v>
      </c>
      <c r="S295" s="55">
        <f t="shared" si="44"/>
        <v>184355.24690143892</v>
      </c>
      <c r="T295" s="55">
        <f t="shared" si="45"/>
        <v>17565573.469525427</v>
      </c>
      <c r="U295" s="104">
        <f t="shared" si="46"/>
        <v>121524.87497100519</v>
      </c>
      <c r="V295" s="55">
        <f t="shared" si="47"/>
        <v>62830.371930433736</v>
      </c>
      <c r="W295" s="55">
        <f t="shared" si="48"/>
        <v>17444048.594554421</v>
      </c>
    </row>
    <row r="296" spans="17:23" x14ac:dyDescent="0.3">
      <c r="Q296" s="27">
        <f t="shared" si="42"/>
        <v>52321</v>
      </c>
      <c r="R296" s="55">
        <f t="shared" si="43"/>
        <v>291</v>
      </c>
      <c r="S296" s="55">
        <f t="shared" si="44"/>
        <v>184355.24690143892</v>
      </c>
      <c r="T296" s="55">
        <f t="shared" si="45"/>
        <v>17444048.594554421</v>
      </c>
      <c r="U296" s="104">
        <f t="shared" si="46"/>
        <v>115274.30539152064</v>
      </c>
      <c r="V296" s="55">
        <f t="shared" si="47"/>
        <v>69080.941509918281</v>
      </c>
      <c r="W296" s="55">
        <f t="shared" si="48"/>
        <v>17328774.2891629</v>
      </c>
    </row>
    <row r="297" spans="17:23" x14ac:dyDescent="0.3">
      <c r="Q297" s="27">
        <f t="shared" si="42"/>
        <v>52351</v>
      </c>
      <c r="R297" s="55">
        <f t="shared" si="43"/>
        <v>292</v>
      </c>
      <c r="S297" s="55">
        <f t="shared" si="44"/>
        <v>184355.24690143892</v>
      </c>
      <c r="T297" s="55">
        <f t="shared" si="45"/>
        <v>17328774.2891629</v>
      </c>
      <c r="U297" s="104">
        <f t="shared" si="46"/>
        <v>117944.49979174497</v>
      </c>
      <c r="V297" s="55">
        <f t="shared" si="47"/>
        <v>66410.747109693955</v>
      </c>
      <c r="W297" s="55">
        <f t="shared" si="48"/>
        <v>17210829.789371155</v>
      </c>
    </row>
    <row r="298" spans="17:23" x14ac:dyDescent="0.3">
      <c r="Q298" s="27">
        <f t="shared" si="42"/>
        <v>52382</v>
      </c>
      <c r="R298" s="55">
        <f t="shared" si="43"/>
        <v>293</v>
      </c>
      <c r="S298" s="55">
        <f t="shared" si="44"/>
        <v>184355.24690143892</v>
      </c>
      <c r="T298" s="55">
        <f t="shared" si="45"/>
        <v>17210829.789371155</v>
      </c>
      <c r="U298" s="104">
        <f t="shared" si="46"/>
        <v>116197.88540521698</v>
      </c>
      <c r="V298" s="55">
        <f t="shared" si="47"/>
        <v>68157.361496221944</v>
      </c>
      <c r="W298" s="55">
        <f t="shared" si="48"/>
        <v>17094631.903965939</v>
      </c>
    </row>
    <row r="299" spans="17:23" x14ac:dyDescent="0.3">
      <c r="Q299" s="27">
        <f t="shared" si="42"/>
        <v>52412</v>
      </c>
      <c r="R299" s="55">
        <f t="shared" si="43"/>
        <v>294</v>
      </c>
      <c r="S299" s="55">
        <f t="shared" si="44"/>
        <v>184355.24690143892</v>
      </c>
      <c r="T299" s="55">
        <f t="shared" si="45"/>
        <v>17094631.903965939</v>
      </c>
      <c r="U299" s="104">
        <f t="shared" si="46"/>
        <v>118841.82642728782</v>
      </c>
      <c r="V299" s="55">
        <f t="shared" si="47"/>
        <v>65513.420474151106</v>
      </c>
      <c r="W299" s="55">
        <f t="shared" si="48"/>
        <v>16975790.07753865</v>
      </c>
    </row>
    <row r="300" spans="17:23" x14ac:dyDescent="0.3">
      <c r="Q300" s="27">
        <f t="shared" si="42"/>
        <v>52443</v>
      </c>
      <c r="R300" s="55">
        <f t="shared" si="43"/>
        <v>295</v>
      </c>
      <c r="S300" s="55">
        <f t="shared" si="44"/>
        <v>184355.24690143892</v>
      </c>
      <c r="T300" s="55">
        <f t="shared" si="45"/>
        <v>16975790.07753865</v>
      </c>
      <c r="U300" s="104">
        <f t="shared" si="46"/>
        <v>117128.67647115553</v>
      </c>
      <c r="V300" s="55">
        <f t="shared" si="47"/>
        <v>67226.570430283391</v>
      </c>
      <c r="W300" s="55">
        <f t="shared" si="48"/>
        <v>16858661.401067495</v>
      </c>
    </row>
    <row r="301" spans="17:23" x14ac:dyDescent="0.3">
      <c r="Q301" s="27">
        <f t="shared" si="42"/>
        <v>52474</v>
      </c>
      <c r="R301" s="55">
        <f t="shared" si="43"/>
        <v>296</v>
      </c>
      <c r="S301" s="55">
        <f t="shared" si="44"/>
        <v>184355.24690143892</v>
      </c>
      <c r="T301" s="55">
        <f t="shared" si="45"/>
        <v>16858661.401067495</v>
      </c>
      <c r="U301" s="104">
        <f t="shared" si="46"/>
        <v>117592.52287725669</v>
      </c>
      <c r="V301" s="55">
        <f t="shared" si="47"/>
        <v>66762.724024182229</v>
      </c>
      <c r="W301" s="55">
        <f t="shared" si="48"/>
        <v>16741068.878190238</v>
      </c>
    </row>
    <row r="302" spans="17:23" x14ac:dyDescent="0.3">
      <c r="Q302" s="27">
        <f t="shared" si="42"/>
        <v>52504</v>
      </c>
      <c r="R302" s="55">
        <f t="shared" si="43"/>
        <v>297</v>
      </c>
      <c r="S302" s="55">
        <f t="shared" si="44"/>
        <v>184355.24690143892</v>
      </c>
      <c r="T302" s="55">
        <f t="shared" si="45"/>
        <v>16741068.878190238</v>
      </c>
      <c r="U302" s="104">
        <f t="shared" si="46"/>
        <v>120196.82039860479</v>
      </c>
      <c r="V302" s="55">
        <f t="shared" si="47"/>
        <v>64158.426502834132</v>
      </c>
      <c r="W302" s="55">
        <f t="shared" si="48"/>
        <v>16620872.057791634</v>
      </c>
    </row>
    <row r="303" spans="17:23" x14ac:dyDescent="0.3">
      <c r="Q303" s="27">
        <f t="shared" si="42"/>
        <v>52535</v>
      </c>
      <c r="R303" s="55">
        <f t="shared" si="43"/>
        <v>298</v>
      </c>
      <c r="S303" s="55">
        <f t="shared" si="44"/>
        <v>184355.24690143892</v>
      </c>
      <c r="T303" s="55">
        <f t="shared" si="45"/>
        <v>16620872.057791634</v>
      </c>
      <c r="U303" s="104">
        <f t="shared" si="46"/>
        <v>118534.20287920587</v>
      </c>
      <c r="V303" s="55">
        <f t="shared" si="47"/>
        <v>65821.044022233051</v>
      </c>
      <c r="W303" s="55">
        <f t="shared" si="48"/>
        <v>16502337.854912428</v>
      </c>
    </row>
    <row r="304" spans="17:23" x14ac:dyDescent="0.3">
      <c r="Q304" s="27">
        <f t="shared" si="42"/>
        <v>52565</v>
      </c>
      <c r="R304" s="55">
        <f t="shared" si="43"/>
        <v>299</v>
      </c>
      <c r="S304" s="55">
        <f t="shared" si="44"/>
        <v>184355.24690143892</v>
      </c>
      <c r="T304" s="55">
        <f t="shared" si="45"/>
        <v>16502337.854912428</v>
      </c>
      <c r="U304" s="104">
        <f t="shared" si="46"/>
        <v>121111.73251815706</v>
      </c>
      <c r="V304" s="55">
        <f t="shared" si="47"/>
        <v>63243.514383281858</v>
      </c>
      <c r="W304" s="55">
        <f t="shared" si="48"/>
        <v>16381226.122394271</v>
      </c>
    </row>
    <row r="305" spans="17:23" x14ac:dyDescent="0.3">
      <c r="Q305" s="27">
        <f t="shared" si="42"/>
        <v>52596</v>
      </c>
      <c r="R305" s="55">
        <f t="shared" si="43"/>
        <v>300</v>
      </c>
      <c r="S305" s="55">
        <f t="shared" si="44"/>
        <v>184355.24690143892</v>
      </c>
      <c r="T305" s="55">
        <f t="shared" si="45"/>
        <v>16381226.122394271</v>
      </c>
      <c r="U305" s="104">
        <f t="shared" si="46"/>
        <v>119483.23525300028</v>
      </c>
      <c r="V305" s="55">
        <f t="shared" si="47"/>
        <v>64872.011648438638</v>
      </c>
      <c r="W305" s="55">
        <f t="shared" si="48"/>
        <v>16261742.887141271</v>
      </c>
    </row>
    <row r="306" spans="17:23" x14ac:dyDescent="0.3">
      <c r="Q306" s="27">
        <f t="shared" si="42"/>
        <v>52627</v>
      </c>
      <c r="R306" s="55">
        <f t="shared" si="43"/>
        <v>301</v>
      </c>
      <c r="S306" s="55">
        <f t="shared" si="44"/>
        <v>184355.24690143892</v>
      </c>
      <c r="T306" s="55">
        <f t="shared" si="45"/>
        <v>16261742.887141271</v>
      </c>
      <c r="U306" s="104">
        <f t="shared" si="46"/>
        <v>119956.40605054694</v>
      </c>
      <c r="V306" s="55">
        <f t="shared" si="47"/>
        <v>64398.840850891975</v>
      </c>
      <c r="W306" s="55">
        <f t="shared" si="48"/>
        <v>16141786.481090724</v>
      </c>
    </row>
    <row r="307" spans="17:23" x14ac:dyDescent="0.3">
      <c r="Q307" s="27">
        <f t="shared" si="42"/>
        <v>52656</v>
      </c>
      <c r="R307" s="55">
        <f t="shared" si="43"/>
        <v>302</v>
      </c>
      <c r="S307" s="55">
        <f t="shared" si="44"/>
        <v>184355.24690143892</v>
      </c>
      <c r="T307" s="55">
        <f t="shared" si="45"/>
        <v>16141786.481090724</v>
      </c>
      <c r="U307" s="104">
        <f t="shared" si="46"/>
        <v>124555.56655824801</v>
      </c>
      <c r="V307" s="55">
        <f t="shared" si="47"/>
        <v>59799.680343190899</v>
      </c>
      <c r="W307" s="55">
        <f t="shared" si="48"/>
        <v>16017230.914532477</v>
      </c>
    </row>
    <row r="308" spans="17:23" x14ac:dyDescent="0.3">
      <c r="Q308" s="27">
        <f t="shared" si="42"/>
        <v>52687</v>
      </c>
      <c r="R308" s="55">
        <f t="shared" si="43"/>
        <v>303</v>
      </c>
      <c r="S308" s="55">
        <f t="shared" si="44"/>
        <v>184355.24690143892</v>
      </c>
      <c r="T308" s="55">
        <f t="shared" si="45"/>
        <v>16017230.914532477</v>
      </c>
      <c r="U308" s="104">
        <f t="shared" si="46"/>
        <v>120924.70863160808</v>
      </c>
      <c r="V308" s="55">
        <f t="shared" si="47"/>
        <v>63430.538269830831</v>
      </c>
      <c r="W308" s="55">
        <f t="shared" si="48"/>
        <v>15896306.205900868</v>
      </c>
    </row>
    <row r="309" spans="17:23" x14ac:dyDescent="0.3">
      <c r="Q309" s="27">
        <f t="shared" si="42"/>
        <v>52717</v>
      </c>
      <c r="R309" s="55">
        <f t="shared" si="43"/>
        <v>304</v>
      </c>
      <c r="S309" s="55">
        <f t="shared" si="44"/>
        <v>184355.24690143892</v>
      </c>
      <c r="T309" s="55">
        <f t="shared" si="45"/>
        <v>15896306.205900868</v>
      </c>
      <c r="U309" s="104">
        <f t="shared" si="46"/>
        <v>123434.28654946829</v>
      </c>
      <c r="V309" s="55">
        <f t="shared" si="47"/>
        <v>60920.960351970636</v>
      </c>
      <c r="W309" s="55">
        <f t="shared" si="48"/>
        <v>15772871.919351401</v>
      </c>
    </row>
    <row r="310" spans="17:23" x14ac:dyDescent="0.3">
      <c r="Q310" s="27">
        <f t="shared" si="42"/>
        <v>52748</v>
      </c>
      <c r="R310" s="55">
        <f t="shared" si="43"/>
        <v>305</v>
      </c>
      <c r="S310" s="55">
        <f t="shared" si="44"/>
        <v>184355.24690143892</v>
      </c>
      <c r="T310" s="55">
        <f t="shared" si="45"/>
        <v>15772871.919351401</v>
      </c>
      <c r="U310" s="104">
        <f t="shared" si="46"/>
        <v>121892.40540005185</v>
      </c>
      <c r="V310" s="55">
        <f t="shared" si="47"/>
        <v>62462.841501387076</v>
      </c>
      <c r="W310" s="55">
        <f t="shared" si="48"/>
        <v>15650979.513951348</v>
      </c>
    </row>
    <row r="311" spans="17:23" x14ac:dyDescent="0.3">
      <c r="Q311" s="27">
        <f t="shared" si="42"/>
        <v>52778</v>
      </c>
      <c r="R311" s="55">
        <f t="shared" si="43"/>
        <v>306</v>
      </c>
      <c r="S311" s="55">
        <f t="shared" si="44"/>
        <v>184355.24690143892</v>
      </c>
      <c r="T311" s="55">
        <f t="shared" si="45"/>
        <v>15650979.513951348</v>
      </c>
      <c r="U311" s="104">
        <f t="shared" si="46"/>
        <v>124374.47589156771</v>
      </c>
      <c r="V311" s="55">
        <f t="shared" si="47"/>
        <v>59980.771009871212</v>
      </c>
      <c r="W311" s="55">
        <f t="shared" si="48"/>
        <v>15526605.03805978</v>
      </c>
    </row>
    <row r="312" spans="17:23" x14ac:dyDescent="0.3">
      <c r="Q312" s="27">
        <f t="shared" si="42"/>
        <v>52809</v>
      </c>
      <c r="R312" s="55">
        <f t="shared" si="43"/>
        <v>307</v>
      </c>
      <c r="S312" s="55">
        <f t="shared" si="44"/>
        <v>184355.24690143892</v>
      </c>
      <c r="T312" s="55">
        <f t="shared" si="45"/>
        <v>15526605.03805978</v>
      </c>
      <c r="U312" s="104">
        <f t="shared" si="46"/>
        <v>122867.65767191534</v>
      </c>
      <c r="V312" s="55">
        <f t="shared" si="47"/>
        <v>61487.589229523575</v>
      </c>
      <c r="W312" s="55">
        <f t="shared" si="48"/>
        <v>15403737.380387865</v>
      </c>
    </row>
    <row r="313" spans="17:23" x14ac:dyDescent="0.3">
      <c r="Q313" s="27">
        <f t="shared" si="42"/>
        <v>52840</v>
      </c>
      <c r="R313" s="55">
        <f t="shared" si="43"/>
        <v>308</v>
      </c>
      <c r="S313" s="55">
        <f t="shared" si="44"/>
        <v>184355.24690143892</v>
      </c>
      <c r="T313" s="55">
        <f t="shared" si="45"/>
        <v>15403737.380387865</v>
      </c>
      <c r="U313" s="104">
        <f t="shared" si="46"/>
        <v>123354.23126904141</v>
      </c>
      <c r="V313" s="55">
        <f t="shared" si="47"/>
        <v>61001.01563239751</v>
      </c>
      <c r="W313" s="55">
        <f t="shared" si="48"/>
        <v>15280383.149118824</v>
      </c>
    </row>
    <row r="314" spans="17:23" x14ac:dyDescent="0.3">
      <c r="Q314" s="27">
        <f t="shared" si="42"/>
        <v>52870</v>
      </c>
      <c r="R314" s="55">
        <f t="shared" si="43"/>
        <v>309</v>
      </c>
      <c r="S314" s="55">
        <f t="shared" si="44"/>
        <v>184355.24690143892</v>
      </c>
      <c r="T314" s="55">
        <f t="shared" si="45"/>
        <v>15280383.149118824</v>
      </c>
      <c r="U314" s="104">
        <f t="shared" si="46"/>
        <v>125794.74838481937</v>
      </c>
      <c r="V314" s="55">
        <f t="shared" si="47"/>
        <v>58560.498516619555</v>
      </c>
      <c r="W314" s="55">
        <f t="shared" si="48"/>
        <v>15154588.400734004</v>
      </c>
    </row>
    <row r="315" spans="17:23" x14ac:dyDescent="0.3">
      <c r="Q315" s="27">
        <f t="shared" si="42"/>
        <v>52901</v>
      </c>
      <c r="R315" s="55">
        <f t="shared" si="43"/>
        <v>310</v>
      </c>
      <c r="S315" s="55">
        <f t="shared" si="44"/>
        <v>184355.24690143892</v>
      </c>
      <c r="T315" s="55">
        <f t="shared" si="45"/>
        <v>15154588.400734004</v>
      </c>
      <c r="U315" s="104">
        <f t="shared" si="46"/>
        <v>124340.89706496778</v>
      </c>
      <c r="V315" s="55">
        <f t="shared" si="47"/>
        <v>60014.349836471149</v>
      </c>
      <c r="W315" s="55">
        <f t="shared" si="48"/>
        <v>15030247.503669037</v>
      </c>
    </row>
    <row r="316" spans="17:23" x14ac:dyDescent="0.3">
      <c r="Q316" s="27">
        <f t="shared" si="42"/>
        <v>52931</v>
      </c>
      <c r="R316" s="55">
        <f t="shared" si="43"/>
        <v>311</v>
      </c>
      <c r="S316" s="55">
        <f t="shared" si="44"/>
        <v>184355.24690143892</v>
      </c>
      <c r="T316" s="55">
        <f t="shared" si="45"/>
        <v>15030247.503669037</v>
      </c>
      <c r="U316" s="104">
        <f t="shared" si="46"/>
        <v>126753.36754713798</v>
      </c>
      <c r="V316" s="55">
        <f t="shared" si="47"/>
        <v>57601.879354300938</v>
      </c>
      <c r="W316" s="55">
        <f t="shared" si="48"/>
        <v>14903494.136121899</v>
      </c>
    </row>
    <row r="317" spans="17:23" x14ac:dyDescent="0.3">
      <c r="Q317" s="27">
        <f t="shared" si="42"/>
        <v>52962</v>
      </c>
      <c r="R317" s="55">
        <f t="shared" si="43"/>
        <v>312</v>
      </c>
      <c r="S317" s="55">
        <f t="shared" si="44"/>
        <v>184355.24690143892</v>
      </c>
      <c r="T317" s="55">
        <f t="shared" si="45"/>
        <v>14903494.136121899</v>
      </c>
      <c r="U317" s="104">
        <f t="shared" si="46"/>
        <v>125335.26646913006</v>
      </c>
      <c r="V317" s="55">
        <f t="shared" si="47"/>
        <v>59019.980432308868</v>
      </c>
      <c r="W317" s="55">
        <f t="shared" si="48"/>
        <v>14778158.869652769</v>
      </c>
    </row>
    <row r="318" spans="17:23" x14ac:dyDescent="0.3">
      <c r="Q318" s="27">
        <f t="shared" ref="Q318:Q365" si="49">EOMONTH(Q317,1)</f>
        <v>52993</v>
      </c>
      <c r="R318" s="55">
        <f t="shared" ref="R318:R365" si="50">++R317+1</f>
        <v>313</v>
      </c>
      <c r="S318" s="55">
        <f t="shared" ref="S318:S365" si="51">S317</f>
        <v>184355.24690143892</v>
      </c>
      <c r="T318" s="55">
        <f t="shared" ref="T318:T365" si="52">W317</f>
        <v>14778158.869652769</v>
      </c>
      <c r="U318" s="104">
        <f t="shared" ref="U318:U365" si="53">(S318-V318)*(R318&gt;$J$26)</f>
        <v>125831.61215202312</v>
      </c>
      <c r="V318" s="55">
        <f t="shared" ref="V318:V365" si="54">$J$25*T318*((Q318-Q317)/365)</f>
        <v>58523.634749415804</v>
      </c>
      <c r="W318" s="55">
        <f t="shared" ref="W318:W365" si="55">T318-U318</f>
        <v>14652327.257500745</v>
      </c>
    </row>
    <row r="319" spans="17:23" x14ac:dyDescent="0.3">
      <c r="Q319" s="27">
        <f t="shared" si="49"/>
        <v>53021</v>
      </c>
      <c r="R319" s="55">
        <f t="shared" si="50"/>
        <v>314</v>
      </c>
      <c r="S319" s="55">
        <f t="shared" si="51"/>
        <v>184355.24690143892</v>
      </c>
      <c r="T319" s="55">
        <f t="shared" si="52"/>
        <v>14652327.257500745</v>
      </c>
      <c r="U319" s="104">
        <f t="shared" si="53"/>
        <v>131945.27731904096</v>
      </c>
      <c r="V319" s="55">
        <f t="shared" si="54"/>
        <v>52409.969582397942</v>
      </c>
      <c r="W319" s="55">
        <f t="shared" si="55"/>
        <v>14520381.980181705</v>
      </c>
    </row>
    <row r="320" spans="17:23" x14ac:dyDescent="0.3">
      <c r="Q320" s="27">
        <f t="shared" si="49"/>
        <v>53052</v>
      </c>
      <c r="R320" s="55">
        <f t="shared" si="50"/>
        <v>315</v>
      </c>
      <c r="S320" s="55">
        <f t="shared" si="51"/>
        <v>184355.24690143892</v>
      </c>
      <c r="T320" s="55">
        <f t="shared" si="52"/>
        <v>14520381.980181705</v>
      </c>
      <c r="U320" s="104">
        <f t="shared" si="53"/>
        <v>126852.44571182632</v>
      </c>
      <c r="V320" s="55">
        <f t="shared" si="54"/>
        <v>57502.80118961259</v>
      </c>
      <c r="W320" s="55">
        <f t="shared" si="55"/>
        <v>14393529.534469878</v>
      </c>
    </row>
    <row r="321" spans="17:23" x14ac:dyDescent="0.3">
      <c r="Q321" s="27">
        <f t="shared" si="49"/>
        <v>53082</v>
      </c>
      <c r="R321" s="55">
        <f t="shared" si="50"/>
        <v>316</v>
      </c>
      <c r="S321" s="55">
        <f t="shared" si="51"/>
        <v>184355.24690143892</v>
      </c>
      <c r="T321" s="55">
        <f t="shared" si="52"/>
        <v>14393529.534469878</v>
      </c>
      <c r="U321" s="104">
        <f t="shared" si="53"/>
        <v>129193.52374786406</v>
      </c>
      <c r="V321" s="55">
        <f t="shared" si="54"/>
        <v>55161.723153574865</v>
      </c>
      <c r="W321" s="55">
        <f t="shared" si="55"/>
        <v>14264336.010722015</v>
      </c>
    </row>
    <row r="322" spans="17:23" x14ac:dyDescent="0.3">
      <c r="Q322" s="27">
        <f t="shared" si="49"/>
        <v>53113</v>
      </c>
      <c r="R322" s="55">
        <f t="shared" si="50"/>
        <v>317</v>
      </c>
      <c r="S322" s="55">
        <f t="shared" si="51"/>
        <v>184355.24690143892</v>
      </c>
      <c r="T322" s="55">
        <f t="shared" si="52"/>
        <v>14264336.010722015</v>
      </c>
      <c r="U322" s="104">
        <f t="shared" si="53"/>
        <v>127866.42457941655</v>
      </c>
      <c r="V322" s="55">
        <f t="shared" si="54"/>
        <v>56488.822322022366</v>
      </c>
      <c r="W322" s="55">
        <f t="shared" si="55"/>
        <v>14136469.586142598</v>
      </c>
    </row>
    <row r="323" spans="17:23" x14ac:dyDescent="0.3">
      <c r="Q323" s="27">
        <f t="shared" si="49"/>
        <v>53143</v>
      </c>
      <c r="R323" s="55">
        <f t="shared" si="50"/>
        <v>318</v>
      </c>
      <c r="S323" s="55">
        <f t="shared" si="51"/>
        <v>184355.24690143892</v>
      </c>
      <c r="T323" s="55">
        <f t="shared" si="52"/>
        <v>14136469.586142598</v>
      </c>
      <c r="U323" s="104">
        <f t="shared" si="53"/>
        <v>130178.67958955969</v>
      </c>
      <c r="V323" s="55">
        <f t="shared" si="54"/>
        <v>54176.567311879233</v>
      </c>
      <c r="W323" s="55">
        <f t="shared" si="55"/>
        <v>14006290.906553037</v>
      </c>
    </row>
    <row r="324" spans="17:23" x14ac:dyDescent="0.3">
      <c r="Q324" s="27">
        <f t="shared" si="49"/>
        <v>53174</v>
      </c>
      <c r="R324" s="55">
        <f t="shared" si="50"/>
        <v>319</v>
      </c>
      <c r="S324" s="55">
        <f t="shared" si="51"/>
        <v>184355.24690143892</v>
      </c>
      <c r="T324" s="55">
        <f t="shared" si="52"/>
        <v>14006290.906553037</v>
      </c>
      <c r="U324" s="104">
        <f t="shared" si="53"/>
        <v>128888.32030800232</v>
      </c>
      <c r="V324" s="55">
        <f t="shared" si="54"/>
        <v>55466.92659343659</v>
      </c>
      <c r="W324" s="55">
        <f t="shared" si="55"/>
        <v>13877402.586245036</v>
      </c>
    </row>
    <row r="325" spans="17:23" x14ac:dyDescent="0.3">
      <c r="Q325" s="27">
        <f t="shared" si="49"/>
        <v>53205</v>
      </c>
      <c r="R325" s="55">
        <f t="shared" si="50"/>
        <v>320</v>
      </c>
      <c r="S325" s="55">
        <f t="shared" si="51"/>
        <v>184355.24690143892</v>
      </c>
      <c r="T325" s="55">
        <f t="shared" si="52"/>
        <v>13877402.586245036</v>
      </c>
      <c r="U325" s="104">
        <f t="shared" si="53"/>
        <v>129398.73659515302</v>
      </c>
      <c r="V325" s="55">
        <f t="shared" si="54"/>
        <v>54956.510306285898</v>
      </c>
      <c r="W325" s="55">
        <f t="shared" si="55"/>
        <v>13748003.849649882</v>
      </c>
    </row>
    <row r="326" spans="17:23" x14ac:dyDescent="0.3">
      <c r="Q326" s="27">
        <f t="shared" si="49"/>
        <v>53235</v>
      </c>
      <c r="R326" s="55">
        <f t="shared" si="50"/>
        <v>321</v>
      </c>
      <c r="S326" s="55">
        <f t="shared" si="51"/>
        <v>184355.24690143892</v>
      </c>
      <c r="T326" s="55">
        <f t="shared" si="52"/>
        <v>13748003.849649882</v>
      </c>
      <c r="U326" s="104">
        <f t="shared" si="53"/>
        <v>131667.43461380468</v>
      </c>
      <c r="V326" s="55">
        <f t="shared" si="54"/>
        <v>52687.812287634239</v>
      </c>
      <c r="W326" s="55">
        <f t="shared" si="55"/>
        <v>13616336.415036077</v>
      </c>
    </row>
    <row r="327" spans="17:23" x14ac:dyDescent="0.3">
      <c r="Q327" s="27">
        <f t="shared" si="49"/>
        <v>53266</v>
      </c>
      <c r="R327" s="55">
        <f t="shared" si="50"/>
        <v>322</v>
      </c>
      <c r="S327" s="55">
        <f t="shared" si="51"/>
        <v>184355.24690143892</v>
      </c>
      <c r="T327" s="55">
        <f t="shared" si="52"/>
        <v>13616336.415036077</v>
      </c>
      <c r="U327" s="104">
        <f t="shared" si="53"/>
        <v>130432.59618375415</v>
      </c>
      <c r="V327" s="55">
        <f t="shared" si="54"/>
        <v>53922.650717684759</v>
      </c>
      <c r="W327" s="55">
        <f t="shared" si="55"/>
        <v>13485903.818852322</v>
      </c>
    </row>
    <row r="328" spans="17:23" x14ac:dyDescent="0.3">
      <c r="Q328" s="27">
        <f t="shared" si="49"/>
        <v>53296</v>
      </c>
      <c r="R328" s="55">
        <f t="shared" si="50"/>
        <v>323</v>
      </c>
      <c r="S328" s="55">
        <f t="shared" si="51"/>
        <v>184355.24690143892</v>
      </c>
      <c r="T328" s="55">
        <f t="shared" si="52"/>
        <v>13485903.818852322</v>
      </c>
      <c r="U328" s="104">
        <f t="shared" si="53"/>
        <v>132671.90605375098</v>
      </c>
      <c r="V328" s="55">
        <f t="shared" si="54"/>
        <v>51683.340847687949</v>
      </c>
      <c r="W328" s="55">
        <f t="shared" si="55"/>
        <v>13353231.91279857</v>
      </c>
    </row>
    <row r="329" spans="17:23" x14ac:dyDescent="0.3">
      <c r="Q329" s="27">
        <f t="shared" si="49"/>
        <v>53327</v>
      </c>
      <c r="R329" s="55">
        <f t="shared" si="50"/>
        <v>324</v>
      </c>
      <c r="S329" s="55">
        <f t="shared" si="51"/>
        <v>184355.24690143892</v>
      </c>
      <c r="T329" s="55">
        <f t="shared" si="52"/>
        <v>13353231.91279857</v>
      </c>
      <c r="U329" s="104">
        <f t="shared" si="53"/>
        <v>131474.52785641295</v>
      </c>
      <c r="V329" s="55">
        <f t="shared" si="54"/>
        <v>52880.719045025959</v>
      </c>
      <c r="W329" s="55">
        <f t="shared" si="55"/>
        <v>13221757.384942157</v>
      </c>
    </row>
    <row r="330" spans="17:23" x14ac:dyDescent="0.3">
      <c r="Q330" s="27">
        <f t="shared" si="49"/>
        <v>53358</v>
      </c>
      <c r="R330" s="55">
        <f t="shared" si="50"/>
        <v>325</v>
      </c>
      <c r="S330" s="55">
        <f t="shared" si="51"/>
        <v>184355.24690143892</v>
      </c>
      <c r="T330" s="55">
        <f t="shared" si="52"/>
        <v>13221757.384942157</v>
      </c>
      <c r="U330" s="104">
        <f t="shared" si="53"/>
        <v>131995.18589744411</v>
      </c>
      <c r="V330" s="55">
        <f t="shared" si="54"/>
        <v>52360.061003994808</v>
      </c>
      <c r="W330" s="55">
        <f t="shared" si="55"/>
        <v>13089762.199044714</v>
      </c>
    </row>
    <row r="331" spans="17:23" x14ac:dyDescent="0.3">
      <c r="Q331" s="27">
        <f t="shared" si="49"/>
        <v>53386</v>
      </c>
      <c r="R331" s="55">
        <f t="shared" si="50"/>
        <v>326</v>
      </c>
      <c r="S331" s="55">
        <f t="shared" si="51"/>
        <v>184355.24690143892</v>
      </c>
      <c r="T331" s="55">
        <f t="shared" si="52"/>
        <v>13089762.199044714</v>
      </c>
      <c r="U331" s="104">
        <f t="shared" si="53"/>
        <v>137534.42269813258</v>
      </c>
      <c r="V331" s="55">
        <f t="shared" si="54"/>
        <v>46820.824203306329</v>
      </c>
      <c r="W331" s="55">
        <f t="shared" si="55"/>
        <v>12952227.776346581</v>
      </c>
    </row>
    <row r="332" spans="17:23" x14ac:dyDescent="0.3">
      <c r="Q332" s="27">
        <f t="shared" si="49"/>
        <v>53417</v>
      </c>
      <c r="R332" s="55">
        <f t="shared" si="50"/>
        <v>327</v>
      </c>
      <c r="S332" s="55">
        <f t="shared" si="51"/>
        <v>184355.24690143892</v>
      </c>
      <c r="T332" s="55">
        <f t="shared" si="52"/>
        <v>12952227.776346581</v>
      </c>
      <c r="U332" s="104">
        <f t="shared" si="53"/>
        <v>133062.56191543999</v>
      </c>
      <c r="V332" s="55">
        <f t="shared" si="54"/>
        <v>51292.684985998923</v>
      </c>
      <c r="W332" s="55">
        <f t="shared" si="55"/>
        <v>12819165.214431141</v>
      </c>
    </row>
    <row r="333" spans="17:23" x14ac:dyDescent="0.3">
      <c r="Q333" s="27">
        <f t="shared" si="49"/>
        <v>53447</v>
      </c>
      <c r="R333" s="55">
        <f t="shared" si="50"/>
        <v>328</v>
      </c>
      <c r="S333" s="55">
        <f t="shared" si="51"/>
        <v>184355.24690143892</v>
      </c>
      <c r="T333" s="55">
        <f t="shared" si="52"/>
        <v>12819165.214431141</v>
      </c>
      <c r="U333" s="104">
        <f t="shared" si="53"/>
        <v>135227.11325465361</v>
      </c>
      <c r="V333" s="55">
        <f t="shared" si="54"/>
        <v>49128.133646785311</v>
      </c>
      <c r="W333" s="55">
        <f t="shared" si="55"/>
        <v>12683938.101176487</v>
      </c>
    </row>
    <row r="334" spans="17:23" x14ac:dyDescent="0.3">
      <c r="Q334" s="27">
        <f t="shared" si="49"/>
        <v>53478</v>
      </c>
      <c r="R334" s="55">
        <f t="shared" si="50"/>
        <v>329</v>
      </c>
      <c r="S334" s="55">
        <f t="shared" si="51"/>
        <v>184355.24690143892</v>
      </c>
      <c r="T334" s="55">
        <f t="shared" si="52"/>
        <v>12683938.101176487</v>
      </c>
      <c r="U334" s="104">
        <f t="shared" si="53"/>
        <v>134125.02761872439</v>
      </c>
      <c r="V334" s="55">
        <f t="shared" si="54"/>
        <v>50230.219282714541</v>
      </c>
      <c r="W334" s="55">
        <f t="shared" si="55"/>
        <v>12549813.073557762</v>
      </c>
    </row>
    <row r="335" spans="17:23" x14ac:dyDescent="0.3">
      <c r="Q335" s="27">
        <f t="shared" si="49"/>
        <v>53508</v>
      </c>
      <c r="R335" s="55">
        <f t="shared" si="50"/>
        <v>330</v>
      </c>
      <c r="S335" s="55">
        <f t="shared" si="51"/>
        <v>184355.24690143892</v>
      </c>
      <c r="T335" s="55">
        <f t="shared" si="52"/>
        <v>12549813.073557762</v>
      </c>
      <c r="U335" s="104">
        <f t="shared" si="53"/>
        <v>136259.37766138566</v>
      </c>
      <c r="V335" s="55">
        <f t="shared" si="54"/>
        <v>48095.869240053253</v>
      </c>
      <c r="W335" s="55">
        <f t="shared" si="55"/>
        <v>12413553.695896376</v>
      </c>
    </row>
    <row r="336" spans="17:23" x14ac:dyDescent="0.3">
      <c r="Q336" s="27">
        <f t="shared" si="49"/>
        <v>53539</v>
      </c>
      <c r="R336" s="55">
        <f t="shared" si="50"/>
        <v>331</v>
      </c>
      <c r="S336" s="55">
        <f t="shared" si="51"/>
        <v>184355.24690143892</v>
      </c>
      <c r="T336" s="55">
        <f t="shared" si="52"/>
        <v>12413553.695896376</v>
      </c>
      <c r="U336" s="104">
        <f t="shared" si="53"/>
        <v>135195.78875454125</v>
      </c>
      <c r="V336" s="55">
        <f t="shared" si="54"/>
        <v>49159.458146897683</v>
      </c>
      <c r="W336" s="55">
        <f t="shared" si="55"/>
        <v>12278357.907141834</v>
      </c>
    </row>
    <row r="337" spans="17:23" x14ac:dyDescent="0.3">
      <c r="Q337" s="27">
        <f t="shared" si="49"/>
        <v>53570</v>
      </c>
      <c r="R337" s="55">
        <f t="shared" si="50"/>
        <v>332</v>
      </c>
      <c r="S337" s="55">
        <f t="shared" si="51"/>
        <v>184355.24690143892</v>
      </c>
      <c r="T337" s="55">
        <f t="shared" si="52"/>
        <v>12278357.907141834</v>
      </c>
      <c r="U337" s="104">
        <f t="shared" si="53"/>
        <v>135731.18352397883</v>
      </c>
      <c r="V337" s="55">
        <f t="shared" si="54"/>
        <v>48624.063377460086</v>
      </c>
      <c r="W337" s="55">
        <f t="shared" si="55"/>
        <v>12142626.723617855</v>
      </c>
    </row>
    <row r="338" spans="17:23" x14ac:dyDescent="0.3">
      <c r="Q338" s="27">
        <f t="shared" si="49"/>
        <v>53600</v>
      </c>
      <c r="R338" s="55">
        <f t="shared" si="50"/>
        <v>333</v>
      </c>
      <c r="S338" s="55">
        <f t="shared" si="51"/>
        <v>184355.24690143892</v>
      </c>
      <c r="T338" s="55">
        <f t="shared" si="52"/>
        <v>12142626.723617855</v>
      </c>
      <c r="U338" s="104">
        <f t="shared" si="53"/>
        <v>137819.87751331634</v>
      </c>
      <c r="V338" s="55">
        <f t="shared" si="54"/>
        <v>46535.369388122592</v>
      </c>
      <c r="W338" s="55">
        <f t="shared" si="55"/>
        <v>12004806.84610454</v>
      </c>
    </row>
    <row r="339" spans="17:23" x14ac:dyDescent="0.3">
      <c r="Q339" s="27">
        <f t="shared" si="49"/>
        <v>53631</v>
      </c>
      <c r="R339" s="55">
        <f t="shared" si="50"/>
        <v>334</v>
      </c>
      <c r="S339" s="55">
        <f t="shared" si="51"/>
        <v>184355.24690143892</v>
      </c>
      <c r="T339" s="55">
        <f t="shared" si="52"/>
        <v>12004806.84610454</v>
      </c>
      <c r="U339" s="104">
        <f t="shared" si="53"/>
        <v>136814.48507207201</v>
      </c>
      <c r="V339" s="55">
        <f t="shared" si="54"/>
        <v>47540.761829366907</v>
      </c>
      <c r="W339" s="55">
        <f t="shared" si="55"/>
        <v>11867992.361032467</v>
      </c>
    </row>
    <row r="340" spans="17:23" x14ac:dyDescent="0.3">
      <c r="Q340" s="27">
        <f t="shared" si="49"/>
        <v>53661</v>
      </c>
      <c r="R340" s="55">
        <f t="shared" si="50"/>
        <v>335</v>
      </c>
      <c r="S340" s="55">
        <f t="shared" si="51"/>
        <v>184355.24690143892</v>
      </c>
      <c r="T340" s="55">
        <f t="shared" si="52"/>
        <v>11867992.361032467</v>
      </c>
      <c r="U340" s="104">
        <f t="shared" si="53"/>
        <v>138872.38549206566</v>
      </c>
      <c r="V340" s="55">
        <f t="shared" si="54"/>
        <v>45482.861409373269</v>
      </c>
      <c r="W340" s="55">
        <f t="shared" si="55"/>
        <v>11729119.975540401</v>
      </c>
    </row>
    <row r="341" spans="17:23" x14ac:dyDescent="0.3">
      <c r="Q341" s="27">
        <f t="shared" si="49"/>
        <v>53692</v>
      </c>
      <c r="R341" s="55">
        <f t="shared" si="50"/>
        <v>336</v>
      </c>
      <c r="S341" s="55">
        <f t="shared" si="51"/>
        <v>184355.24690143892</v>
      </c>
      <c r="T341" s="55">
        <f t="shared" si="52"/>
        <v>11729119.975540401</v>
      </c>
      <c r="U341" s="104">
        <f t="shared" si="53"/>
        <v>137906.24473309697</v>
      </c>
      <c r="V341" s="55">
        <f t="shared" si="54"/>
        <v>46449.002168341955</v>
      </c>
      <c r="W341" s="55">
        <f t="shared" si="55"/>
        <v>11591213.730807304</v>
      </c>
    </row>
    <row r="342" spans="17:23" x14ac:dyDescent="0.3">
      <c r="Q342" s="27">
        <f t="shared" si="49"/>
        <v>53723</v>
      </c>
      <c r="R342" s="55">
        <f t="shared" si="50"/>
        <v>337</v>
      </c>
      <c r="S342" s="55">
        <f t="shared" si="51"/>
        <v>184355.24690143892</v>
      </c>
      <c r="T342" s="55">
        <f t="shared" si="52"/>
        <v>11591213.730807304</v>
      </c>
      <c r="U342" s="104">
        <f t="shared" si="53"/>
        <v>138452.37329806975</v>
      </c>
      <c r="V342" s="55">
        <f t="shared" si="54"/>
        <v>45902.87360336916</v>
      </c>
      <c r="W342" s="55">
        <f t="shared" si="55"/>
        <v>11452761.357509235</v>
      </c>
    </row>
    <row r="343" spans="17:23" x14ac:dyDescent="0.3">
      <c r="Q343" s="27">
        <f t="shared" si="49"/>
        <v>53751</v>
      </c>
      <c r="R343" s="55">
        <f t="shared" si="50"/>
        <v>338</v>
      </c>
      <c r="S343" s="55">
        <f t="shared" si="51"/>
        <v>184355.24690143892</v>
      </c>
      <c r="T343" s="55">
        <f t="shared" si="52"/>
        <v>11452761.357509235</v>
      </c>
      <c r="U343" s="104">
        <f t="shared" si="53"/>
        <v>143389.81773562156</v>
      </c>
      <c r="V343" s="55">
        <f t="shared" si="54"/>
        <v>40965.429165817353</v>
      </c>
      <c r="W343" s="55">
        <f t="shared" si="55"/>
        <v>11309371.539773613</v>
      </c>
    </row>
    <row r="344" spans="17:23" x14ac:dyDescent="0.3">
      <c r="Q344" s="27">
        <f t="shared" si="49"/>
        <v>53782</v>
      </c>
      <c r="R344" s="55">
        <f t="shared" si="50"/>
        <v>339</v>
      </c>
      <c r="S344" s="55">
        <f t="shared" si="51"/>
        <v>184355.24690143892</v>
      </c>
      <c r="T344" s="55">
        <f t="shared" si="52"/>
        <v>11309371.539773613</v>
      </c>
      <c r="U344" s="104">
        <f t="shared" si="53"/>
        <v>139568.50891350844</v>
      </c>
      <c r="V344" s="55">
        <f t="shared" si="54"/>
        <v>44786.737987930464</v>
      </c>
      <c r="W344" s="55">
        <f t="shared" si="55"/>
        <v>11169803.030860106</v>
      </c>
    </row>
    <row r="345" spans="17:23" x14ac:dyDescent="0.3">
      <c r="Q345" s="27">
        <f t="shared" si="49"/>
        <v>53812</v>
      </c>
      <c r="R345" s="55">
        <f t="shared" si="50"/>
        <v>340</v>
      </c>
      <c r="S345" s="55">
        <f t="shared" si="51"/>
        <v>184355.24690143892</v>
      </c>
      <c r="T345" s="55">
        <f t="shared" si="52"/>
        <v>11169803.030860106</v>
      </c>
      <c r="U345" s="104">
        <f t="shared" si="53"/>
        <v>141548.12436817074</v>
      </c>
      <c r="V345" s="55">
        <f t="shared" si="54"/>
        <v>42807.122533268186</v>
      </c>
      <c r="W345" s="55">
        <f t="shared" si="55"/>
        <v>11028254.906491935</v>
      </c>
    </row>
    <row r="346" spans="17:23" x14ac:dyDescent="0.3">
      <c r="Q346" s="27">
        <f t="shared" si="49"/>
        <v>53843</v>
      </c>
      <c r="R346" s="55">
        <f t="shared" si="50"/>
        <v>341</v>
      </c>
      <c r="S346" s="55">
        <f t="shared" si="51"/>
        <v>184355.24690143892</v>
      </c>
      <c r="T346" s="55">
        <f t="shared" si="52"/>
        <v>11028254.906491935</v>
      </c>
      <c r="U346" s="104">
        <f t="shared" si="53"/>
        <v>140681.77121588815</v>
      </c>
      <c r="V346" s="55">
        <f t="shared" si="54"/>
        <v>43673.47568555078</v>
      </c>
      <c r="W346" s="55">
        <f t="shared" si="55"/>
        <v>10887573.135276048</v>
      </c>
    </row>
    <row r="347" spans="17:23" x14ac:dyDescent="0.3">
      <c r="Q347" s="27">
        <f t="shared" si="49"/>
        <v>53873</v>
      </c>
      <c r="R347" s="55">
        <f t="shared" si="50"/>
        <v>342</v>
      </c>
      <c r="S347" s="55">
        <f t="shared" si="51"/>
        <v>184355.24690143892</v>
      </c>
      <c r="T347" s="55">
        <f t="shared" si="52"/>
        <v>10887573.135276048</v>
      </c>
      <c r="U347" s="104">
        <f t="shared" si="53"/>
        <v>142629.74144677448</v>
      </c>
      <c r="V347" s="55">
        <f t="shared" si="54"/>
        <v>41725.505454664431</v>
      </c>
      <c r="W347" s="55">
        <f t="shared" si="55"/>
        <v>10744943.393829273</v>
      </c>
    </row>
    <row r="348" spans="17:23" x14ac:dyDescent="0.3">
      <c r="Q348" s="27">
        <f t="shared" si="49"/>
        <v>53904</v>
      </c>
      <c r="R348" s="55">
        <f t="shared" si="50"/>
        <v>343</v>
      </c>
      <c r="S348" s="55">
        <f t="shared" si="51"/>
        <v>184355.24690143892</v>
      </c>
      <c r="T348" s="55">
        <f t="shared" si="52"/>
        <v>10744943.393829273</v>
      </c>
      <c r="U348" s="104">
        <f t="shared" si="53"/>
        <v>141803.72555631836</v>
      </c>
      <c r="V348" s="55">
        <f t="shared" si="54"/>
        <v>42551.521345120571</v>
      </c>
      <c r="W348" s="55">
        <f t="shared" si="55"/>
        <v>10603139.668272955</v>
      </c>
    </row>
    <row r="349" spans="17:23" x14ac:dyDescent="0.3">
      <c r="Q349" s="27">
        <f t="shared" si="49"/>
        <v>53935</v>
      </c>
      <c r="R349" s="55">
        <f t="shared" si="50"/>
        <v>344</v>
      </c>
      <c r="S349" s="55">
        <f t="shared" si="51"/>
        <v>184355.24690143892</v>
      </c>
      <c r="T349" s="55">
        <f t="shared" si="52"/>
        <v>10603139.668272955</v>
      </c>
      <c r="U349" s="104">
        <f t="shared" si="53"/>
        <v>142365.28870594763</v>
      </c>
      <c r="V349" s="55">
        <f t="shared" si="54"/>
        <v>41989.958195491272</v>
      </c>
      <c r="W349" s="55">
        <f t="shared" si="55"/>
        <v>10460774.379567008</v>
      </c>
    </row>
    <row r="350" spans="17:23" x14ac:dyDescent="0.3">
      <c r="Q350" s="27">
        <f t="shared" si="49"/>
        <v>53965</v>
      </c>
      <c r="R350" s="55">
        <f t="shared" si="50"/>
        <v>345</v>
      </c>
      <c r="S350" s="55">
        <f t="shared" si="51"/>
        <v>184355.24690143892</v>
      </c>
      <c r="T350" s="55">
        <f t="shared" si="52"/>
        <v>10460774.379567008</v>
      </c>
      <c r="U350" s="104">
        <f t="shared" si="53"/>
        <v>144265.40382884216</v>
      </c>
      <c r="V350" s="55">
        <f t="shared" si="54"/>
        <v>40089.84307259677</v>
      </c>
      <c r="W350" s="55">
        <f t="shared" si="55"/>
        <v>10316508.975738166</v>
      </c>
    </row>
    <row r="351" spans="17:23" x14ac:dyDescent="0.3">
      <c r="Q351" s="27">
        <f t="shared" si="49"/>
        <v>53996</v>
      </c>
      <c r="R351" s="55">
        <f t="shared" si="50"/>
        <v>346</v>
      </c>
      <c r="S351" s="55">
        <f t="shared" si="51"/>
        <v>184355.24690143892</v>
      </c>
      <c r="T351" s="55">
        <f t="shared" si="52"/>
        <v>10316508.975738166</v>
      </c>
      <c r="U351" s="104">
        <f t="shared" si="53"/>
        <v>143500.38747608778</v>
      </c>
      <c r="V351" s="55">
        <f t="shared" si="54"/>
        <v>40854.859425351155</v>
      </c>
      <c r="W351" s="55">
        <f t="shared" si="55"/>
        <v>10173008.588262077</v>
      </c>
    </row>
    <row r="352" spans="17:23" x14ac:dyDescent="0.3">
      <c r="Q352" s="27">
        <f t="shared" si="49"/>
        <v>54026</v>
      </c>
      <c r="R352" s="55">
        <f t="shared" si="50"/>
        <v>347</v>
      </c>
      <c r="S352" s="55">
        <f t="shared" si="51"/>
        <v>184355.24690143892</v>
      </c>
      <c r="T352" s="55">
        <f t="shared" si="52"/>
        <v>10173008.588262077</v>
      </c>
      <c r="U352" s="104">
        <f t="shared" si="53"/>
        <v>145368.23665903974</v>
      </c>
      <c r="V352" s="55">
        <f t="shared" si="54"/>
        <v>38987.010242399178</v>
      </c>
      <c r="W352" s="55">
        <f t="shared" si="55"/>
        <v>10027640.351603039</v>
      </c>
    </row>
    <row r="353" spans="17:23" x14ac:dyDescent="0.3">
      <c r="Q353" s="27">
        <f t="shared" si="49"/>
        <v>54057</v>
      </c>
      <c r="R353" s="55">
        <f t="shared" si="50"/>
        <v>348</v>
      </c>
      <c r="S353" s="55">
        <f t="shared" si="51"/>
        <v>184355.24690143892</v>
      </c>
      <c r="T353" s="55">
        <f t="shared" si="52"/>
        <v>10027640.351603039</v>
      </c>
      <c r="U353" s="104">
        <f t="shared" si="53"/>
        <v>144644.3487772595</v>
      </c>
      <c r="V353" s="55">
        <f t="shared" si="54"/>
        <v>39710.898124179424</v>
      </c>
      <c r="W353" s="55">
        <f t="shared" si="55"/>
        <v>9882996.0028257798</v>
      </c>
    </row>
    <row r="354" spans="17:23" x14ac:dyDescent="0.3">
      <c r="Q354" s="27">
        <f t="shared" si="49"/>
        <v>54088</v>
      </c>
      <c r="R354" s="55">
        <f t="shared" si="50"/>
        <v>349</v>
      </c>
      <c r="S354" s="55">
        <f t="shared" si="51"/>
        <v>184355.24690143892</v>
      </c>
      <c r="T354" s="55">
        <f t="shared" si="52"/>
        <v>9882996.0028257798</v>
      </c>
      <c r="U354" s="104">
        <f t="shared" si="53"/>
        <v>145217.16120342651</v>
      </c>
      <c r="V354" s="55">
        <f t="shared" si="54"/>
        <v>39138.085698012415</v>
      </c>
      <c r="W354" s="55">
        <f t="shared" si="55"/>
        <v>9737778.8416223526</v>
      </c>
    </row>
    <row r="355" spans="17:23" x14ac:dyDescent="0.3">
      <c r="Q355" s="27">
        <f t="shared" si="49"/>
        <v>54117</v>
      </c>
      <c r="R355" s="55">
        <f t="shared" si="50"/>
        <v>350</v>
      </c>
      <c r="S355" s="55">
        <f t="shared" si="51"/>
        <v>184355.24690143892</v>
      </c>
      <c r="T355" s="55">
        <f t="shared" si="52"/>
        <v>9737778.8416223526</v>
      </c>
      <c r="U355" s="104">
        <f t="shared" si="53"/>
        <v>148280.17784611112</v>
      </c>
      <c r="V355" s="55">
        <f t="shared" si="54"/>
        <v>36075.069055327789</v>
      </c>
      <c r="W355" s="55">
        <f t="shared" si="55"/>
        <v>9589498.6637762412</v>
      </c>
    </row>
    <row r="356" spans="17:23" x14ac:dyDescent="0.3">
      <c r="Q356" s="27">
        <f t="shared" si="49"/>
        <v>54148</v>
      </c>
      <c r="R356" s="55">
        <f t="shared" si="50"/>
        <v>351</v>
      </c>
      <c r="S356" s="55">
        <f t="shared" si="51"/>
        <v>184355.24690143892</v>
      </c>
      <c r="T356" s="55">
        <f t="shared" si="52"/>
        <v>9589498.6637762412</v>
      </c>
      <c r="U356" s="104">
        <f t="shared" si="53"/>
        <v>146379.45288143336</v>
      </c>
      <c r="V356" s="55">
        <f t="shared" si="54"/>
        <v>37975.794020005553</v>
      </c>
      <c r="W356" s="55">
        <f t="shared" si="55"/>
        <v>9443119.2108948082</v>
      </c>
    </row>
    <row r="357" spans="17:23" x14ac:dyDescent="0.3">
      <c r="Q357" s="27">
        <f t="shared" si="49"/>
        <v>54178</v>
      </c>
      <c r="R357" s="55">
        <f t="shared" si="50"/>
        <v>352</v>
      </c>
      <c r="S357" s="55">
        <f t="shared" si="51"/>
        <v>184355.24690143892</v>
      </c>
      <c r="T357" s="55">
        <f t="shared" si="52"/>
        <v>9443119.2108948082</v>
      </c>
      <c r="U357" s="104">
        <f t="shared" si="53"/>
        <v>148165.46270916515</v>
      </c>
      <c r="V357" s="55">
        <f t="shared" si="54"/>
        <v>36189.784192273779</v>
      </c>
      <c r="W357" s="55">
        <f t="shared" si="55"/>
        <v>9294953.7481856439</v>
      </c>
    </row>
    <row r="358" spans="17:23" x14ac:dyDescent="0.3">
      <c r="Q358" s="27">
        <f t="shared" si="49"/>
        <v>54209</v>
      </c>
      <c r="R358" s="55">
        <f t="shared" si="50"/>
        <v>353</v>
      </c>
      <c r="S358" s="55">
        <f t="shared" si="51"/>
        <v>184355.24690143892</v>
      </c>
      <c r="T358" s="55">
        <f t="shared" si="52"/>
        <v>9294953.7481856439</v>
      </c>
      <c r="U358" s="104">
        <f t="shared" si="53"/>
        <v>147545.89311322162</v>
      </c>
      <c r="V358" s="55">
        <f t="shared" si="54"/>
        <v>36809.35378821729</v>
      </c>
      <c r="W358" s="55">
        <f t="shared" si="55"/>
        <v>9147407.855072422</v>
      </c>
    </row>
    <row r="359" spans="17:23" x14ac:dyDescent="0.3">
      <c r="Q359" s="27">
        <f t="shared" si="49"/>
        <v>54239</v>
      </c>
      <c r="R359" s="55">
        <f t="shared" si="50"/>
        <v>354</v>
      </c>
      <c r="S359" s="55">
        <f t="shared" si="51"/>
        <v>184355.24690143892</v>
      </c>
      <c r="T359" s="55">
        <f t="shared" si="52"/>
        <v>9147407.855072422</v>
      </c>
      <c r="U359" s="104">
        <f t="shared" si="53"/>
        <v>149298.74609905074</v>
      </c>
      <c r="V359" s="55">
        <f t="shared" si="54"/>
        <v>35056.500802388167</v>
      </c>
      <c r="W359" s="55">
        <f t="shared" si="55"/>
        <v>8998109.1089733709</v>
      </c>
    </row>
    <row r="360" spans="17:23" x14ac:dyDescent="0.3">
      <c r="Q360" s="27">
        <f t="shared" si="49"/>
        <v>54270</v>
      </c>
      <c r="R360" s="55">
        <f t="shared" si="50"/>
        <v>355</v>
      </c>
      <c r="S360" s="55">
        <f t="shared" si="51"/>
        <v>184355.24690143892</v>
      </c>
      <c r="T360" s="55">
        <f t="shared" si="52"/>
        <v>8998109.1089733709</v>
      </c>
      <c r="U360" s="104">
        <f t="shared" si="53"/>
        <v>148721.44058133391</v>
      </c>
      <c r="V360" s="55">
        <f t="shared" si="54"/>
        <v>35633.806320105017</v>
      </c>
      <c r="W360" s="55">
        <f t="shared" si="55"/>
        <v>8849387.6683920361</v>
      </c>
    </row>
    <row r="361" spans="17:23" x14ac:dyDescent="0.3">
      <c r="Q361" s="27">
        <f t="shared" si="49"/>
        <v>54301</v>
      </c>
      <c r="R361" s="55">
        <f t="shared" si="50"/>
        <v>356</v>
      </c>
      <c r="S361" s="55">
        <f t="shared" si="51"/>
        <v>184355.24690143892</v>
      </c>
      <c r="T361" s="55">
        <f t="shared" si="52"/>
        <v>8849387.6683920361</v>
      </c>
      <c r="U361" s="104">
        <f t="shared" si="53"/>
        <v>149310.39887747608</v>
      </c>
      <c r="V361" s="55">
        <f t="shared" si="54"/>
        <v>35044.848023962848</v>
      </c>
      <c r="W361" s="55">
        <f t="shared" si="55"/>
        <v>8700077.2695145607</v>
      </c>
    </row>
    <row r="362" spans="17:23" x14ac:dyDescent="0.3">
      <c r="Q362" s="27">
        <f t="shared" si="49"/>
        <v>54331</v>
      </c>
      <c r="R362" s="55">
        <f t="shared" si="50"/>
        <v>357</v>
      </c>
      <c r="S362" s="55">
        <f t="shared" si="51"/>
        <v>184355.24690143892</v>
      </c>
      <c r="T362" s="55">
        <f t="shared" si="52"/>
        <v>8700077.2695145607</v>
      </c>
      <c r="U362" s="104">
        <f t="shared" si="53"/>
        <v>151013.09460957945</v>
      </c>
      <c r="V362" s="55">
        <f t="shared" si="54"/>
        <v>33342.152291859471</v>
      </c>
      <c r="W362" s="55">
        <f t="shared" si="55"/>
        <v>8549064.1749049816</v>
      </c>
    </row>
    <row r="363" spans="17:23" x14ac:dyDescent="0.3">
      <c r="Q363" s="27">
        <f t="shared" si="49"/>
        <v>54362</v>
      </c>
      <c r="R363" s="55">
        <f t="shared" si="50"/>
        <v>358</v>
      </c>
      <c r="S363" s="55">
        <f t="shared" si="51"/>
        <v>184355.24690143892</v>
      </c>
      <c r="T363" s="55">
        <f t="shared" si="52"/>
        <v>8549064.1749049816</v>
      </c>
      <c r="U363" s="104">
        <f t="shared" si="53"/>
        <v>150499.72310889963</v>
      </c>
      <c r="V363" s="55">
        <f t="shared" si="54"/>
        <v>33855.523792539294</v>
      </c>
      <c r="W363" s="55">
        <f t="shared" si="55"/>
        <v>8398564.4517960828</v>
      </c>
    </row>
    <row r="364" spans="17:23" x14ac:dyDescent="0.3">
      <c r="Q364" s="27">
        <f t="shared" si="49"/>
        <v>54392</v>
      </c>
      <c r="R364" s="55">
        <f t="shared" si="50"/>
        <v>359</v>
      </c>
      <c r="S364" s="55">
        <f t="shared" si="51"/>
        <v>184355.24690143892</v>
      </c>
      <c r="T364" s="55">
        <f t="shared" si="52"/>
        <v>8398564.4517960828</v>
      </c>
      <c r="U364" s="104">
        <f t="shared" si="53"/>
        <v>152168.61150614123</v>
      </c>
      <c r="V364" s="55">
        <f t="shared" si="54"/>
        <v>32186.63539529769</v>
      </c>
      <c r="W364" s="55">
        <f t="shared" si="55"/>
        <v>8246395.840289942</v>
      </c>
    </row>
    <row r="365" spans="17:23" x14ac:dyDescent="0.3">
      <c r="Q365" s="27">
        <f t="shared" si="49"/>
        <v>54423</v>
      </c>
      <c r="R365" s="55">
        <f t="shared" si="50"/>
        <v>360</v>
      </c>
      <c r="S365" s="55">
        <f t="shared" si="51"/>
        <v>184355.24690143892</v>
      </c>
      <c r="T365" s="55">
        <f t="shared" si="52"/>
        <v>8246395.840289942</v>
      </c>
      <c r="U365" s="104">
        <f t="shared" si="53"/>
        <v>151698.33324846165</v>
      </c>
      <c r="V365" s="55">
        <f t="shared" si="54"/>
        <v>32656.913652977255</v>
      </c>
      <c r="W365" s="55">
        <f t="shared" si="55"/>
        <v>8094697.5070414804</v>
      </c>
    </row>
  </sheetData>
  <pageMargins left="0.7" right="0.7" top="0.75" bottom="0.75" header="0.3" footer="0.3"/>
  <pageSetup orientation="portrait" horizontalDpi="90" verticalDpi="9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2578-AE42-4FA0-B585-4FFAD72FE39A}">
  <dimension ref="B1:EX107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3.140625" defaultRowHeight="15" outlineLevelCol="1" x14ac:dyDescent="0.3"/>
  <cols>
    <col min="1" max="1" width="8.7109375" style="1" customWidth="1"/>
    <col min="2" max="2" width="31.5703125" style="1" bestFit="1" customWidth="1"/>
    <col min="3" max="3" width="13.140625" style="1"/>
    <col min="4" max="4" width="14" style="1" bestFit="1" customWidth="1"/>
    <col min="5" max="8" width="13.140625" style="1"/>
    <col min="9" max="142" width="13.140625" style="1" hidden="1" customWidth="1" outlineLevel="1"/>
    <col min="143" max="143" width="13.140625" style="1" collapsed="1"/>
    <col min="144" max="16384" width="13.140625" style="1"/>
  </cols>
  <sheetData>
    <row r="1" spans="2:154" x14ac:dyDescent="0.3">
      <c r="B1" s="20"/>
    </row>
    <row r="2" spans="2:154" x14ac:dyDescent="0.3">
      <c r="B2" s="2" t="s">
        <v>102</v>
      </c>
    </row>
    <row r="3" spans="2:154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</row>
    <row r="4" spans="2:154" x14ac:dyDescent="0.3">
      <c r="B4" s="32" t="s">
        <v>103</v>
      </c>
      <c r="C4" s="101">
        <f>'Inputs &amp; Drivers'!E12</f>
        <v>43465</v>
      </c>
      <c r="E4" s="31" t="s">
        <v>107</v>
      </c>
      <c r="F4" s="31" t="s">
        <v>107</v>
      </c>
      <c r="I4" s="25">
        <v>0</v>
      </c>
      <c r="J4" s="25">
        <v>1</v>
      </c>
      <c r="K4" s="25">
        <v>1</v>
      </c>
      <c r="L4" s="25">
        <v>1</v>
      </c>
      <c r="M4" s="25">
        <v>1</v>
      </c>
      <c r="N4" s="25">
        <v>1</v>
      </c>
      <c r="O4" s="25">
        <v>1</v>
      </c>
      <c r="P4" s="25">
        <v>1</v>
      </c>
      <c r="Q4" s="25">
        <v>1</v>
      </c>
      <c r="R4" s="25">
        <v>1</v>
      </c>
      <c r="S4" s="25">
        <v>1</v>
      </c>
      <c r="T4" s="25">
        <v>1</v>
      </c>
      <c r="U4" s="25">
        <v>1</v>
      </c>
      <c r="V4" s="29">
        <f>J4+1</f>
        <v>2</v>
      </c>
      <c r="W4" s="29">
        <f t="shared" ref="W4:AI4" si="0">K4+1</f>
        <v>2</v>
      </c>
      <c r="X4" s="29">
        <f t="shared" si="0"/>
        <v>2</v>
      </c>
      <c r="Y4" s="29">
        <f t="shared" si="0"/>
        <v>2</v>
      </c>
      <c r="Z4" s="29">
        <f t="shared" si="0"/>
        <v>2</v>
      </c>
      <c r="AA4" s="29">
        <f t="shared" si="0"/>
        <v>2</v>
      </c>
      <c r="AB4" s="29">
        <f t="shared" si="0"/>
        <v>2</v>
      </c>
      <c r="AC4" s="29">
        <f t="shared" si="0"/>
        <v>2</v>
      </c>
      <c r="AD4" s="29">
        <f t="shared" si="0"/>
        <v>2</v>
      </c>
      <c r="AE4" s="29">
        <f t="shared" si="0"/>
        <v>2</v>
      </c>
      <c r="AF4" s="29">
        <f t="shared" si="0"/>
        <v>2</v>
      </c>
      <c r="AG4" s="29">
        <f t="shared" si="0"/>
        <v>2</v>
      </c>
      <c r="AH4" s="29">
        <f t="shared" si="0"/>
        <v>3</v>
      </c>
      <c r="AI4" s="29">
        <f t="shared" si="0"/>
        <v>3</v>
      </c>
      <c r="AJ4" s="29">
        <f t="shared" ref="AJ4" si="1">X4+1</f>
        <v>3</v>
      </c>
      <c r="AK4" s="29">
        <f t="shared" ref="AK4" si="2">Y4+1</f>
        <v>3</v>
      </c>
      <c r="AL4" s="29">
        <f t="shared" ref="AL4" si="3">Z4+1</f>
        <v>3</v>
      </c>
      <c r="AM4" s="29">
        <f t="shared" ref="AM4" si="4">AA4+1</f>
        <v>3</v>
      </c>
      <c r="AN4" s="29">
        <f t="shared" ref="AN4" si="5">AB4+1</f>
        <v>3</v>
      </c>
      <c r="AO4" s="29">
        <f t="shared" ref="AO4" si="6">AC4+1</f>
        <v>3</v>
      </c>
      <c r="AP4" s="29">
        <f t="shared" ref="AP4" si="7">AD4+1</f>
        <v>3</v>
      </c>
      <c r="AQ4" s="29">
        <f t="shared" ref="AQ4" si="8">AE4+1</f>
        <v>3</v>
      </c>
      <c r="AR4" s="29">
        <f t="shared" ref="AR4" si="9">AF4+1</f>
        <v>3</v>
      </c>
      <c r="AS4" s="29">
        <f t="shared" ref="AS4" si="10">AG4+1</f>
        <v>3</v>
      </c>
      <c r="AT4" s="29">
        <f t="shared" ref="AT4" si="11">AH4+1</f>
        <v>4</v>
      </c>
      <c r="AU4" s="29">
        <f t="shared" ref="AU4" si="12">AI4+1</f>
        <v>4</v>
      </c>
      <c r="AV4" s="29">
        <f t="shared" ref="AV4" si="13">AJ4+1</f>
        <v>4</v>
      </c>
      <c r="AW4" s="29">
        <f t="shared" ref="AW4" si="14">AK4+1</f>
        <v>4</v>
      </c>
      <c r="AX4" s="29">
        <f t="shared" ref="AX4" si="15">AL4+1</f>
        <v>4</v>
      </c>
      <c r="AY4" s="29">
        <f t="shared" ref="AY4" si="16">AM4+1</f>
        <v>4</v>
      </c>
      <c r="AZ4" s="29">
        <f t="shared" ref="AZ4" si="17">AN4+1</f>
        <v>4</v>
      </c>
      <c r="BA4" s="29">
        <f t="shared" ref="BA4" si="18">AO4+1</f>
        <v>4</v>
      </c>
      <c r="BB4" s="29">
        <f t="shared" ref="BB4" si="19">AP4+1</f>
        <v>4</v>
      </c>
      <c r="BC4" s="29">
        <f t="shared" ref="BC4" si="20">AQ4+1</f>
        <v>4</v>
      </c>
      <c r="BD4" s="29">
        <f t="shared" ref="BD4" si="21">AR4+1</f>
        <v>4</v>
      </c>
      <c r="BE4" s="29">
        <f t="shared" ref="BE4" si="22">AS4+1</f>
        <v>4</v>
      </c>
      <c r="BF4" s="29">
        <f t="shared" ref="BF4" si="23">AT4+1</f>
        <v>5</v>
      </c>
      <c r="BG4" s="29">
        <f t="shared" ref="BG4" si="24">AU4+1</f>
        <v>5</v>
      </c>
      <c r="BH4" s="29">
        <f t="shared" ref="BH4" si="25">AV4+1</f>
        <v>5</v>
      </c>
      <c r="BI4" s="29">
        <f t="shared" ref="BI4" si="26">AW4+1</f>
        <v>5</v>
      </c>
      <c r="BJ4" s="29">
        <f t="shared" ref="BJ4" si="27">AX4+1</f>
        <v>5</v>
      </c>
      <c r="BK4" s="29">
        <f t="shared" ref="BK4" si="28">AY4+1</f>
        <v>5</v>
      </c>
      <c r="BL4" s="29">
        <f t="shared" ref="BL4" si="29">AZ4+1</f>
        <v>5</v>
      </c>
      <c r="BM4" s="29">
        <f t="shared" ref="BM4" si="30">BA4+1</f>
        <v>5</v>
      </c>
      <c r="BN4" s="29">
        <f t="shared" ref="BN4" si="31">BB4+1</f>
        <v>5</v>
      </c>
      <c r="BO4" s="29">
        <f t="shared" ref="BO4" si="32">BC4+1</f>
        <v>5</v>
      </c>
      <c r="BP4" s="29">
        <f t="shared" ref="BP4" si="33">BD4+1</f>
        <v>5</v>
      </c>
      <c r="BQ4" s="29">
        <f t="shared" ref="BQ4" si="34">BE4+1</f>
        <v>5</v>
      </c>
      <c r="BR4" s="29">
        <f t="shared" ref="BR4" si="35">BF4+1</f>
        <v>6</v>
      </c>
      <c r="BS4" s="29">
        <f t="shared" ref="BS4" si="36">BG4+1</f>
        <v>6</v>
      </c>
      <c r="BT4" s="29">
        <f t="shared" ref="BT4" si="37">BH4+1</f>
        <v>6</v>
      </c>
      <c r="BU4" s="29">
        <f t="shared" ref="BU4" si="38">BI4+1</f>
        <v>6</v>
      </c>
      <c r="BV4" s="29">
        <f t="shared" ref="BV4" si="39">BJ4+1</f>
        <v>6</v>
      </c>
      <c r="BW4" s="29">
        <f t="shared" ref="BW4" si="40">BK4+1</f>
        <v>6</v>
      </c>
      <c r="BX4" s="29">
        <f t="shared" ref="BX4" si="41">BL4+1</f>
        <v>6</v>
      </c>
      <c r="BY4" s="29">
        <f t="shared" ref="BY4" si="42">BM4+1</f>
        <v>6</v>
      </c>
      <c r="BZ4" s="29">
        <f t="shared" ref="BZ4" si="43">BN4+1</f>
        <v>6</v>
      </c>
      <c r="CA4" s="29">
        <f t="shared" ref="CA4" si="44">BO4+1</f>
        <v>6</v>
      </c>
      <c r="CB4" s="29">
        <f t="shared" ref="CB4" si="45">BP4+1</f>
        <v>6</v>
      </c>
      <c r="CC4" s="29">
        <f t="shared" ref="CC4" si="46">BQ4+1</f>
        <v>6</v>
      </c>
      <c r="CD4" s="29">
        <f t="shared" ref="CD4" si="47">BR4+1</f>
        <v>7</v>
      </c>
      <c r="CE4" s="29">
        <f t="shared" ref="CE4" si="48">BS4+1</f>
        <v>7</v>
      </c>
      <c r="CF4" s="29">
        <f t="shared" ref="CF4" si="49">BT4+1</f>
        <v>7</v>
      </c>
      <c r="CG4" s="29">
        <f t="shared" ref="CG4" si="50">BU4+1</f>
        <v>7</v>
      </c>
      <c r="CH4" s="29">
        <f t="shared" ref="CH4" si="51">BV4+1</f>
        <v>7</v>
      </c>
      <c r="CI4" s="29">
        <f t="shared" ref="CI4" si="52">BW4+1</f>
        <v>7</v>
      </c>
      <c r="CJ4" s="29">
        <f t="shared" ref="CJ4" si="53">BX4+1</f>
        <v>7</v>
      </c>
      <c r="CK4" s="29">
        <f t="shared" ref="CK4" si="54">BY4+1</f>
        <v>7</v>
      </c>
      <c r="CL4" s="29">
        <f t="shared" ref="CL4" si="55">BZ4+1</f>
        <v>7</v>
      </c>
      <c r="CM4" s="29">
        <f t="shared" ref="CM4" si="56">CA4+1</f>
        <v>7</v>
      </c>
      <c r="CN4" s="29">
        <f t="shared" ref="CN4" si="57">CB4+1</f>
        <v>7</v>
      </c>
      <c r="CO4" s="29">
        <f t="shared" ref="CO4" si="58">CC4+1</f>
        <v>7</v>
      </c>
      <c r="CP4" s="29">
        <f t="shared" ref="CP4" si="59">CD4+1</f>
        <v>8</v>
      </c>
      <c r="CQ4" s="29">
        <f t="shared" ref="CQ4" si="60">CE4+1</f>
        <v>8</v>
      </c>
      <c r="CR4" s="29">
        <f t="shared" ref="CR4" si="61">CF4+1</f>
        <v>8</v>
      </c>
      <c r="CS4" s="29">
        <f t="shared" ref="CS4" si="62">CG4+1</f>
        <v>8</v>
      </c>
      <c r="CT4" s="29">
        <f t="shared" ref="CT4" si="63">CH4+1</f>
        <v>8</v>
      </c>
      <c r="CU4" s="29">
        <f t="shared" ref="CU4" si="64">CI4+1</f>
        <v>8</v>
      </c>
      <c r="CV4" s="29">
        <f t="shared" ref="CV4" si="65">CJ4+1</f>
        <v>8</v>
      </c>
      <c r="CW4" s="29">
        <f t="shared" ref="CW4" si="66">CK4+1</f>
        <v>8</v>
      </c>
      <c r="CX4" s="29">
        <f t="shared" ref="CX4" si="67">CL4+1</f>
        <v>8</v>
      </c>
      <c r="CY4" s="29">
        <f t="shared" ref="CY4" si="68">CM4+1</f>
        <v>8</v>
      </c>
      <c r="CZ4" s="29">
        <f t="shared" ref="CZ4" si="69">CN4+1</f>
        <v>8</v>
      </c>
      <c r="DA4" s="29">
        <f t="shared" ref="DA4" si="70">CO4+1</f>
        <v>8</v>
      </c>
      <c r="DB4" s="29">
        <f t="shared" ref="DB4" si="71">CP4+1</f>
        <v>9</v>
      </c>
      <c r="DC4" s="29">
        <f t="shared" ref="DC4" si="72">CQ4+1</f>
        <v>9</v>
      </c>
      <c r="DD4" s="29">
        <f t="shared" ref="DD4" si="73">CR4+1</f>
        <v>9</v>
      </c>
      <c r="DE4" s="29">
        <f t="shared" ref="DE4" si="74">CS4+1</f>
        <v>9</v>
      </c>
      <c r="DF4" s="29">
        <f t="shared" ref="DF4" si="75">CT4+1</f>
        <v>9</v>
      </c>
      <c r="DG4" s="29">
        <f t="shared" ref="DG4" si="76">CU4+1</f>
        <v>9</v>
      </c>
      <c r="DH4" s="29">
        <f t="shared" ref="DH4" si="77">CV4+1</f>
        <v>9</v>
      </c>
      <c r="DI4" s="29">
        <f t="shared" ref="DI4" si="78">CW4+1</f>
        <v>9</v>
      </c>
      <c r="DJ4" s="29">
        <f t="shared" ref="DJ4" si="79">CX4+1</f>
        <v>9</v>
      </c>
      <c r="DK4" s="29">
        <f t="shared" ref="DK4" si="80">CY4+1</f>
        <v>9</v>
      </c>
      <c r="DL4" s="29">
        <f t="shared" ref="DL4" si="81">CZ4+1</f>
        <v>9</v>
      </c>
      <c r="DM4" s="29">
        <f t="shared" ref="DM4" si="82">DA4+1</f>
        <v>9</v>
      </c>
      <c r="DN4" s="29">
        <f t="shared" ref="DN4" si="83">DB4+1</f>
        <v>10</v>
      </c>
      <c r="DO4" s="29">
        <f t="shared" ref="DO4" si="84">DC4+1</f>
        <v>10</v>
      </c>
      <c r="DP4" s="29">
        <f t="shared" ref="DP4" si="85">DD4+1</f>
        <v>10</v>
      </c>
      <c r="DQ4" s="29">
        <f t="shared" ref="DQ4" si="86">DE4+1</f>
        <v>10</v>
      </c>
      <c r="DR4" s="29">
        <f t="shared" ref="DR4" si="87">DF4+1</f>
        <v>10</v>
      </c>
      <c r="DS4" s="29">
        <f t="shared" ref="DS4" si="88">DG4+1</f>
        <v>10</v>
      </c>
      <c r="DT4" s="29">
        <f t="shared" ref="DT4" si="89">DH4+1</f>
        <v>10</v>
      </c>
      <c r="DU4" s="29">
        <f t="shared" ref="DU4" si="90">DI4+1</f>
        <v>10</v>
      </c>
      <c r="DV4" s="29">
        <f t="shared" ref="DV4" si="91">DJ4+1</f>
        <v>10</v>
      </c>
      <c r="DW4" s="29">
        <f t="shared" ref="DW4" si="92">DK4+1</f>
        <v>10</v>
      </c>
      <c r="DX4" s="29">
        <f t="shared" ref="DX4" si="93">DL4+1</f>
        <v>10</v>
      </c>
      <c r="DY4" s="29">
        <f t="shared" ref="DY4" si="94">DM4+1</f>
        <v>10</v>
      </c>
      <c r="DZ4" s="29">
        <f t="shared" ref="DZ4" si="95">DN4+1</f>
        <v>11</v>
      </c>
      <c r="EA4" s="29">
        <f t="shared" ref="EA4" si="96">DO4+1</f>
        <v>11</v>
      </c>
      <c r="EB4" s="29">
        <f t="shared" ref="EB4" si="97">DP4+1</f>
        <v>11</v>
      </c>
      <c r="EC4" s="29">
        <f t="shared" ref="EC4" si="98">DQ4+1</f>
        <v>11</v>
      </c>
      <c r="ED4" s="29">
        <f t="shared" ref="ED4" si="99">DR4+1</f>
        <v>11</v>
      </c>
      <c r="EE4" s="29">
        <f t="shared" ref="EE4" si="100">DS4+1</f>
        <v>11</v>
      </c>
      <c r="EF4" s="29">
        <f t="shared" ref="EF4" si="101">DT4+1</f>
        <v>11</v>
      </c>
      <c r="EG4" s="29">
        <f t="shared" ref="EG4" si="102">DU4+1</f>
        <v>11</v>
      </c>
      <c r="EH4" s="29">
        <f t="shared" ref="EH4" si="103">DV4+1</f>
        <v>11</v>
      </c>
      <c r="EI4" s="29">
        <f t="shared" ref="EI4" si="104">DW4+1</f>
        <v>11</v>
      </c>
      <c r="EJ4" s="29">
        <f t="shared" ref="EJ4" si="105">DX4+1</f>
        <v>11</v>
      </c>
      <c r="EK4" s="29">
        <f t="shared" ref="EK4" si="106">DY4+1</f>
        <v>11</v>
      </c>
      <c r="EL4" s="29"/>
      <c r="EM4" s="29"/>
      <c r="EN4" s="29"/>
    </row>
    <row r="5" spans="2:154" x14ac:dyDescent="0.3">
      <c r="B5" s="32" t="s">
        <v>48</v>
      </c>
      <c r="C5" s="101">
        <f>'Inputs &amp; Drivers'!J13</f>
        <v>45291</v>
      </c>
      <c r="E5" s="18" t="s">
        <v>106</v>
      </c>
      <c r="F5" s="18" t="s">
        <v>105</v>
      </c>
      <c r="I5" s="26">
        <v>0</v>
      </c>
      <c r="J5" s="30">
        <f>++I5+1</f>
        <v>1</v>
      </c>
      <c r="K5" s="30">
        <f t="shared" ref="K5:AG5" si="107">++J5+1</f>
        <v>2</v>
      </c>
      <c r="L5" s="30">
        <f t="shared" si="107"/>
        <v>3</v>
      </c>
      <c r="M5" s="30">
        <f t="shared" si="107"/>
        <v>4</v>
      </c>
      <c r="N5" s="30">
        <f t="shared" si="107"/>
        <v>5</v>
      </c>
      <c r="O5" s="30">
        <f t="shared" si="107"/>
        <v>6</v>
      </c>
      <c r="P5" s="30">
        <f t="shared" si="107"/>
        <v>7</v>
      </c>
      <c r="Q5" s="30">
        <f t="shared" si="107"/>
        <v>8</v>
      </c>
      <c r="R5" s="30">
        <f t="shared" si="107"/>
        <v>9</v>
      </c>
      <c r="S5" s="30">
        <f t="shared" si="107"/>
        <v>10</v>
      </c>
      <c r="T5" s="30">
        <f t="shared" si="107"/>
        <v>11</v>
      </c>
      <c r="U5" s="30">
        <f t="shared" si="107"/>
        <v>12</v>
      </c>
      <c r="V5" s="30">
        <f t="shared" si="107"/>
        <v>13</v>
      </c>
      <c r="W5" s="30">
        <f t="shared" si="107"/>
        <v>14</v>
      </c>
      <c r="X5" s="30">
        <f t="shared" si="107"/>
        <v>15</v>
      </c>
      <c r="Y5" s="30">
        <f t="shared" si="107"/>
        <v>16</v>
      </c>
      <c r="Z5" s="30">
        <f t="shared" si="107"/>
        <v>17</v>
      </c>
      <c r="AA5" s="30">
        <f t="shared" si="107"/>
        <v>18</v>
      </c>
      <c r="AB5" s="30">
        <f t="shared" si="107"/>
        <v>19</v>
      </c>
      <c r="AC5" s="30">
        <f t="shared" si="107"/>
        <v>20</v>
      </c>
      <c r="AD5" s="30">
        <f t="shared" si="107"/>
        <v>21</v>
      </c>
      <c r="AE5" s="30">
        <f t="shared" si="107"/>
        <v>22</v>
      </c>
      <c r="AF5" s="30">
        <f t="shared" si="107"/>
        <v>23</v>
      </c>
      <c r="AG5" s="30">
        <f t="shared" si="107"/>
        <v>24</v>
      </c>
      <c r="AH5" s="30">
        <f t="shared" ref="AH5:AI5" si="108">++AG5+1</f>
        <v>25</v>
      </c>
      <c r="AI5" s="30">
        <f t="shared" si="108"/>
        <v>26</v>
      </c>
      <c r="AJ5" s="30">
        <f t="shared" ref="AJ5:CU5" si="109">++AI5+1</f>
        <v>27</v>
      </c>
      <c r="AK5" s="30">
        <f t="shared" si="109"/>
        <v>28</v>
      </c>
      <c r="AL5" s="30">
        <f t="shared" si="109"/>
        <v>29</v>
      </c>
      <c r="AM5" s="30">
        <f t="shared" si="109"/>
        <v>30</v>
      </c>
      <c r="AN5" s="30">
        <f t="shared" si="109"/>
        <v>31</v>
      </c>
      <c r="AO5" s="30">
        <f t="shared" si="109"/>
        <v>32</v>
      </c>
      <c r="AP5" s="30">
        <f t="shared" si="109"/>
        <v>33</v>
      </c>
      <c r="AQ5" s="30">
        <f t="shared" si="109"/>
        <v>34</v>
      </c>
      <c r="AR5" s="30">
        <f t="shared" si="109"/>
        <v>35</v>
      </c>
      <c r="AS5" s="30">
        <f t="shared" si="109"/>
        <v>36</v>
      </c>
      <c r="AT5" s="30">
        <f t="shared" si="109"/>
        <v>37</v>
      </c>
      <c r="AU5" s="30">
        <f t="shared" si="109"/>
        <v>38</v>
      </c>
      <c r="AV5" s="30">
        <f t="shared" si="109"/>
        <v>39</v>
      </c>
      <c r="AW5" s="30">
        <f t="shared" si="109"/>
        <v>40</v>
      </c>
      <c r="AX5" s="30">
        <f t="shared" si="109"/>
        <v>41</v>
      </c>
      <c r="AY5" s="30">
        <f t="shared" si="109"/>
        <v>42</v>
      </c>
      <c r="AZ5" s="30">
        <f t="shared" si="109"/>
        <v>43</v>
      </c>
      <c r="BA5" s="30">
        <f t="shared" si="109"/>
        <v>44</v>
      </c>
      <c r="BB5" s="30">
        <f t="shared" si="109"/>
        <v>45</v>
      </c>
      <c r="BC5" s="30">
        <f t="shared" si="109"/>
        <v>46</v>
      </c>
      <c r="BD5" s="30">
        <f t="shared" si="109"/>
        <v>47</v>
      </c>
      <c r="BE5" s="30">
        <f t="shared" si="109"/>
        <v>48</v>
      </c>
      <c r="BF5" s="30">
        <f t="shared" si="109"/>
        <v>49</v>
      </c>
      <c r="BG5" s="30">
        <f t="shared" si="109"/>
        <v>50</v>
      </c>
      <c r="BH5" s="30">
        <f t="shared" si="109"/>
        <v>51</v>
      </c>
      <c r="BI5" s="30">
        <f t="shared" si="109"/>
        <v>52</v>
      </c>
      <c r="BJ5" s="30">
        <f t="shared" si="109"/>
        <v>53</v>
      </c>
      <c r="BK5" s="30">
        <f t="shared" si="109"/>
        <v>54</v>
      </c>
      <c r="BL5" s="30">
        <f t="shared" si="109"/>
        <v>55</v>
      </c>
      <c r="BM5" s="30">
        <f t="shared" si="109"/>
        <v>56</v>
      </c>
      <c r="BN5" s="30">
        <f t="shared" si="109"/>
        <v>57</v>
      </c>
      <c r="BO5" s="30">
        <f t="shared" si="109"/>
        <v>58</v>
      </c>
      <c r="BP5" s="30">
        <f t="shared" si="109"/>
        <v>59</v>
      </c>
      <c r="BQ5" s="30">
        <f t="shared" si="109"/>
        <v>60</v>
      </c>
      <c r="BR5" s="30">
        <f t="shared" si="109"/>
        <v>61</v>
      </c>
      <c r="BS5" s="30">
        <f t="shared" si="109"/>
        <v>62</v>
      </c>
      <c r="BT5" s="30">
        <f t="shared" si="109"/>
        <v>63</v>
      </c>
      <c r="BU5" s="30">
        <f t="shared" si="109"/>
        <v>64</v>
      </c>
      <c r="BV5" s="30">
        <f t="shared" si="109"/>
        <v>65</v>
      </c>
      <c r="BW5" s="30">
        <f t="shared" si="109"/>
        <v>66</v>
      </c>
      <c r="BX5" s="30">
        <f t="shared" si="109"/>
        <v>67</v>
      </c>
      <c r="BY5" s="30">
        <f t="shared" si="109"/>
        <v>68</v>
      </c>
      <c r="BZ5" s="30">
        <f t="shared" si="109"/>
        <v>69</v>
      </c>
      <c r="CA5" s="30">
        <f t="shared" si="109"/>
        <v>70</v>
      </c>
      <c r="CB5" s="30">
        <f t="shared" si="109"/>
        <v>71</v>
      </c>
      <c r="CC5" s="30">
        <f t="shared" si="109"/>
        <v>72</v>
      </c>
      <c r="CD5" s="30">
        <f t="shared" si="109"/>
        <v>73</v>
      </c>
      <c r="CE5" s="30">
        <f t="shared" si="109"/>
        <v>74</v>
      </c>
      <c r="CF5" s="30">
        <f t="shared" si="109"/>
        <v>75</v>
      </c>
      <c r="CG5" s="30">
        <f t="shared" si="109"/>
        <v>76</v>
      </c>
      <c r="CH5" s="30">
        <f t="shared" si="109"/>
        <v>77</v>
      </c>
      <c r="CI5" s="30">
        <f t="shared" si="109"/>
        <v>78</v>
      </c>
      <c r="CJ5" s="30">
        <f t="shared" si="109"/>
        <v>79</v>
      </c>
      <c r="CK5" s="30">
        <f t="shared" si="109"/>
        <v>80</v>
      </c>
      <c r="CL5" s="30">
        <f t="shared" si="109"/>
        <v>81</v>
      </c>
      <c r="CM5" s="30">
        <f t="shared" si="109"/>
        <v>82</v>
      </c>
      <c r="CN5" s="30">
        <f t="shared" si="109"/>
        <v>83</v>
      </c>
      <c r="CO5" s="30">
        <f t="shared" si="109"/>
        <v>84</v>
      </c>
      <c r="CP5" s="30">
        <f t="shared" si="109"/>
        <v>85</v>
      </c>
      <c r="CQ5" s="30">
        <f t="shared" si="109"/>
        <v>86</v>
      </c>
      <c r="CR5" s="30">
        <f t="shared" si="109"/>
        <v>87</v>
      </c>
      <c r="CS5" s="30">
        <f t="shared" si="109"/>
        <v>88</v>
      </c>
      <c r="CT5" s="30">
        <f t="shared" si="109"/>
        <v>89</v>
      </c>
      <c r="CU5" s="30">
        <f t="shared" si="109"/>
        <v>90</v>
      </c>
      <c r="CV5" s="30">
        <f t="shared" ref="CV5:EK5" si="110">++CU5+1</f>
        <v>91</v>
      </c>
      <c r="CW5" s="30">
        <f t="shared" si="110"/>
        <v>92</v>
      </c>
      <c r="CX5" s="30">
        <f t="shared" si="110"/>
        <v>93</v>
      </c>
      <c r="CY5" s="30">
        <f t="shared" si="110"/>
        <v>94</v>
      </c>
      <c r="CZ5" s="30">
        <f t="shared" si="110"/>
        <v>95</v>
      </c>
      <c r="DA5" s="30">
        <f t="shared" si="110"/>
        <v>96</v>
      </c>
      <c r="DB5" s="30">
        <f t="shared" si="110"/>
        <v>97</v>
      </c>
      <c r="DC5" s="30">
        <f t="shared" si="110"/>
        <v>98</v>
      </c>
      <c r="DD5" s="30">
        <f t="shared" si="110"/>
        <v>99</v>
      </c>
      <c r="DE5" s="30">
        <f t="shared" si="110"/>
        <v>100</v>
      </c>
      <c r="DF5" s="30">
        <f t="shared" si="110"/>
        <v>101</v>
      </c>
      <c r="DG5" s="30">
        <f t="shared" si="110"/>
        <v>102</v>
      </c>
      <c r="DH5" s="30">
        <f t="shared" si="110"/>
        <v>103</v>
      </c>
      <c r="DI5" s="30">
        <f t="shared" si="110"/>
        <v>104</v>
      </c>
      <c r="DJ5" s="30">
        <f t="shared" si="110"/>
        <v>105</v>
      </c>
      <c r="DK5" s="30">
        <f t="shared" si="110"/>
        <v>106</v>
      </c>
      <c r="DL5" s="30">
        <f t="shared" si="110"/>
        <v>107</v>
      </c>
      <c r="DM5" s="30">
        <f t="shared" si="110"/>
        <v>108</v>
      </c>
      <c r="DN5" s="30">
        <f t="shared" si="110"/>
        <v>109</v>
      </c>
      <c r="DO5" s="30">
        <f t="shared" si="110"/>
        <v>110</v>
      </c>
      <c r="DP5" s="30">
        <f t="shared" si="110"/>
        <v>111</v>
      </c>
      <c r="DQ5" s="30">
        <f t="shared" si="110"/>
        <v>112</v>
      </c>
      <c r="DR5" s="30">
        <f t="shared" si="110"/>
        <v>113</v>
      </c>
      <c r="DS5" s="30">
        <f t="shared" si="110"/>
        <v>114</v>
      </c>
      <c r="DT5" s="30">
        <f t="shared" si="110"/>
        <v>115</v>
      </c>
      <c r="DU5" s="30">
        <f t="shared" si="110"/>
        <v>116</v>
      </c>
      <c r="DV5" s="30">
        <f t="shared" si="110"/>
        <v>117</v>
      </c>
      <c r="DW5" s="30">
        <f t="shared" si="110"/>
        <v>118</v>
      </c>
      <c r="DX5" s="30">
        <f t="shared" si="110"/>
        <v>119</v>
      </c>
      <c r="DY5" s="30">
        <f t="shared" si="110"/>
        <v>120</v>
      </c>
      <c r="DZ5" s="30">
        <f t="shared" si="110"/>
        <v>121</v>
      </c>
      <c r="EA5" s="30">
        <f t="shared" si="110"/>
        <v>122</v>
      </c>
      <c r="EB5" s="30">
        <f t="shared" si="110"/>
        <v>123</v>
      </c>
      <c r="EC5" s="30">
        <f t="shared" si="110"/>
        <v>124</v>
      </c>
      <c r="ED5" s="30">
        <f t="shared" si="110"/>
        <v>125</v>
      </c>
      <c r="EE5" s="30">
        <f t="shared" si="110"/>
        <v>126</v>
      </c>
      <c r="EF5" s="30">
        <f t="shared" si="110"/>
        <v>127</v>
      </c>
      <c r="EG5" s="30">
        <f t="shared" si="110"/>
        <v>128</v>
      </c>
      <c r="EH5" s="30">
        <f t="shared" si="110"/>
        <v>129</v>
      </c>
      <c r="EI5" s="30">
        <f t="shared" si="110"/>
        <v>130</v>
      </c>
      <c r="EJ5" s="30">
        <f t="shared" si="110"/>
        <v>131</v>
      </c>
      <c r="EK5" s="30">
        <f t="shared" si="110"/>
        <v>132</v>
      </c>
      <c r="EL5" s="30"/>
      <c r="EM5" s="106">
        <v>0</v>
      </c>
      <c r="EN5" s="107">
        <f>EM5+1</f>
        <v>1</v>
      </c>
      <c r="EO5" s="107">
        <f t="shared" ref="EO5:EX5" si="111">EN5+1</f>
        <v>2</v>
      </c>
      <c r="EP5" s="107">
        <f t="shared" si="111"/>
        <v>3</v>
      </c>
      <c r="EQ5" s="107">
        <f t="shared" si="111"/>
        <v>4</v>
      </c>
      <c r="ER5" s="107">
        <f t="shared" si="111"/>
        <v>5</v>
      </c>
      <c r="ES5" s="107">
        <f t="shared" si="111"/>
        <v>6</v>
      </c>
      <c r="ET5" s="107">
        <f t="shared" si="111"/>
        <v>7</v>
      </c>
      <c r="EU5" s="107">
        <f t="shared" si="111"/>
        <v>8</v>
      </c>
      <c r="EV5" s="107">
        <f t="shared" si="111"/>
        <v>9</v>
      </c>
      <c r="EW5" s="107">
        <f t="shared" si="111"/>
        <v>10</v>
      </c>
      <c r="EX5" s="107">
        <f t="shared" si="111"/>
        <v>11</v>
      </c>
    </row>
    <row r="6" spans="2:154" x14ac:dyDescent="0.3">
      <c r="B6" s="32" t="s">
        <v>104</v>
      </c>
      <c r="C6" s="102">
        <f>'Inputs &amp; Drivers'!E8</f>
        <v>250</v>
      </c>
      <c r="E6" s="33">
        <v>43465</v>
      </c>
      <c r="F6" s="33">
        <v>43465</v>
      </c>
      <c r="I6" s="28">
        <f>C4</f>
        <v>43465</v>
      </c>
      <c r="J6" s="28">
        <f>EOMONTH(I6,1)</f>
        <v>43496</v>
      </c>
      <c r="K6" s="28">
        <f t="shared" ref="K6:AG6" si="112">EOMONTH(J6,1)</f>
        <v>43524</v>
      </c>
      <c r="L6" s="28">
        <f t="shared" si="112"/>
        <v>43555</v>
      </c>
      <c r="M6" s="28">
        <f t="shared" si="112"/>
        <v>43585</v>
      </c>
      <c r="N6" s="28">
        <f t="shared" si="112"/>
        <v>43616</v>
      </c>
      <c r="O6" s="28">
        <f t="shared" si="112"/>
        <v>43646</v>
      </c>
      <c r="P6" s="28">
        <f t="shared" si="112"/>
        <v>43677</v>
      </c>
      <c r="Q6" s="28">
        <f t="shared" si="112"/>
        <v>43708</v>
      </c>
      <c r="R6" s="28">
        <f t="shared" si="112"/>
        <v>43738</v>
      </c>
      <c r="S6" s="28">
        <f t="shared" si="112"/>
        <v>43769</v>
      </c>
      <c r="T6" s="28">
        <f t="shared" si="112"/>
        <v>43799</v>
      </c>
      <c r="U6" s="28">
        <f t="shared" si="112"/>
        <v>43830</v>
      </c>
      <c r="V6" s="28">
        <f t="shared" si="112"/>
        <v>43861</v>
      </c>
      <c r="W6" s="28">
        <f t="shared" si="112"/>
        <v>43890</v>
      </c>
      <c r="X6" s="28">
        <f t="shared" si="112"/>
        <v>43921</v>
      </c>
      <c r="Y6" s="28">
        <f t="shared" si="112"/>
        <v>43951</v>
      </c>
      <c r="Z6" s="28">
        <f t="shared" si="112"/>
        <v>43982</v>
      </c>
      <c r="AA6" s="28">
        <f t="shared" si="112"/>
        <v>44012</v>
      </c>
      <c r="AB6" s="28">
        <f t="shared" si="112"/>
        <v>44043</v>
      </c>
      <c r="AC6" s="28">
        <f t="shared" si="112"/>
        <v>44074</v>
      </c>
      <c r="AD6" s="28">
        <f t="shared" si="112"/>
        <v>44104</v>
      </c>
      <c r="AE6" s="28">
        <f t="shared" si="112"/>
        <v>44135</v>
      </c>
      <c r="AF6" s="28">
        <f t="shared" si="112"/>
        <v>44165</v>
      </c>
      <c r="AG6" s="28">
        <f t="shared" si="112"/>
        <v>44196</v>
      </c>
      <c r="AH6" s="28">
        <f t="shared" ref="AH6:AI6" si="113">EOMONTH(AG6,1)</f>
        <v>44227</v>
      </c>
      <c r="AI6" s="28">
        <f t="shared" si="113"/>
        <v>44255</v>
      </c>
      <c r="AJ6" s="28">
        <f t="shared" ref="AJ6:CU6" si="114">EOMONTH(AI6,1)</f>
        <v>44286</v>
      </c>
      <c r="AK6" s="28">
        <f t="shared" si="114"/>
        <v>44316</v>
      </c>
      <c r="AL6" s="28">
        <f t="shared" si="114"/>
        <v>44347</v>
      </c>
      <c r="AM6" s="28">
        <f t="shared" si="114"/>
        <v>44377</v>
      </c>
      <c r="AN6" s="28">
        <f t="shared" si="114"/>
        <v>44408</v>
      </c>
      <c r="AO6" s="28">
        <f t="shared" si="114"/>
        <v>44439</v>
      </c>
      <c r="AP6" s="28">
        <f t="shared" si="114"/>
        <v>44469</v>
      </c>
      <c r="AQ6" s="28">
        <f t="shared" si="114"/>
        <v>44500</v>
      </c>
      <c r="AR6" s="28">
        <f t="shared" si="114"/>
        <v>44530</v>
      </c>
      <c r="AS6" s="28">
        <f t="shared" si="114"/>
        <v>44561</v>
      </c>
      <c r="AT6" s="28">
        <f t="shared" si="114"/>
        <v>44592</v>
      </c>
      <c r="AU6" s="28">
        <f t="shared" si="114"/>
        <v>44620</v>
      </c>
      <c r="AV6" s="28">
        <f t="shared" si="114"/>
        <v>44651</v>
      </c>
      <c r="AW6" s="28">
        <f t="shared" si="114"/>
        <v>44681</v>
      </c>
      <c r="AX6" s="28">
        <f t="shared" si="114"/>
        <v>44712</v>
      </c>
      <c r="AY6" s="28">
        <f t="shared" si="114"/>
        <v>44742</v>
      </c>
      <c r="AZ6" s="28">
        <f t="shared" si="114"/>
        <v>44773</v>
      </c>
      <c r="BA6" s="28">
        <f t="shared" si="114"/>
        <v>44804</v>
      </c>
      <c r="BB6" s="28">
        <f t="shared" si="114"/>
        <v>44834</v>
      </c>
      <c r="BC6" s="28">
        <f t="shared" si="114"/>
        <v>44865</v>
      </c>
      <c r="BD6" s="28">
        <f t="shared" si="114"/>
        <v>44895</v>
      </c>
      <c r="BE6" s="28">
        <f t="shared" si="114"/>
        <v>44926</v>
      </c>
      <c r="BF6" s="28">
        <f t="shared" si="114"/>
        <v>44957</v>
      </c>
      <c r="BG6" s="28">
        <f t="shared" si="114"/>
        <v>44985</v>
      </c>
      <c r="BH6" s="28">
        <f t="shared" si="114"/>
        <v>45016</v>
      </c>
      <c r="BI6" s="28">
        <f t="shared" si="114"/>
        <v>45046</v>
      </c>
      <c r="BJ6" s="28">
        <f t="shared" si="114"/>
        <v>45077</v>
      </c>
      <c r="BK6" s="28">
        <f t="shared" si="114"/>
        <v>45107</v>
      </c>
      <c r="BL6" s="28">
        <f t="shared" si="114"/>
        <v>45138</v>
      </c>
      <c r="BM6" s="28">
        <f t="shared" si="114"/>
        <v>45169</v>
      </c>
      <c r="BN6" s="28">
        <f t="shared" si="114"/>
        <v>45199</v>
      </c>
      <c r="BO6" s="28">
        <f t="shared" si="114"/>
        <v>45230</v>
      </c>
      <c r="BP6" s="28">
        <f t="shared" si="114"/>
        <v>45260</v>
      </c>
      <c r="BQ6" s="28">
        <f t="shared" si="114"/>
        <v>45291</v>
      </c>
      <c r="BR6" s="28">
        <f t="shared" si="114"/>
        <v>45322</v>
      </c>
      <c r="BS6" s="28">
        <f t="shared" si="114"/>
        <v>45351</v>
      </c>
      <c r="BT6" s="28">
        <f t="shared" si="114"/>
        <v>45382</v>
      </c>
      <c r="BU6" s="28">
        <f t="shared" si="114"/>
        <v>45412</v>
      </c>
      <c r="BV6" s="28">
        <f t="shared" si="114"/>
        <v>45443</v>
      </c>
      <c r="BW6" s="28">
        <f t="shared" si="114"/>
        <v>45473</v>
      </c>
      <c r="BX6" s="28">
        <f t="shared" si="114"/>
        <v>45504</v>
      </c>
      <c r="BY6" s="28">
        <f t="shared" si="114"/>
        <v>45535</v>
      </c>
      <c r="BZ6" s="28">
        <f t="shared" si="114"/>
        <v>45565</v>
      </c>
      <c r="CA6" s="28">
        <f t="shared" si="114"/>
        <v>45596</v>
      </c>
      <c r="CB6" s="28">
        <f t="shared" si="114"/>
        <v>45626</v>
      </c>
      <c r="CC6" s="28">
        <f t="shared" si="114"/>
        <v>45657</v>
      </c>
      <c r="CD6" s="28">
        <f t="shared" si="114"/>
        <v>45688</v>
      </c>
      <c r="CE6" s="28">
        <f t="shared" si="114"/>
        <v>45716</v>
      </c>
      <c r="CF6" s="28">
        <f t="shared" si="114"/>
        <v>45747</v>
      </c>
      <c r="CG6" s="28">
        <f t="shared" si="114"/>
        <v>45777</v>
      </c>
      <c r="CH6" s="28">
        <f t="shared" si="114"/>
        <v>45808</v>
      </c>
      <c r="CI6" s="28">
        <f t="shared" si="114"/>
        <v>45838</v>
      </c>
      <c r="CJ6" s="28">
        <f t="shared" si="114"/>
        <v>45869</v>
      </c>
      <c r="CK6" s="28">
        <f t="shared" si="114"/>
        <v>45900</v>
      </c>
      <c r="CL6" s="28">
        <f t="shared" si="114"/>
        <v>45930</v>
      </c>
      <c r="CM6" s="28">
        <f t="shared" si="114"/>
        <v>45961</v>
      </c>
      <c r="CN6" s="28">
        <f t="shared" si="114"/>
        <v>45991</v>
      </c>
      <c r="CO6" s="28">
        <f t="shared" si="114"/>
        <v>46022</v>
      </c>
      <c r="CP6" s="28">
        <f t="shared" si="114"/>
        <v>46053</v>
      </c>
      <c r="CQ6" s="28">
        <f t="shared" si="114"/>
        <v>46081</v>
      </c>
      <c r="CR6" s="28">
        <f t="shared" si="114"/>
        <v>46112</v>
      </c>
      <c r="CS6" s="28">
        <f t="shared" si="114"/>
        <v>46142</v>
      </c>
      <c r="CT6" s="28">
        <f t="shared" si="114"/>
        <v>46173</v>
      </c>
      <c r="CU6" s="28">
        <f t="shared" si="114"/>
        <v>46203</v>
      </c>
      <c r="CV6" s="28">
        <f t="shared" ref="CV6:EK6" si="115">EOMONTH(CU6,1)</f>
        <v>46234</v>
      </c>
      <c r="CW6" s="28">
        <f t="shared" si="115"/>
        <v>46265</v>
      </c>
      <c r="CX6" s="28">
        <f t="shared" si="115"/>
        <v>46295</v>
      </c>
      <c r="CY6" s="28">
        <f t="shared" si="115"/>
        <v>46326</v>
      </c>
      <c r="CZ6" s="28">
        <f t="shared" si="115"/>
        <v>46356</v>
      </c>
      <c r="DA6" s="28">
        <f t="shared" si="115"/>
        <v>46387</v>
      </c>
      <c r="DB6" s="28">
        <f t="shared" si="115"/>
        <v>46418</v>
      </c>
      <c r="DC6" s="28">
        <f t="shared" si="115"/>
        <v>46446</v>
      </c>
      <c r="DD6" s="28">
        <f t="shared" si="115"/>
        <v>46477</v>
      </c>
      <c r="DE6" s="28">
        <f t="shared" si="115"/>
        <v>46507</v>
      </c>
      <c r="DF6" s="28">
        <f t="shared" si="115"/>
        <v>46538</v>
      </c>
      <c r="DG6" s="28">
        <f t="shared" si="115"/>
        <v>46568</v>
      </c>
      <c r="DH6" s="28">
        <f t="shared" si="115"/>
        <v>46599</v>
      </c>
      <c r="DI6" s="28">
        <f t="shared" si="115"/>
        <v>46630</v>
      </c>
      <c r="DJ6" s="28">
        <f t="shared" si="115"/>
        <v>46660</v>
      </c>
      <c r="DK6" s="28">
        <f t="shared" si="115"/>
        <v>46691</v>
      </c>
      <c r="DL6" s="28">
        <f t="shared" si="115"/>
        <v>46721</v>
      </c>
      <c r="DM6" s="28">
        <f t="shared" si="115"/>
        <v>46752</v>
      </c>
      <c r="DN6" s="28">
        <f t="shared" si="115"/>
        <v>46783</v>
      </c>
      <c r="DO6" s="28">
        <f t="shared" si="115"/>
        <v>46812</v>
      </c>
      <c r="DP6" s="28">
        <f t="shared" si="115"/>
        <v>46843</v>
      </c>
      <c r="DQ6" s="28">
        <f t="shared" si="115"/>
        <v>46873</v>
      </c>
      <c r="DR6" s="28">
        <f t="shared" si="115"/>
        <v>46904</v>
      </c>
      <c r="DS6" s="28">
        <f t="shared" si="115"/>
        <v>46934</v>
      </c>
      <c r="DT6" s="28">
        <f t="shared" si="115"/>
        <v>46965</v>
      </c>
      <c r="DU6" s="28">
        <f t="shared" si="115"/>
        <v>46996</v>
      </c>
      <c r="DV6" s="28">
        <f t="shared" si="115"/>
        <v>47026</v>
      </c>
      <c r="DW6" s="28">
        <f t="shared" si="115"/>
        <v>47057</v>
      </c>
      <c r="DX6" s="28">
        <f t="shared" si="115"/>
        <v>47087</v>
      </c>
      <c r="DY6" s="28">
        <f t="shared" si="115"/>
        <v>47118</v>
      </c>
      <c r="DZ6" s="28">
        <f t="shared" si="115"/>
        <v>47149</v>
      </c>
      <c r="EA6" s="28">
        <f t="shared" si="115"/>
        <v>47177</v>
      </c>
      <c r="EB6" s="28">
        <f t="shared" si="115"/>
        <v>47208</v>
      </c>
      <c r="EC6" s="28">
        <f t="shared" si="115"/>
        <v>47238</v>
      </c>
      <c r="ED6" s="28">
        <f t="shared" si="115"/>
        <v>47269</v>
      </c>
      <c r="EE6" s="28">
        <f t="shared" si="115"/>
        <v>47299</v>
      </c>
      <c r="EF6" s="28">
        <f t="shared" si="115"/>
        <v>47330</v>
      </c>
      <c r="EG6" s="28">
        <f t="shared" si="115"/>
        <v>47361</v>
      </c>
      <c r="EH6" s="28">
        <f t="shared" si="115"/>
        <v>47391</v>
      </c>
      <c r="EI6" s="28">
        <f t="shared" si="115"/>
        <v>47422</v>
      </c>
      <c r="EJ6" s="28">
        <f t="shared" si="115"/>
        <v>47452</v>
      </c>
      <c r="EK6" s="28">
        <f t="shared" si="115"/>
        <v>47483</v>
      </c>
      <c r="EL6" s="28"/>
      <c r="EM6" s="108">
        <f>I6</f>
        <v>43465</v>
      </c>
      <c r="EN6" s="108">
        <f>EOMONTH(EM6,12)</f>
        <v>43830</v>
      </c>
      <c r="EO6" s="108">
        <f t="shared" ref="EO6:EX6" si="116">EOMONTH(EN6,12)</f>
        <v>44196</v>
      </c>
      <c r="EP6" s="108">
        <f t="shared" si="116"/>
        <v>44561</v>
      </c>
      <c r="EQ6" s="108">
        <f t="shared" si="116"/>
        <v>44926</v>
      </c>
      <c r="ER6" s="108">
        <f t="shared" si="116"/>
        <v>45291</v>
      </c>
      <c r="ES6" s="108">
        <f t="shared" si="116"/>
        <v>45657</v>
      </c>
      <c r="ET6" s="108">
        <f t="shared" si="116"/>
        <v>46022</v>
      </c>
      <c r="EU6" s="108">
        <f t="shared" si="116"/>
        <v>46387</v>
      </c>
      <c r="EV6" s="108">
        <f t="shared" si="116"/>
        <v>46752</v>
      </c>
      <c r="EW6" s="108">
        <f t="shared" si="116"/>
        <v>47118</v>
      </c>
      <c r="EX6" s="108">
        <f t="shared" si="116"/>
        <v>47483</v>
      </c>
    </row>
    <row r="8" spans="2:154" x14ac:dyDescent="0.3">
      <c r="B8" s="1" t="s">
        <v>124</v>
      </c>
      <c r="I8" s="82">
        <f>$C$6-I9</f>
        <v>250</v>
      </c>
      <c r="J8" s="82">
        <f>$C$6-J9</f>
        <v>250</v>
      </c>
      <c r="K8" s="82">
        <f t="shared" ref="K8:AI8" si="117">$C$6-K9</f>
        <v>250</v>
      </c>
      <c r="L8" s="82">
        <f t="shared" si="117"/>
        <v>239.58333333333334</v>
      </c>
      <c r="M8" s="82">
        <f t="shared" si="117"/>
        <v>229.16666666666666</v>
      </c>
      <c r="N8" s="82">
        <f t="shared" si="117"/>
        <v>218.75</v>
      </c>
      <c r="O8" s="82">
        <f t="shared" si="117"/>
        <v>208.33333333333334</v>
      </c>
      <c r="P8" s="82">
        <f t="shared" si="117"/>
        <v>197.91666666666669</v>
      </c>
      <c r="Q8" s="82">
        <f t="shared" si="117"/>
        <v>187.5</v>
      </c>
      <c r="R8" s="82">
        <f t="shared" si="117"/>
        <v>177.08333333333334</v>
      </c>
      <c r="S8" s="82">
        <f t="shared" si="117"/>
        <v>166.66666666666669</v>
      </c>
      <c r="T8" s="82">
        <f t="shared" si="117"/>
        <v>156.25</v>
      </c>
      <c r="U8" s="82">
        <f t="shared" si="117"/>
        <v>145.83333333333331</v>
      </c>
      <c r="V8" s="82">
        <f t="shared" si="117"/>
        <v>135.41666666666666</v>
      </c>
      <c r="W8" s="82">
        <f t="shared" si="117"/>
        <v>124.99999999999999</v>
      </c>
      <c r="X8" s="82">
        <f t="shared" si="117"/>
        <v>114.58333333333331</v>
      </c>
      <c r="Y8" s="82">
        <f t="shared" si="117"/>
        <v>104.16666666666666</v>
      </c>
      <c r="Z8" s="82">
        <f t="shared" si="117"/>
        <v>93.75</v>
      </c>
      <c r="AA8" s="82">
        <f t="shared" si="117"/>
        <v>83.333333333333343</v>
      </c>
      <c r="AB8" s="82">
        <f t="shared" si="117"/>
        <v>72.916666666666686</v>
      </c>
      <c r="AC8" s="82">
        <f t="shared" si="117"/>
        <v>62.500000000000028</v>
      </c>
      <c r="AD8" s="82">
        <f t="shared" si="117"/>
        <v>52.083333333333371</v>
      </c>
      <c r="AE8" s="82">
        <f t="shared" si="117"/>
        <v>41.666666666666714</v>
      </c>
      <c r="AF8" s="82">
        <f t="shared" si="117"/>
        <v>31.250000000000057</v>
      </c>
      <c r="AG8" s="82">
        <f t="shared" si="117"/>
        <v>20.8333333333334</v>
      </c>
      <c r="AH8" s="82">
        <f t="shared" si="117"/>
        <v>10.416666666666742</v>
      </c>
      <c r="AI8" s="82">
        <f t="shared" si="117"/>
        <v>0</v>
      </c>
      <c r="AJ8" s="82">
        <f t="shared" ref="AJ8" si="118">$C$6-AJ9</f>
        <v>0</v>
      </c>
      <c r="AK8" s="82">
        <f t="shared" ref="AK8" si="119">$C$6-AK9</f>
        <v>0</v>
      </c>
      <c r="AL8" s="82">
        <f t="shared" ref="AL8" si="120">$C$6-AL9</f>
        <v>0</v>
      </c>
      <c r="AM8" s="82">
        <f t="shared" ref="AM8" si="121">$C$6-AM9</f>
        <v>0</v>
      </c>
      <c r="AN8" s="82">
        <f t="shared" ref="AN8" si="122">$C$6-AN9</f>
        <v>0</v>
      </c>
      <c r="AO8" s="82">
        <f t="shared" ref="AO8" si="123">$C$6-AO9</f>
        <v>0</v>
      </c>
      <c r="AP8" s="82">
        <f t="shared" ref="AP8" si="124">$C$6-AP9</f>
        <v>0</v>
      </c>
      <c r="AQ8" s="82">
        <f t="shared" ref="AQ8" si="125">$C$6-AQ9</f>
        <v>0</v>
      </c>
      <c r="AR8" s="82">
        <f t="shared" ref="AR8" si="126">$C$6-AR9</f>
        <v>0</v>
      </c>
      <c r="AS8" s="82">
        <f t="shared" ref="AS8" si="127">$C$6-AS9</f>
        <v>0</v>
      </c>
      <c r="AT8" s="82">
        <f t="shared" ref="AT8" si="128">$C$6-AT9</f>
        <v>0</v>
      </c>
      <c r="AU8" s="82">
        <f t="shared" ref="AU8" si="129">$C$6-AU9</f>
        <v>0</v>
      </c>
      <c r="AV8" s="82">
        <f t="shared" ref="AV8" si="130">$C$6-AV9</f>
        <v>0</v>
      </c>
      <c r="AW8" s="82">
        <f t="shared" ref="AW8" si="131">$C$6-AW9</f>
        <v>0</v>
      </c>
      <c r="AX8" s="82">
        <f t="shared" ref="AX8" si="132">$C$6-AX9</f>
        <v>0</v>
      </c>
      <c r="AY8" s="82">
        <f t="shared" ref="AY8" si="133">$C$6-AY9</f>
        <v>0</v>
      </c>
      <c r="AZ8" s="82">
        <f t="shared" ref="AZ8" si="134">$C$6-AZ9</f>
        <v>0</v>
      </c>
      <c r="BA8" s="82">
        <f t="shared" ref="BA8" si="135">$C$6-BA9</f>
        <v>0</v>
      </c>
      <c r="BB8" s="82">
        <f t="shared" ref="BB8" si="136">$C$6-BB9</f>
        <v>0</v>
      </c>
      <c r="BC8" s="82">
        <f t="shared" ref="BC8" si="137">$C$6-BC9</f>
        <v>0</v>
      </c>
      <c r="BD8" s="82">
        <f t="shared" ref="BD8" si="138">$C$6-BD9</f>
        <v>0</v>
      </c>
      <c r="BE8" s="82">
        <f t="shared" ref="BE8" si="139">$C$6-BE9</f>
        <v>0</v>
      </c>
      <c r="BF8" s="82">
        <f t="shared" ref="BF8" si="140">$C$6-BF9</f>
        <v>0</v>
      </c>
      <c r="BG8" s="82">
        <f t="shared" ref="BG8" si="141">$C$6-BG9</f>
        <v>0</v>
      </c>
      <c r="BH8" s="82">
        <f t="shared" ref="BH8" si="142">$C$6-BH9</f>
        <v>0</v>
      </c>
      <c r="BI8" s="82">
        <f t="shared" ref="BI8" si="143">$C$6-BI9</f>
        <v>0</v>
      </c>
      <c r="BJ8" s="82">
        <f t="shared" ref="BJ8" si="144">$C$6-BJ9</f>
        <v>0</v>
      </c>
      <c r="BK8" s="82">
        <f t="shared" ref="BK8" si="145">$C$6-BK9</f>
        <v>0</v>
      </c>
      <c r="BL8" s="82">
        <f t="shared" ref="BL8" si="146">$C$6-BL9</f>
        <v>0</v>
      </c>
      <c r="BM8" s="82">
        <f t="shared" ref="BM8" si="147">$C$6-BM9</f>
        <v>0</v>
      </c>
      <c r="BN8" s="82">
        <f t="shared" ref="BN8" si="148">$C$6-BN9</f>
        <v>0</v>
      </c>
      <c r="BO8" s="82">
        <f t="shared" ref="BO8" si="149">$C$6-BO9</f>
        <v>0</v>
      </c>
      <c r="BP8" s="82">
        <f t="shared" ref="BP8" si="150">$C$6-BP9</f>
        <v>0</v>
      </c>
      <c r="BQ8" s="82">
        <f t="shared" ref="BQ8" si="151">$C$6-BQ9</f>
        <v>0</v>
      </c>
      <c r="BR8" s="82">
        <f t="shared" ref="BR8" si="152">$C$6-BR9</f>
        <v>0</v>
      </c>
      <c r="BS8" s="82">
        <f t="shared" ref="BS8" si="153">$C$6-BS9</f>
        <v>0</v>
      </c>
      <c r="BT8" s="82">
        <f t="shared" ref="BT8" si="154">$C$6-BT9</f>
        <v>0</v>
      </c>
      <c r="BU8" s="82">
        <f t="shared" ref="BU8" si="155">$C$6-BU9</f>
        <v>0</v>
      </c>
      <c r="BV8" s="82">
        <f t="shared" ref="BV8" si="156">$C$6-BV9</f>
        <v>0</v>
      </c>
      <c r="BW8" s="82">
        <f t="shared" ref="BW8" si="157">$C$6-BW9</f>
        <v>0</v>
      </c>
      <c r="BX8" s="82">
        <f t="shared" ref="BX8" si="158">$C$6-BX9</f>
        <v>0</v>
      </c>
      <c r="BY8" s="82">
        <f t="shared" ref="BY8" si="159">$C$6-BY9</f>
        <v>0</v>
      </c>
      <c r="BZ8" s="82">
        <f t="shared" ref="BZ8" si="160">$C$6-BZ9</f>
        <v>0</v>
      </c>
      <c r="CA8" s="82">
        <f t="shared" ref="CA8" si="161">$C$6-CA9</f>
        <v>0</v>
      </c>
      <c r="CB8" s="82">
        <f t="shared" ref="CB8" si="162">$C$6-CB9</f>
        <v>0</v>
      </c>
      <c r="CC8" s="82">
        <f t="shared" ref="CC8" si="163">$C$6-CC9</f>
        <v>0</v>
      </c>
      <c r="CD8" s="82">
        <f t="shared" ref="CD8" si="164">$C$6-CD9</f>
        <v>0</v>
      </c>
      <c r="CE8" s="82">
        <f t="shared" ref="CE8" si="165">$C$6-CE9</f>
        <v>0</v>
      </c>
      <c r="CF8" s="82">
        <f t="shared" ref="CF8" si="166">$C$6-CF9</f>
        <v>0</v>
      </c>
      <c r="CG8" s="82">
        <f t="shared" ref="CG8" si="167">$C$6-CG9</f>
        <v>0</v>
      </c>
      <c r="CH8" s="82">
        <f t="shared" ref="CH8" si="168">$C$6-CH9</f>
        <v>0</v>
      </c>
      <c r="CI8" s="82">
        <f t="shared" ref="CI8" si="169">$C$6-CI9</f>
        <v>0</v>
      </c>
      <c r="CJ8" s="82">
        <f t="shared" ref="CJ8" si="170">$C$6-CJ9</f>
        <v>0</v>
      </c>
      <c r="CK8" s="82">
        <f t="shared" ref="CK8" si="171">$C$6-CK9</f>
        <v>0</v>
      </c>
      <c r="CL8" s="82">
        <f t="shared" ref="CL8" si="172">$C$6-CL9</f>
        <v>0</v>
      </c>
      <c r="CM8" s="82">
        <f t="shared" ref="CM8" si="173">$C$6-CM9</f>
        <v>0</v>
      </c>
      <c r="CN8" s="82">
        <f t="shared" ref="CN8" si="174">$C$6-CN9</f>
        <v>0</v>
      </c>
      <c r="CO8" s="82">
        <f t="shared" ref="CO8" si="175">$C$6-CO9</f>
        <v>0</v>
      </c>
      <c r="CP8" s="82">
        <f t="shared" ref="CP8" si="176">$C$6-CP9</f>
        <v>0</v>
      </c>
      <c r="CQ8" s="82">
        <f t="shared" ref="CQ8" si="177">$C$6-CQ9</f>
        <v>0</v>
      </c>
      <c r="CR8" s="82">
        <f t="shared" ref="CR8" si="178">$C$6-CR9</f>
        <v>0</v>
      </c>
      <c r="CS8" s="82">
        <f t="shared" ref="CS8" si="179">$C$6-CS9</f>
        <v>0</v>
      </c>
      <c r="CT8" s="82">
        <f t="shared" ref="CT8" si="180">$C$6-CT9</f>
        <v>0</v>
      </c>
      <c r="CU8" s="82">
        <f t="shared" ref="CU8" si="181">$C$6-CU9</f>
        <v>0</v>
      </c>
      <c r="CV8" s="82">
        <f t="shared" ref="CV8" si="182">$C$6-CV9</f>
        <v>0</v>
      </c>
      <c r="CW8" s="82">
        <f t="shared" ref="CW8" si="183">$C$6-CW9</f>
        <v>0</v>
      </c>
      <c r="CX8" s="82">
        <f t="shared" ref="CX8" si="184">$C$6-CX9</f>
        <v>0</v>
      </c>
      <c r="CY8" s="82">
        <f t="shared" ref="CY8" si="185">$C$6-CY9</f>
        <v>0</v>
      </c>
      <c r="CZ8" s="82">
        <f t="shared" ref="CZ8" si="186">$C$6-CZ9</f>
        <v>0</v>
      </c>
      <c r="DA8" s="82">
        <f t="shared" ref="DA8" si="187">$C$6-DA9</f>
        <v>0</v>
      </c>
      <c r="DB8" s="82">
        <f t="shared" ref="DB8" si="188">$C$6-DB9</f>
        <v>0</v>
      </c>
      <c r="DC8" s="82">
        <f t="shared" ref="DC8" si="189">$C$6-DC9</f>
        <v>0</v>
      </c>
      <c r="DD8" s="82">
        <f t="shared" ref="DD8" si="190">$C$6-DD9</f>
        <v>0</v>
      </c>
      <c r="DE8" s="82">
        <f t="shared" ref="DE8" si="191">$C$6-DE9</f>
        <v>0</v>
      </c>
      <c r="DF8" s="82">
        <f t="shared" ref="DF8" si="192">$C$6-DF9</f>
        <v>0</v>
      </c>
      <c r="DG8" s="82">
        <f t="shared" ref="DG8" si="193">$C$6-DG9</f>
        <v>0</v>
      </c>
      <c r="DH8" s="82">
        <f t="shared" ref="DH8" si="194">$C$6-DH9</f>
        <v>0</v>
      </c>
      <c r="DI8" s="82">
        <f t="shared" ref="DI8" si="195">$C$6-DI9</f>
        <v>0</v>
      </c>
      <c r="DJ8" s="82">
        <f t="shared" ref="DJ8" si="196">$C$6-DJ9</f>
        <v>0</v>
      </c>
      <c r="DK8" s="82">
        <f t="shared" ref="DK8" si="197">$C$6-DK9</f>
        <v>0</v>
      </c>
      <c r="DL8" s="82">
        <f t="shared" ref="DL8" si="198">$C$6-DL9</f>
        <v>0</v>
      </c>
      <c r="DM8" s="82">
        <f t="shared" ref="DM8" si="199">$C$6-DM9</f>
        <v>0</v>
      </c>
      <c r="DN8" s="82">
        <f t="shared" ref="DN8" si="200">$C$6-DN9</f>
        <v>0</v>
      </c>
      <c r="DO8" s="82">
        <f t="shared" ref="DO8" si="201">$C$6-DO9</f>
        <v>0</v>
      </c>
      <c r="DP8" s="82">
        <f t="shared" ref="DP8" si="202">$C$6-DP9</f>
        <v>0</v>
      </c>
      <c r="DQ8" s="82">
        <f t="shared" ref="DQ8" si="203">$C$6-DQ9</f>
        <v>0</v>
      </c>
      <c r="DR8" s="82">
        <f t="shared" ref="DR8" si="204">$C$6-DR9</f>
        <v>0</v>
      </c>
      <c r="DS8" s="82">
        <f t="shared" ref="DS8" si="205">$C$6-DS9</f>
        <v>0</v>
      </c>
      <c r="DT8" s="82">
        <f t="shared" ref="DT8" si="206">$C$6-DT9</f>
        <v>0</v>
      </c>
      <c r="DU8" s="82">
        <f t="shared" ref="DU8" si="207">$C$6-DU9</f>
        <v>0</v>
      </c>
      <c r="DV8" s="82">
        <f t="shared" ref="DV8" si="208">$C$6-DV9</f>
        <v>0</v>
      </c>
      <c r="DW8" s="82">
        <f t="shared" ref="DW8" si="209">$C$6-DW9</f>
        <v>0</v>
      </c>
      <c r="DX8" s="82">
        <f t="shared" ref="DX8" si="210">$C$6-DX9</f>
        <v>0</v>
      </c>
      <c r="DY8" s="82">
        <f t="shared" ref="DY8" si="211">$C$6-DY9</f>
        <v>0</v>
      </c>
      <c r="DZ8" s="82">
        <f t="shared" ref="DZ8" si="212">$C$6-DZ9</f>
        <v>0</v>
      </c>
      <c r="EA8" s="82">
        <f t="shared" ref="EA8" si="213">$C$6-EA9</f>
        <v>0</v>
      </c>
      <c r="EB8" s="82">
        <f t="shared" ref="EB8" si="214">$C$6-EB9</f>
        <v>0</v>
      </c>
      <c r="EC8" s="82">
        <f t="shared" ref="EC8" si="215">$C$6-EC9</f>
        <v>0</v>
      </c>
      <c r="ED8" s="82">
        <f t="shared" ref="ED8" si="216">$C$6-ED9</f>
        <v>0</v>
      </c>
      <c r="EE8" s="82">
        <f t="shared" ref="EE8" si="217">$C$6-EE9</f>
        <v>0</v>
      </c>
      <c r="EF8" s="82">
        <f t="shared" ref="EF8" si="218">$C$6-EF9</f>
        <v>0</v>
      </c>
      <c r="EG8" s="82">
        <f t="shared" ref="EG8" si="219">$C$6-EG9</f>
        <v>0</v>
      </c>
      <c r="EH8" s="82">
        <f t="shared" ref="EH8" si="220">$C$6-EH9</f>
        <v>0</v>
      </c>
      <c r="EI8" s="82">
        <f t="shared" ref="EI8" si="221">$C$6-EI9</f>
        <v>0</v>
      </c>
      <c r="EJ8" s="82">
        <f t="shared" ref="EJ8" si="222">$C$6-EJ9</f>
        <v>0</v>
      </c>
      <c r="EK8" s="82">
        <f t="shared" ref="EK8" si="223">$C$6-EK9</f>
        <v>0</v>
      </c>
      <c r="EM8" s="110">
        <f>SUMIF($I$6:$EK$6,EM$6,$I8:$EK8)</f>
        <v>250</v>
      </c>
      <c r="EN8" s="110">
        <f t="shared" ref="EN8:EX11" si="224">SUMIF($I$6:$EK$6,EN$6,$I8:$EK8)</f>
        <v>145.83333333333331</v>
      </c>
      <c r="EO8" s="110">
        <f t="shared" si="224"/>
        <v>20.8333333333334</v>
      </c>
      <c r="EP8" s="110">
        <f t="shared" si="224"/>
        <v>0</v>
      </c>
      <c r="EQ8" s="110">
        <f t="shared" si="224"/>
        <v>0</v>
      </c>
      <c r="ER8" s="110">
        <f t="shared" si="224"/>
        <v>0</v>
      </c>
      <c r="ES8" s="110">
        <f t="shared" si="224"/>
        <v>0</v>
      </c>
      <c r="ET8" s="110">
        <f t="shared" si="224"/>
        <v>0</v>
      </c>
      <c r="EU8" s="110">
        <f t="shared" si="224"/>
        <v>0</v>
      </c>
      <c r="EV8" s="110">
        <f t="shared" si="224"/>
        <v>0</v>
      </c>
      <c r="EW8" s="110">
        <f t="shared" si="224"/>
        <v>0</v>
      </c>
      <c r="EX8" s="110">
        <f t="shared" si="224"/>
        <v>0</v>
      </c>
    </row>
    <row r="9" spans="2:154" x14ac:dyDescent="0.3">
      <c r="B9" s="1" t="s">
        <v>99</v>
      </c>
      <c r="I9" s="70">
        <f>'Inputs &amp; Drivers'!E71</f>
        <v>0</v>
      </c>
      <c r="J9" s="82">
        <f>I9+'Inputs &amp; Drivers'!$E$73*(J$6&gt;='Inputs &amp; Drivers'!$C$68)*(J$6&lt;'Inputs &amp; Drivers'!$D$68)</f>
        <v>0</v>
      </c>
      <c r="K9" s="82">
        <f>J9+'Inputs &amp; Drivers'!$E$73*(K$6&gt;='Inputs &amp; Drivers'!$C$68)*(K$6&lt;'Inputs &amp; Drivers'!$D$68)</f>
        <v>0</v>
      </c>
      <c r="L9" s="82">
        <f>K9+'Inputs &amp; Drivers'!$E$73*(L$6&gt;='Inputs &amp; Drivers'!$C$68)*(L$6&lt;'Inputs &amp; Drivers'!$D$68)</f>
        <v>10.416666666666666</v>
      </c>
      <c r="M9" s="82">
        <f>L9+'Inputs &amp; Drivers'!$E$73*(M$6&gt;='Inputs &amp; Drivers'!$C$68)*(M$6&lt;'Inputs &amp; Drivers'!$D$68)</f>
        <v>20.833333333333332</v>
      </c>
      <c r="N9" s="82">
        <f>M9+'Inputs &amp; Drivers'!$E$73*(N$6&gt;='Inputs &amp; Drivers'!$C$68)*(N$6&lt;'Inputs &amp; Drivers'!$D$68)</f>
        <v>31.25</v>
      </c>
      <c r="O9" s="82">
        <f>N9+'Inputs &amp; Drivers'!$E$73*(O$6&gt;='Inputs &amp; Drivers'!$C$68)*(O$6&lt;'Inputs &amp; Drivers'!$D$68)</f>
        <v>41.666666666666664</v>
      </c>
      <c r="P9" s="82">
        <f>O9+'Inputs &amp; Drivers'!$E$73*(P$6&gt;='Inputs &amp; Drivers'!$C$68)*(P$6&lt;'Inputs &amp; Drivers'!$D$68)</f>
        <v>52.083333333333329</v>
      </c>
      <c r="Q9" s="82">
        <f>P9+'Inputs &amp; Drivers'!$E$73*(Q$6&gt;='Inputs &amp; Drivers'!$C$68)*(Q$6&lt;'Inputs &amp; Drivers'!$D$68)</f>
        <v>62.499999999999993</v>
      </c>
      <c r="R9" s="82">
        <f>Q9+'Inputs &amp; Drivers'!$E$73*(R$6&gt;='Inputs &amp; Drivers'!$C$68)*(R$6&lt;'Inputs &amp; Drivers'!$D$68)</f>
        <v>72.916666666666657</v>
      </c>
      <c r="S9" s="82">
        <f>R9+'Inputs &amp; Drivers'!$E$73*(S$6&gt;='Inputs &amp; Drivers'!$C$68)*(S$6&lt;'Inputs &amp; Drivers'!$D$68)</f>
        <v>83.333333333333329</v>
      </c>
      <c r="T9" s="82">
        <f>S9+'Inputs &amp; Drivers'!$E$73*(T$6&gt;='Inputs &amp; Drivers'!$C$68)*(T$6&lt;'Inputs &amp; Drivers'!$D$68)</f>
        <v>93.75</v>
      </c>
      <c r="U9" s="82">
        <f>T9+'Inputs &amp; Drivers'!$E$73*(U$6&gt;='Inputs &amp; Drivers'!$C$68)*(U$6&lt;'Inputs &amp; Drivers'!$D$68)</f>
        <v>104.16666666666667</v>
      </c>
      <c r="V9" s="82">
        <f>U9+'Inputs &amp; Drivers'!$E$73*(V$6&gt;='Inputs &amp; Drivers'!$C$68)*(V$6&lt;'Inputs &amp; Drivers'!$D$68)</f>
        <v>114.58333333333334</v>
      </c>
      <c r="W9" s="82">
        <f>V9+'Inputs &amp; Drivers'!$E$73*(W$6&gt;='Inputs &amp; Drivers'!$C$68)*(W$6&lt;'Inputs &amp; Drivers'!$D$68)</f>
        <v>125.00000000000001</v>
      </c>
      <c r="X9" s="82">
        <f>W9+'Inputs &amp; Drivers'!$E$73*(X$6&gt;='Inputs &amp; Drivers'!$C$68)*(X$6&lt;'Inputs &amp; Drivers'!$D$68)</f>
        <v>135.41666666666669</v>
      </c>
      <c r="Y9" s="82">
        <f>X9+'Inputs &amp; Drivers'!$E$73*(Y$6&gt;='Inputs &amp; Drivers'!$C$68)*(Y$6&lt;'Inputs &amp; Drivers'!$D$68)</f>
        <v>145.83333333333334</v>
      </c>
      <c r="Z9" s="82">
        <f>Y9+'Inputs &amp; Drivers'!$E$73*(Z$6&gt;='Inputs &amp; Drivers'!$C$68)*(Z$6&lt;'Inputs &amp; Drivers'!$D$68)</f>
        <v>156.25</v>
      </c>
      <c r="AA9" s="82">
        <f>Z9+'Inputs &amp; Drivers'!$E$73*(AA$6&gt;='Inputs &amp; Drivers'!$C$68)*(AA$6&lt;'Inputs &amp; Drivers'!$D$68)</f>
        <v>166.66666666666666</v>
      </c>
      <c r="AB9" s="82">
        <f>AA9+'Inputs &amp; Drivers'!$E$73*(AB$6&gt;='Inputs &amp; Drivers'!$C$68)*(AB$6&lt;'Inputs &amp; Drivers'!$D$68)</f>
        <v>177.08333333333331</v>
      </c>
      <c r="AC9" s="82">
        <f>AB9+'Inputs &amp; Drivers'!$E$73*(AC$6&gt;='Inputs &amp; Drivers'!$C$68)*(AC$6&lt;'Inputs &amp; Drivers'!$D$68)</f>
        <v>187.49999999999997</v>
      </c>
      <c r="AD9" s="82">
        <f>AC9+'Inputs &amp; Drivers'!$E$73*(AD$6&gt;='Inputs &amp; Drivers'!$C$68)*(AD$6&lt;'Inputs &amp; Drivers'!$D$68)</f>
        <v>197.91666666666663</v>
      </c>
      <c r="AE9" s="82">
        <f>AD9+'Inputs &amp; Drivers'!$E$73*(AE$6&gt;='Inputs &amp; Drivers'!$C$68)*(AE$6&lt;'Inputs &amp; Drivers'!$D$68)</f>
        <v>208.33333333333329</v>
      </c>
      <c r="AF9" s="82">
        <f>AE9+'Inputs &amp; Drivers'!$E$73*(AF$6&gt;='Inputs &amp; Drivers'!$C$68)*(AF$6&lt;'Inputs &amp; Drivers'!$D$68)</f>
        <v>218.74999999999994</v>
      </c>
      <c r="AG9" s="82">
        <f>AF9+'Inputs &amp; Drivers'!$E$73*(AG$6&gt;='Inputs &amp; Drivers'!$C$68)*(AG$6&lt;'Inputs &amp; Drivers'!$D$68)</f>
        <v>229.1666666666666</v>
      </c>
      <c r="AH9" s="82">
        <f>AG9+'Inputs &amp; Drivers'!$E$73*(AH$6&gt;='Inputs &amp; Drivers'!$C$68)*(AH$6&lt;'Inputs &amp; Drivers'!$D$68)</f>
        <v>239.58333333333326</v>
      </c>
      <c r="AI9" s="82">
        <f>AH9+'Inputs &amp; Drivers'!$E$73*(AI$6&gt;='Inputs &amp; Drivers'!$C$68)*(AI$6&lt;'Inputs &amp; Drivers'!$D$68)</f>
        <v>249.99999999999991</v>
      </c>
      <c r="AJ9" s="82">
        <f>AI9+'Inputs &amp; Drivers'!$E$73*(AJ$6&gt;='Inputs &amp; Drivers'!$C$68)*(AJ$6&lt;'Inputs &amp; Drivers'!$D$68)</f>
        <v>249.99999999999991</v>
      </c>
      <c r="AK9" s="82">
        <f>AJ9+'Inputs &amp; Drivers'!$E$73*(AK$6&gt;='Inputs &amp; Drivers'!$C$68)*(AK$6&lt;'Inputs &amp; Drivers'!$D$68)</f>
        <v>249.99999999999991</v>
      </c>
      <c r="AL9" s="82">
        <f>AK9+'Inputs &amp; Drivers'!$E$73*(AL$6&gt;='Inputs &amp; Drivers'!$C$68)*(AL$6&lt;'Inputs &amp; Drivers'!$D$68)</f>
        <v>249.99999999999991</v>
      </c>
      <c r="AM9" s="82">
        <f>AL9+'Inputs &amp; Drivers'!$E$73*(AM$6&gt;='Inputs &amp; Drivers'!$C$68)*(AM$6&lt;'Inputs &amp; Drivers'!$D$68)</f>
        <v>249.99999999999991</v>
      </c>
      <c r="AN9" s="82">
        <f>AM9+'Inputs &amp; Drivers'!$E$73*(AN$6&gt;='Inputs &amp; Drivers'!$C$68)*(AN$6&lt;'Inputs &amp; Drivers'!$D$68)</f>
        <v>249.99999999999991</v>
      </c>
      <c r="AO9" s="82">
        <f>AN9+'Inputs &amp; Drivers'!$E$73*(AO$6&gt;='Inputs &amp; Drivers'!$C$68)*(AO$6&lt;'Inputs &amp; Drivers'!$D$68)</f>
        <v>249.99999999999991</v>
      </c>
      <c r="AP9" s="82">
        <f>AO9+'Inputs &amp; Drivers'!$E$73*(AP$6&gt;='Inputs &amp; Drivers'!$C$68)*(AP$6&lt;'Inputs &amp; Drivers'!$D$68)</f>
        <v>249.99999999999991</v>
      </c>
      <c r="AQ9" s="82">
        <f>AP9+'Inputs &amp; Drivers'!$E$73*(AQ$6&gt;='Inputs &amp; Drivers'!$C$68)*(AQ$6&lt;'Inputs &amp; Drivers'!$D$68)</f>
        <v>249.99999999999991</v>
      </c>
      <c r="AR9" s="82">
        <f>AQ9+'Inputs &amp; Drivers'!$E$73*(AR$6&gt;='Inputs &amp; Drivers'!$C$68)*(AR$6&lt;'Inputs &amp; Drivers'!$D$68)</f>
        <v>249.99999999999991</v>
      </c>
      <c r="AS9" s="82">
        <f>AR9+'Inputs &amp; Drivers'!$E$73*(AS$6&gt;='Inputs &amp; Drivers'!$C$68)*(AS$6&lt;'Inputs &amp; Drivers'!$D$68)</f>
        <v>249.99999999999991</v>
      </c>
      <c r="AT9" s="82">
        <f>AS9+'Inputs &amp; Drivers'!$E$73*(AT$6&gt;='Inputs &amp; Drivers'!$C$68)*(AT$6&lt;'Inputs &amp; Drivers'!$D$68)</f>
        <v>249.99999999999991</v>
      </c>
      <c r="AU9" s="82">
        <f>AT9+'Inputs &amp; Drivers'!$E$73*(AU$6&gt;='Inputs &amp; Drivers'!$C$68)*(AU$6&lt;'Inputs &amp; Drivers'!$D$68)</f>
        <v>249.99999999999991</v>
      </c>
      <c r="AV9" s="82">
        <f>AU9+'Inputs &amp; Drivers'!$E$73*(AV$6&gt;='Inputs &amp; Drivers'!$C$68)*(AV$6&lt;'Inputs &amp; Drivers'!$D$68)</f>
        <v>249.99999999999991</v>
      </c>
      <c r="AW9" s="82">
        <f>AV9+'Inputs &amp; Drivers'!$E$73*(AW$6&gt;='Inputs &amp; Drivers'!$C$68)*(AW$6&lt;'Inputs &amp; Drivers'!$D$68)</f>
        <v>249.99999999999991</v>
      </c>
      <c r="AX9" s="82">
        <f>AW9+'Inputs &amp; Drivers'!$E$73*(AX$6&gt;='Inputs &amp; Drivers'!$C$68)*(AX$6&lt;'Inputs &amp; Drivers'!$D$68)</f>
        <v>249.99999999999991</v>
      </c>
      <c r="AY9" s="82">
        <f>AX9+'Inputs &amp; Drivers'!$E$73*(AY$6&gt;='Inputs &amp; Drivers'!$C$68)*(AY$6&lt;'Inputs &amp; Drivers'!$D$68)</f>
        <v>249.99999999999991</v>
      </c>
      <c r="AZ9" s="82">
        <f>AY9+'Inputs &amp; Drivers'!$E$73*(AZ$6&gt;='Inputs &amp; Drivers'!$C$68)*(AZ$6&lt;'Inputs &amp; Drivers'!$D$68)</f>
        <v>249.99999999999991</v>
      </c>
      <c r="BA9" s="82">
        <f>AZ9+'Inputs &amp; Drivers'!$E$73*(BA$6&gt;='Inputs &amp; Drivers'!$C$68)*(BA$6&lt;'Inputs &amp; Drivers'!$D$68)</f>
        <v>249.99999999999991</v>
      </c>
      <c r="BB9" s="82">
        <f>BA9+'Inputs &amp; Drivers'!$E$73*(BB$6&gt;='Inputs &amp; Drivers'!$C$68)*(BB$6&lt;'Inputs &amp; Drivers'!$D$68)</f>
        <v>249.99999999999991</v>
      </c>
      <c r="BC9" s="82">
        <f>BB9+'Inputs &amp; Drivers'!$E$73*(BC$6&gt;='Inputs &amp; Drivers'!$C$68)*(BC$6&lt;'Inputs &amp; Drivers'!$D$68)</f>
        <v>249.99999999999991</v>
      </c>
      <c r="BD9" s="82">
        <f>BC9+'Inputs &amp; Drivers'!$E$73*(BD$6&gt;='Inputs &amp; Drivers'!$C$68)*(BD$6&lt;'Inputs &amp; Drivers'!$D$68)</f>
        <v>249.99999999999991</v>
      </c>
      <c r="BE9" s="82">
        <f>BD9+'Inputs &amp; Drivers'!$E$73*(BE$6&gt;='Inputs &amp; Drivers'!$C$68)*(BE$6&lt;'Inputs &amp; Drivers'!$D$68)</f>
        <v>249.99999999999991</v>
      </c>
      <c r="BF9" s="82">
        <f>BE9+'Inputs &amp; Drivers'!$E$73*(BF$6&gt;='Inputs &amp; Drivers'!$C$68)*(BF$6&lt;'Inputs &amp; Drivers'!$D$68)</f>
        <v>249.99999999999991</v>
      </c>
      <c r="BG9" s="82">
        <f>BF9+'Inputs &amp; Drivers'!$E$73*(BG$6&gt;='Inputs &amp; Drivers'!$C$68)*(BG$6&lt;'Inputs &amp; Drivers'!$D$68)</f>
        <v>249.99999999999991</v>
      </c>
      <c r="BH9" s="82">
        <f>BG9+'Inputs &amp; Drivers'!$E$73*(BH$6&gt;='Inputs &amp; Drivers'!$C$68)*(BH$6&lt;'Inputs &amp; Drivers'!$D$68)</f>
        <v>249.99999999999991</v>
      </c>
      <c r="BI9" s="82">
        <f>BH9+'Inputs &amp; Drivers'!$E$73*(BI$6&gt;='Inputs &amp; Drivers'!$C$68)*(BI$6&lt;'Inputs &amp; Drivers'!$D$68)</f>
        <v>249.99999999999991</v>
      </c>
      <c r="BJ9" s="82">
        <f>BI9+'Inputs &amp; Drivers'!$E$73*(BJ$6&gt;='Inputs &amp; Drivers'!$C$68)*(BJ$6&lt;'Inputs &amp; Drivers'!$D$68)</f>
        <v>249.99999999999991</v>
      </c>
      <c r="BK9" s="82">
        <f>BJ9+'Inputs &amp; Drivers'!$E$73*(BK$6&gt;='Inputs &amp; Drivers'!$C$68)*(BK$6&lt;'Inputs &amp; Drivers'!$D$68)</f>
        <v>249.99999999999991</v>
      </c>
      <c r="BL9" s="82">
        <f>BK9+'Inputs &amp; Drivers'!$E$73*(BL$6&gt;='Inputs &amp; Drivers'!$C$68)*(BL$6&lt;'Inputs &amp; Drivers'!$D$68)</f>
        <v>249.99999999999991</v>
      </c>
      <c r="BM9" s="82">
        <f>BL9+'Inputs &amp; Drivers'!$E$73*(BM$6&gt;='Inputs &amp; Drivers'!$C$68)*(BM$6&lt;'Inputs &amp; Drivers'!$D$68)</f>
        <v>249.99999999999991</v>
      </c>
      <c r="BN9" s="82">
        <f>BM9+'Inputs &amp; Drivers'!$E$73*(BN$6&gt;='Inputs &amp; Drivers'!$C$68)*(BN$6&lt;'Inputs &amp; Drivers'!$D$68)</f>
        <v>249.99999999999991</v>
      </c>
      <c r="BO9" s="82">
        <f>BN9+'Inputs &amp; Drivers'!$E$73*(BO$6&gt;='Inputs &amp; Drivers'!$C$68)*(BO$6&lt;'Inputs &amp; Drivers'!$D$68)</f>
        <v>249.99999999999991</v>
      </c>
      <c r="BP9" s="82">
        <f>BO9+'Inputs &amp; Drivers'!$E$73*(BP$6&gt;='Inputs &amp; Drivers'!$C$68)*(BP$6&lt;'Inputs &amp; Drivers'!$D$68)</f>
        <v>249.99999999999991</v>
      </c>
      <c r="BQ9" s="82">
        <f>BP9+'Inputs &amp; Drivers'!$E$73*(BQ$6&gt;='Inputs &amp; Drivers'!$C$68)*(BQ$6&lt;'Inputs &amp; Drivers'!$D$68)</f>
        <v>249.99999999999991</v>
      </c>
      <c r="BR9" s="82">
        <f>BQ9+'Inputs &amp; Drivers'!$E$73*(BR$6&gt;='Inputs &amp; Drivers'!$C$68)*(BR$6&lt;'Inputs &amp; Drivers'!$D$68)</f>
        <v>249.99999999999991</v>
      </c>
      <c r="BS9" s="82">
        <f>BR9+'Inputs &amp; Drivers'!$E$73*(BS$6&gt;='Inputs &amp; Drivers'!$C$68)*(BS$6&lt;'Inputs &amp; Drivers'!$D$68)</f>
        <v>249.99999999999991</v>
      </c>
      <c r="BT9" s="82">
        <f>BS9+'Inputs &amp; Drivers'!$E$73*(BT$6&gt;='Inputs &amp; Drivers'!$C$68)*(BT$6&lt;'Inputs &amp; Drivers'!$D$68)</f>
        <v>249.99999999999991</v>
      </c>
      <c r="BU9" s="82">
        <f>BT9+'Inputs &amp; Drivers'!$E$73*(BU$6&gt;='Inputs &amp; Drivers'!$C$68)*(BU$6&lt;'Inputs &amp; Drivers'!$D$68)</f>
        <v>249.99999999999991</v>
      </c>
      <c r="BV9" s="82">
        <f>BU9+'Inputs &amp; Drivers'!$E$73*(BV$6&gt;='Inputs &amp; Drivers'!$C$68)*(BV$6&lt;'Inputs &amp; Drivers'!$D$68)</f>
        <v>249.99999999999991</v>
      </c>
      <c r="BW9" s="82">
        <f>BV9+'Inputs &amp; Drivers'!$E$73*(BW$6&gt;='Inputs &amp; Drivers'!$C$68)*(BW$6&lt;'Inputs &amp; Drivers'!$D$68)</f>
        <v>249.99999999999991</v>
      </c>
      <c r="BX9" s="82">
        <f>BW9+'Inputs &amp; Drivers'!$E$73*(BX$6&gt;='Inputs &amp; Drivers'!$C$68)*(BX$6&lt;'Inputs &amp; Drivers'!$D$68)</f>
        <v>249.99999999999991</v>
      </c>
      <c r="BY9" s="82">
        <f>BX9+'Inputs &amp; Drivers'!$E$73*(BY$6&gt;='Inputs &amp; Drivers'!$C$68)*(BY$6&lt;'Inputs &amp; Drivers'!$D$68)</f>
        <v>249.99999999999991</v>
      </c>
      <c r="BZ9" s="82">
        <f>BY9+'Inputs &amp; Drivers'!$E$73*(BZ$6&gt;='Inputs &amp; Drivers'!$C$68)*(BZ$6&lt;'Inputs &amp; Drivers'!$D$68)</f>
        <v>249.99999999999991</v>
      </c>
      <c r="CA9" s="82">
        <f>BZ9+'Inputs &amp; Drivers'!$E$73*(CA$6&gt;='Inputs &amp; Drivers'!$C$68)*(CA$6&lt;'Inputs &amp; Drivers'!$D$68)</f>
        <v>249.99999999999991</v>
      </c>
      <c r="CB9" s="82">
        <f>CA9+'Inputs &amp; Drivers'!$E$73*(CB$6&gt;='Inputs &amp; Drivers'!$C$68)*(CB$6&lt;'Inputs &amp; Drivers'!$D$68)</f>
        <v>249.99999999999991</v>
      </c>
      <c r="CC9" s="82">
        <f>CB9+'Inputs &amp; Drivers'!$E$73*(CC$6&gt;='Inputs &amp; Drivers'!$C$68)*(CC$6&lt;'Inputs &amp; Drivers'!$D$68)</f>
        <v>249.99999999999991</v>
      </c>
      <c r="CD9" s="82">
        <f>CC9+'Inputs &amp; Drivers'!$E$73*(CD$6&gt;='Inputs &amp; Drivers'!$C$68)*(CD$6&lt;'Inputs &amp; Drivers'!$D$68)</f>
        <v>249.99999999999991</v>
      </c>
      <c r="CE9" s="82">
        <f>CD9+'Inputs &amp; Drivers'!$E$73*(CE$6&gt;='Inputs &amp; Drivers'!$C$68)*(CE$6&lt;'Inputs &amp; Drivers'!$D$68)</f>
        <v>249.99999999999991</v>
      </c>
      <c r="CF9" s="82">
        <f>CE9+'Inputs &amp; Drivers'!$E$73*(CF$6&gt;='Inputs &amp; Drivers'!$C$68)*(CF$6&lt;'Inputs &amp; Drivers'!$D$68)</f>
        <v>249.99999999999991</v>
      </c>
      <c r="CG9" s="82">
        <f>CF9+'Inputs &amp; Drivers'!$E$73*(CG$6&gt;='Inputs &amp; Drivers'!$C$68)*(CG$6&lt;'Inputs &amp; Drivers'!$D$68)</f>
        <v>249.99999999999991</v>
      </c>
      <c r="CH9" s="82">
        <f>CG9+'Inputs &amp; Drivers'!$E$73*(CH$6&gt;='Inputs &amp; Drivers'!$C$68)*(CH$6&lt;'Inputs &amp; Drivers'!$D$68)</f>
        <v>249.99999999999991</v>
      </c>
      <c r="CI9" s="82">
        <f>CH9+'Inputs &amp; Drivers'!$E$73*(CI$6&gt;='Inputs &amp; Drivers'!$C$68)*(CI$6&lt;'Inputs &amp; Drivers'!$D$68)</f>
        <v>249.99999999999991</v>
      </c>
      <c r="CJ9" s="82">
        <f>CI9+'Inputs &amp; Drivers'!$E$73*(CJ$6&gt;='Inputs &amp; Drivers'!$C$68)*(CJ$6&lt;'Inputs &amp; Drivers'!$D$68)</f>
        <v>249.99999999999991</v>
      </c>
      <c r="CK9" s="82">
        <f>CJ9+'Inputs &amp; Drivers'!$E$73*(CK$6&gt;='Inputs &amp; Drivers'!$C$68)*(CK$6&lt;'Inputs &amp; Drivers'!$D$68)</f>
        <v>249.99999999999991</v>
      </c>
      <c r="CL9" s="82">
        <f>CK9+'Inputs &amp; Drivers'!$E$73*(CL$6&gt;='Inputs &amp; Drivers'!$C$68)*(CL$6&lt;'Inputs &amp; Drivers'!$D$68)</f>
        <v>249.99999999999991</v>
      </c>
      <c r="CM9" s="82">
        <f>CL9+'Inputs &amp; Drivers'!$E$73*(CM$6&gt;='Inputs &amp; Drivers'!$C$68)*(CM$6&lt;'Inputs &amp; Drivers'!$D$68)</f>
        <v>249.99999999999991</v>
      </c>
      <c r="CN9" s="82">
        <f>CM9+'Inputs &amp; Drivers'!$E$73*(CN$6&gt;='Inputs &amp; Drivers'!$C$68)*(CN$6&lt;'Inputs &amp; Drivers'!$D$68)</f>
        <v>249.99999999999991</v>
      </c>
      <c r="CO9" s="82">
        <f>CN9+'Inputs &amp; Drivers'!$E$73*(CO$6&gt;='Inputs &amp; Drivers'!$C$68)*(CO$6&lt;'Inputs &amp; Drivers'!$D$68)</f>
        <v>249.99999999999991</v>
      </c>
      <c r="CP9" s="82">
        <f>CO9+'Inputs &amp; Drivers'!$E$73*(CP$6&gt;='Inputs &amp; Drivers'!$C$68)*(CP$6&lt;'Inputs &amp; Drivers'!$D$68)</f>
        <v>249.99999999999991</v>
      </c>
      <c r="CQ9" s="82">
        <f>CP9+'Inputs &amp; Drivers'!$E$73*(CQ$6&gt;='Inputs &amp; Drivers'!$C$68)*(CQ$6&lt;'Inputs &amp; Drivers'!$D$68)</f>
        <v>249.99999999999991</v>
      </c>
      <c r="CR9" s="82">
        <f>CQ9+'Inputs &amp; Drivers'!$E$73*(CR$6&gt;='Inputs &amp; Drivers'!$C$68)*(CR$6&lt;'Inputs &amp; Drivers'!$D$68)</f>
        <v>249.99999999999991</v>
      </c>
      <c r="CS9" s="82">
        <f>CR9+'Inputs &amp; Drivers'!$E$73*(CS$6&gt;='Inputs &amp; Drivers'!$C$68)*(CS$6&lt;'Inputs &amp; Drivers'!$D$68)</f>
        <v>249.99999999999991</v>
      </c>
      <c r="CT9" s="82">
        <f>CS9+'Inputs &amp; Drivers'!$E$73*(CT$6&gt;='Inputs &amp; Drivers'!$C$68)*(CT$6&lt;'Inputs &amp; Drivers'!$D$68)</f>
        <v>249.99999999999991</v>
      </c>
      <c r="CU9" s="82">
        <f>CT9+'Inputs &amp; Drivers'!$E$73*(CU$6&gt;='Inputs &amp; Drivers'!$C$68)*(CU$6&lt;'Inputs &amp; Drivers'!$D$68)</f>
        <v>249.99999999999991</v>
      </c>
      <c r="CV9" s="82">
        <f>CU9+'Inputs &amp; Drivers'!$E$73*(CV$6&gt;='Inputs &amp; Drivers'!$C$68)*(CV$6&lt;'Inputs &amp; Drivers'!$D$68)</f>
        <v>249.99999999999991</v>
      </c>
      <c r="CW9" s="82">
        <f>CV9+'Inputs &amp; Drivers'!$E$73*(CW$6&gt;='Inputs &amp; Drivers'!$C$68)*(CW$6&lt;'Inputs &amp; Drivers'!$D$68)</f>
        <v>249.99999999999991</v>
      </c>
      <c r="CX9" s="82">
        <f>CW9+'Inputs &amp; Drivers'!$E$73*(CX$6&gt;='Inputs &amp; Drivers'!$C$68)*(CX$6&lt;'Inputs &amp; Drivers'!$D$68)</f>
        <v>249.99999999999991</v>
      </c>
      <c r="CY9" s="82">
        <f>CX9+'Inputs &amp; Drivers'!$E$73*(CY$6&gt;='Inputs &amp; Drivers'!$C$68)*(CY$6&lt;'Inputs &amp; Drivers'!$D$68)</f>
        <v>249.99999999999991</v>
      </c>
      <c r="CZ9" s="82">
        <f>CY9+'Inputs &amp; Drivers'!$E$73*(CZ$6&gt;='Inputs &amp; Drivers'!$C$68)*(CZ$6&lt;'Inputs &amp; Drivers'!$D$68)</f>
        <v>249.99999999999991</v>
      </c>
      <c r="DA9" s="82">
        <f>CZ9+'Inputs &amp; Drivers'!$E$73*(DA$6&gt;='Inputs &amp; Drivers'!$C$68)*(DA$6&lt;'Inputs &amp; Drivers'!$D$68)</f>
        <v>249.99999999999991</v>
      </c>
      <c r="DB9" s="82">
        <f>DA9+'Inputs &amp; Drivers'!$E$73*(DB$6&gt;='Inputs &amp; Drivers'!$C$68)*(DB$6&lt;'Inputs &amp; Drivers'!$D$68)</f>
        <v>249.99999999999991</v>
      </c>
      <c r="DC9" s="82">
        <f>DB9+'Inputs &amp; Drivers'!$E$73*(DC$6&gt;='Inputs &amp; Drivers'!$C$68)*(DC$6&lt;'Inputs &amp; Drivers'!$D$68)</f>
        <v>249.99999999999991</v>
      </c>
      <c r="DD9" s="82">
        <f>DC9+'Inputs &amp; Drivers'!$E$73*(DD$6&gt;='Inputs &amp; Drivers'!$C$68)*(DD$6&lt;'Inputs &amp; Drivers'!$D$68)</f>
        <v>249.99999999999991</v>
      </c>
      <c r="DE9" s="82">
        <f>DD9+'Inputs &amp; Drivers'!$E$73*(DE$6&gt;='Inputs &amp; Drivers'!$C$68)*(DE$6&lt;'Inputs &amp; Drivers'!$D$68)</f>
        <v>249.99999999999991</v>
      </c>
      <c r="DF9" s="82">
        <f>DE9+'Inputs &amp; Drivers'!$E$73*(DF$6&gt;='Inputs &amp; Drivers'!$C$68)*(DF$6&lt;'Inputs &amp; Drivers'!$D$68)</f>
        <v>249.99999999999991</v>
      </c>
      <c r="DG9" s="82">
        <f>DF9+'Inputs &amp; Drivers'!$E$73*(DG$6&gt;='Inputs &amp; Drivers'!$C$68)*(DG$6&lt;'Inputs &amp; Drivers'!$D$68)</f>
        <v>249.99999999999991</v>
      </c>
      <c r="DH9" s="82">
        <f>DG9+'Inputs &amp; Drivers'!$E$73*(DH$6&gt;='Inputs &amp; Drivers'!$C$68)*(DH$6&lt;'Inputs &amp; Drivers'!$D$68)</f>
        <v>249.99999999999991</v>
      </c>
      <c r="DI9" s="82">
        <f>DH9+'Inputs &amp; Drivers'!$E$73*(DI$6&gt;='Inputs &amp; Drivers'!$C$68)*(DI$6&lt;'Inputs &amp; Drivers'!$D$68)</f>
        <v>249.99999999999991</v>
      </c>
      <c r="DJ9" s="82">
        <f>DI9+'Inputs &amp; Drivers'!$E$73*(DJ$6&gt;='Inputs &amp; Drivers'!$C$68)*(DJ$6&lt;'Inputs &amp; Drivers'!$D$68)</f>
        <v>249.99999999999991</v>
      </c>
      <c r="DK9" s="82">
        <f>DJ9+'Inputs &amp; Drivers'!$E$73*(DK$6&gt;='Inputs &amp; Drivers'!$C$68)*(DK$6&lt;'Inputs &amp; Drivers'!$D$68)</f>
        <v>249.99999999999991</v>
      </c>
      <c r="DL9" s="82">
        <f>DK9+'Inputs &amp; Drivers'!$E$73*(DL$6&gt;='Inputs &amp; Drivers'!$C$68)*(DL$6&lt;'Inputs &amp; Drivers'!$D$68)</f>
        <v>249.99999999999991</v>
      </c>
      <c r="DM9" s="82">
        <f>DL9+'Inputs &amp; Drivers'!$E$73*(DM$6&gt;='Inputs &amp; Drivers'!$C$68)*(DM$6&lt;'Inputs &amp; Drivers'!$D$68)</f>
        <v>249.99999999999991</v>
      </c>
      <c r="DN9" s="82">
        <f>DM9+'Inputs &amp; Drivers'!$E$73*(DN$6&gt;='Inputs &amp; Drivers'!$C$68)*(DN$6&lt;'Inputs &amp; Drivers'!$D$68)</f>
        <v>249.99999999999991</v>
      </c>
      <c r="DO9" s="82">
        <f>DN9+'Inputs &amp; Drivers'!$E$73*(DO$6&gt;='Inputs &amp; Drivers'!$C$68)*(DO$6&lt;'Inputs &amp; Drivers'!$D$68)</f>
        <v>249.99999999999991</v>
      </c>
      <c r="DP9" s="82">
        <f>DO9+'Inputs &amp; Drivers'!$E$73*(DP$6&gt;='Inputs &amp; Drivers'!$C$68)*(DP$6&lt;'Inputs &amp; Drivers'!$D$68)</f>
        <v>249.99999999999991</v>
      </c>
      <c r="DQ9" s="82">
        <f>DP9+'Inputs &amp; Drivers'!$E$73*(DQ$6&gt;='Inputs &amp; Drivers'!$C$68)*(DQ$6&lt;'Inputs &amp; Drivers'!$D$68)</f>
        <v>249.99999999999991</v>
      </c>
      <c r="DR9" s="82">
        <f>DQ9+'Inputs &amp; Drivers'!$E$73*(DR$6&gt;='Inputs &amp; Drivers'!$C$68)*(DR$6&lt;'Inputs &amp; Drivers'!$D$68)</f>
        <v>249.99999999999991</v>
      </c>
      <c r="DS9" s="82">
        <f>DR9+'Inputs &amp; Drivers'!$E$73*(DS$6&gt;='Inputs &amp; Drivers'!$C$68)*(DS$6&lt;'Inputs &amp; Drivers'!$D$68)</f>
        <v>249.99999999999991</v>
      </c>
      <c r="DT9" s="82">
        <f>DS9+'Inputs &amp; Drivers'!$E$73*(DT$6&gt;='Inputs &amp; Drivers'!$C$68)*(DT$6&lt;'Inputs &amp; Drivers'!$D$68)</f>
        <v>249.99999999999991</v>
      </c>
      <c r="DU9" s="82">
        <f>DT9+'Inputs &amp; Drivers'!$E$73*(DU$6&gt;='Inputs &amp; Drivers'!$C$68)*(DU$6&lt;'Inputs &amp; Drivers'!$D$68)</f>
        <v>249.99999999999991</v>
      </c>
      <c r="DV9" s="82">
        <f>DU9+'Inputs &amp; Drivers'!$E$73*(DV$6&gt;='Inputs &amp; Drivers'!$C$68)*(DV$6&lt;'Inputs &amp; Drivers'!$D$68)</f>
        <v>249.99999999999991</v>
      </c>
      <c r="DW9" s="82">
        <f>DV9+'Inputs &amp; Drivers'!$E$73*(DW$6&gt;='Inputs &amp; Drivers'!$C$68)*(DW$6&lt;'Inputs &amp; Drivers'!$D$68)</f>
        <v>249.99999999999991</v>
      </c>
      <c r="DX9" s="82">
        <f>DW9+'Inputs &amp; Drivers'!$E$73*(DX$6&gt;='Inputs &amp; Drivers'!$C$68)*(DX$6&lt;'Inputs &amp; Drivers'!$D$68)</f>
        <v>249.99999999999991</v>
      </c>
      <c r="DY9" s="82">
        <f>DX9+'Inputs &amp; Drivers'!$E$73*(DY$6&gt;='Inputs &amp; Drivers'!$C$68)*(DY$6&lt;'Inputs &amp; Drivers'!$D$68)</f>
        <v>249.99999999999991</v>
      </c>
      <c r="DZ9" s="82">
        <f>DY9+'Inputs &amp; Drivers'!$E$73*(DZ$6&gt;='Inputs &amp; Drivers'!$C$68)*(DZ$6&lt;'Inputs &amp; Drivers'!$D$68)</f>
        <v>249.99999999999991</v>
      </c>
      <c r="EA9" s="82">
        <f>DZ9+'Inputs &amp; Drivers'!$E$73*(EA$6&gt;='Inputs &amp; Drivers'!$C$68)*(EA$6&lt;'Inputs &amp; Drivers'!$D$68)</f>
        <v>249.99999999999991</v>
      </c>
      <c r="EB9" s="82">
        <f>EA9+'Inputs &amp; Drivers'!$E$73*(EB$6&gt;='Inputs &amp; Drivers'!$C$68)*(EB$6&lt;'Inputs &amp; Drivers'!$D$68)</f>
        <v>249.99999999999991</v>
      </c>
      <c r="EC9" s="82">
        <f>EB9+'Inputs &amp; Drivers'!$E$73*(EC$6&gt;='Inputs &amp; Drivers'!$C$68)*(EC$6&lt;'Inputs &amp; Drivers'!$D$68)</f>
        <v>249.99999999999991</v>
      </c>
      <c r="ED9" s="82">
        <f>EC9+'Inputs &amp; Drivers'!$E$73*(ED$6&gt;='Inputs &amp; Drivers'!$C$68)*(ED$6&lt;'Inputs &amp; Drivers'!$D$68)</f>
        <v>249.99999999999991</v>
      </c>
      <c r="EE9" s="82">
        <f>ED9+'Inputs &amp; Drivers'!$E$73*(EE$6&gt;='Inputs &amp; Drivers'!$C$68)*(EE$6&lt;'Inputs &amp; Drivers'!$D$68)</f>
        <v>249.99999999999991</v>
      </c>
      <c r="EF9" s="82">
        <f>EE9+'Inputs &amp; Drivers'!$E$73*(EF$6&gt;='Inputs &amp; Drivers'!$C$68)*(EF$6&lt;'Inputs &amp; Drivers'!$D$68)</f>
        <v>249.99999999999991</v>
      </c>
      <c r="EG9" s="82">
        <f>EF9+'Inputs &amp; Drivers'!$E$73*(EG$6&gt;='Inputs &amp; Drivers'!$C$68)*(EG$6&lt;'Inputs &amp; Drivers'!$D$68)</f>
        <v>249.99999999999991</v>
      </c>
      <c r="EH9" s="82">
        <f>EG9+'Inputs &amp; Drivers'!$E$73*(EH$6&gt;='Inputs &amp; Drivers'!$C$68)*(EH$6&lt;'Inputs &amp; Drivers'!$D$68)</f>
        <v>249.99999999999991</v>
      </c>
      <c r="EI9" s="82">
        <f>EH9+'Inputs &amp; Drivers'!$E$73*(EI$6&gt;='Inputs &amp; Drivers'!$C$68)*(EI$6&lt;'Inputs &amp; Drivers'!$D$68)</f>
        <v>249.99999999999991</v>
      </c>
      <c r="EJ9" s="82">
        <f>EI9+'Inputs &amp; Drivers'!$E$73*(EJ$6&gt;='Inputs &amp; Drivers'!$C$68)*(EJ$6&lt;'Inputs &amp; Drivers'!$D$68)</f>
        <v>249.99999999999991</v>
      </c>
      <c r="EK9" s="82">
        <f>EJ9+'Inputs &amp; Drivers'!$E$73*(EK$6&gt;='Inputs &amp; Drivers'!$C$68)*(EK$6&lt;'Inputs &amp; Drivers'!$D$68)</f>
        <v>249.99999999999991</v>
      </c>
      <c r="EM9" s="110">
        <f t="shared" ref="EM9:EM11" si="225">SUMIF($I$6:$EK$6,EM$6,$I9:$EK9)</f>
        <v>0</v>
      </c>
      <c r="EN9" s="110">
        <f t="shared" si="224"/>
        <v>104.16666666666667</v>
      </c>
      <c r="EO9" s="110">
        <f t="shared" si="224"/>
        <v>229.1666666666666</v>
      </c>
      <c r="EP9" s="110">
        <f t="shared" si="224"/>
        <v>249.99999999999991</v>
      </c>
      <c r="EQ9" s="110">
        <f t="shared" si="224"/>
        <v>249.99999999999991</v>
      </c>
      <c r="ER9" s="110">
        <f t="shared" si="224"/>
        <v>249.99999999999991</v>
      </c>
      <c r="ES9" s="110">
        <f t="shared" si="224"/>
        <v>249.99999999999991</v>
      </c>
      <c r="ET9" s="110">
        <f t="shared" si="224"/>
        <v>249.99999999999991</v>
      </c>
      <c r="EU9" s="110">
        <f t="shared" si="224"/>
        <v>249.99999999999991</v>
      </c>
      <c r="EV9" s="110">
        <f t="shared" si="224"/>
        <v>249.99999999999991</v>
      </c>
      <c r="EW9" s="110">
        <f t="shared" si="224"/>
        <v>249.99999999999991</v>
      </c>
      <c r="EX9" s="110">
        <f t="shared" si="224"/>
        <v>249.99999999999991</v>
      </c>
    </row>
    <row r="10" spans="2:154" x14ac:dyDescent="0.3">
      <c r="B10" s="1" t="s">
        <v>123</v>
      </c>
      <c r="I10" s="68">
        <f>'Inputs &amp; Drivers'!E36</f>
        <v>2053.8001333333336</v>
      </c>
      <c r="J10" s="71">
        <f>I10*(1+J12)</f>
        <v>2053.8001333333336</v>
      </c>
      <c r="K10" s="71">
        <f t="shared" ref="K10:AG10" si="226">J10*(1+K12)</f>
        <v>2053.8001333333336</v>
      </c>
      <c r="L10" s="71">
        <f t="shared" si="226"/>
        <v>2053.8001333333336</v>
      </c>
      <c r="M10" s="71">
        <f t="shared" si="226"/>
        <v>2053.8001333333336</v>
      </c>
      <c r="N10" s="71">
        <f t="shared" si="226"/>
        <v>2053.8001333333336</v>
      </c>
      <c r="O10" s="71">
        <f t="shared" si="226"/>
        <v>2053.8001333333336</v>
      </c>
      <c r="P10" s="71">
        <f t="shared" si="226"/>
        <v>2053.8001333333336</v>
      </c>
      <c r="Q10" s="71">
        <f t="shared" si="226"/>
        <v>2053.8001333333336</v>
      </c>
      <c r="R10" s="71">
        <f t="shared" si="226"/>
        <v>2053.8001333333336</v>
      </c>
      <c r="S10" s="71">
        <f t="shared" si="226"/>
        <v>2053.8001333333336</v>
      </c>
      <c r="T10" s="71">
        <f t="shared" si="226"/>
        <v>2053.8001333333336</v>
      </c>
      <c r="U10" s="71">
        <f t="shared" si="226"/>
        <v>2053.8001333333336</v>
      </c>
      <c r="V10" s="71">
        <f t="shared" si="226"/>
        <v>2058.9346336666667</v>
      </c>
      <c r="W10" s="71">
        <f t="shared" si="226"/>
        <v>2064.0819702508334</v>
      </c>
      <c r="X10" s="71">
        <f t="shared" si="226"/>
        <v>2069.2421751764605</v>
      </c>
      <c r="Y10" s="71">
        <f t="shared" si="226"/>
        <v>2074.4152806144016</v>
      </c>
      <c r="Z10" s="71">
        <f t="shared" si="226"/>
        <v>2079.6013188159372</v>
      </c>
      <c r="AA10" s="71">
        <f t="shared" si="226"/>
        <v>2084.800322112977</v>
      </c>
      <c r="AB10" s="71">
        <f t="shared" si="226"/>
        <v>2090.0123229182595</v>
      </c>
      <c r="AC10" s="71">
        <f t="shared" si="226"/>
        <v>2095.2373537255553</v>
      </c>
      <c r="AD10" s="71">
        <f t="shared" si="226"/>
        <v>2100.475447109869</v>
      </c>
      <c r="AE10" s="71">
        <f t="shared" si="226"/>
        <v>2105.7266357276435</v>
      </c>
      <c r="AF10" s="71">
        <f t="shared" si="226"/>
        <v>2110.9909523169626</v>
      </c>
      <c r="AG10" s="71">
        <f t="shared" si="226"/>
        <v>2116.268429697755</v>
      </c>
      <c r="AH10" s="71">
        <f t="shared" ref="AH10:AI10" si="227">AG10*(1+AH12)</f>
        <v>2123.3226577967475</v>
      </c>
      <c r="AI10" s="71">
        <f t="shared" si="227"/>
        <v>2130.4003999894035</v>
      </c>
      <c r="AJ10" s="71">
        <f t="shared" ref="AJ10:CU10" si="228">AI10*(1+AJ12)</f>
        <v>2137.5017346560348</v>
      </c>
      <c r="AK10" s="71">
        <f t="shared" si="228"/>
        <v>2144.626740438222</v>
      </c>
      <c r="AL10" s="71">
        <f t="shared" si="228"/>
        <v>2151.775496239683</v>
      </c>
      <c r="AM10" s="71">
        <f t="shared" si="228"/>
        <v>2158.9480812271486</v>
      </c>
      <c r="AN10" s="71">
        <f t="shared" si="228"/>
        <v>2166.1445748312394</v>
      </c>
      <c r="AO10" s="71">
        <f t="shared" si="228"/>
        <v>2173.3650567473437</v>
      </c>
      <c r="AP10" s="71">
        <f t="shared" si="228"/>
        <v>2180.6096069365017</v>
      </c>
      <c r="AQ10" s="71">
        <f t="shared" si="228"/>
        <v>2187.8783056262901</v>
      </c>
      <c r="AR10" s="71">
        <f t="shared" si="228"/>
        <v>2195.1712333117111</v>
      </c>
      <c r="AS10" s="71">
        <f t="shared" si="228"/>
        <v>2202.4884707560836</v>
      </c>
      <c r="AT10" s="71">
        <f t="shared" si="228"/>
        <v>2207.9946919329736</v>
      </c>
      <c r="AU10" s="71">
        <f t="shared" si="228"/>
        <v>2213.5146786628061</v>
      </c>
      <c r="AV10" s="71">
        <f t="shared" si="228"/>
        <v>2219.0484653594631</v>
      </c>
      <c r="AW10" s="71">
        <f t="shared" si="228"/>
        <v>2224.5960865228617</v>
      </c>
      <c r="AX10" s="71">
        <f t="shared" si="228"/>
        <v>2230.1575767391687</v>
      </c>
      <c r="AY10" s="71">
        <f t="shared" si="228"/>
        <v>2235.7329706810165</v>
      </c>
      <c r="AZ10" s="71">
        <f t="shared" si="228"/>
        <v>2241.3223031077191</v>
      </c>
      <c r="BA10" s="71">
        <f t="shared" si="228"/>
        <v>2246.9256088654884</v>
      </c>
      <c r="BB10" s="71">
        <f t="shared" si="228"/>
        <v>2252.5429228876519</v>
      </c>
      <c r="BC10" s="71">
        <f t="shared" si="228"/>
        <v>2258.1742801948708</v>
      </c>
      <c r="BD10" s="71">
        <f t="shared" si="228"/>
        <v>2263.8197158953581</v>
      </c>
      <c r="BE10" s="71">
        <f t="shared" si="228"/>
        <v>2269.4792651850962</v>
      </c>
      <c r="BF10" s="71">
        <f t="shared" si="228"/>
        <v>2275.1529633480586</v>
      </c>
      <c r="BG10" s="71">
        <f t="shared" si="228"/>
        <v>2280.8408457564287</v>
      </c>
      <c r="BH10" s="71">
        <f t="shared" si="228"/>
        <v>2286.5429478708197</v>
      </c>
      <c r="BI10" s="71">
        <f t="shared" si="228"/>
        <v>2292.2593052404968</v>
      </c>
      <c r="BJ10" s="71">
        <f t="shared" si="228"/>
        <v>2297.9899535035979</v>
      </c>
      <c r="BK10" s="71">
        <f t="shared" si="228"/>
        <v>2303.7349283873568</v>
      </c>
      <c r="BL10" s="71">
        <f t="shared" si="228"/>
        <v>2309.4942657083252</v>
      </c>
      <c r="BM10" s="71">
        <f t="shared" si="228"/>
        <v>2315.2680013725958</v>
      </c>
      <c r="BN10" s="71">
        <f t="shared" si="228"/>
        <v>2321.0561713760271</v>
      </c>
      <c r="BO10" s="71">
        <f t="shared" si="228"/>
        <v>2326.8588118044672</v>
      </c>
      <c r="BP10" s="71">
        <f t="shared" si="228"/>
        <v>2332.6759588339783</v>
      </c>
      <c r="BQ10" s="71">
        <f t="shared" si="228"/>
        <v>2338.507648731063</v>
      </c>
      <c r="BR10" s="71">
        <f t="shared" si="228"/>
        <v>2344.3539178528904</v>
      </c>
      <c r="BS10" s="71">
        <f t="shared" si="228"/>
        <v>2350.2148026475224</v>
      </c>
      <c r="BT10" s="71">
        <f t="shared" si="228"/>
        <v>2356.0903396541412</v>
      </c>
      <c r="BU10" s="71">
        <f t="shared" si="228"/>
        <v>2361.9805655032765</v>
      </c>
      <c r="BV10" s="71">
        <f t="shared" si="228"/>
        <v>2367.8855169170347</v>
      </c>
      <c r="BW10" s="71">
        <f t="shared" si="228"/>
        <v>2373.8052307093271</v>
      </c>
      <c r="BX10" s="71">
        <f t="shared" si="228"/>
        <v>2379.7397437861005</v>
      </c>
      <c r="BY10" s="71">
        <f t="shared" si="228"/>
        <v>2385.6890931455655</v>
      </c>
      <c r="BZ10" s="71">
        <f t="shared" si="228"/>
        <v>2391.6533158784291</v>
      </c>
      <c r="CA10" s="71">
        <f t="shared" si="228"/>
        <v>2397.6324491681253</v>
      </c>
      <c r="CB10" s="71">
        <f t="shared" si="228"/>
        <v>2403.6265302910456</v>
      </c>
      <c r="CC10" s="71">
        <f t="shared" si="228"/>
        <v>2409.635596616773</v>
      </c>
      <c r="CD10" s="71">
        <f t="shared" si="228"/>
        <v>2415.6596856083147</v>
      </c>
      <c r="CE10" s="71">
        <f t="shared" si="228"/>
        <v>2421.6988348223354</v>
      </c>
      <c r="CF10" s="71">
        <f t="shared" si="228"/>
        <v>2427.7530819093909</v>
      </c>
      <c r="CG10" s="71">
        <f t="shared" si="228"/>
        <v>2433.8224646141643</v>
      </c>
      <c r="CH10" s="71">
        <f t="shared" si="228"/>
        <v>2439.9070207756995</v>
      </c>
      <c r="CI10" s="71">
        <f t="shared" si="228"/>
        <v>2446.0067883276388</v>
      </c>
      <c r="CJ10" s="71">
        <f t="shared" si="228"/>
        <v>2452.1218052984577</v>
      </c>
      <c r="CK10" s="71">
        <f t="shared" si="228"/>
        <v>2458.2521098117036</v>
      </c>
      <c r="CL10" s="71">
        <f t="shared" si="228"/>
        <v>2464.3977400862327</v>
      </c>
      <c r="CM10" s="71">
        <f t="shared" si="228"/>
        <v>2470.558734436448</v>
      </c>
      <c r="CN10" s="71">
        <f t="shared" si="228"/>
        <v>2476.7351312725391</v>
      </c>
      <c r="CO10" s="71">
        <f t="shared" si="228"/>
        <v>2482.9269691007203</v>
      </c>
      <c r="CP10" s="71">
        <f t="shared" si="228"/>
        <v>2489.1342865234719</v>
      </c>
      <c r="CQ10" s="71">
        <f t="shared" si="228"/>
        <v>2495.3571222397804</v>
      </c>
      <c r="CR10" s="71">
        <f t="shared" si="228"/>
        <v>2501.5955150453797</v>
      </c>
      <c r="CS10" s="71">
        <f t="shared" si="228"/>
        <v>2507.8495038329929</v>
      </c>
      <c r="CT10" s="71">
        <f t="shared" si="228"/>
        <v>2514.1191275925753</v>
      </c>
      <c r="CU10" s="71">
        <f t="shared" si="228"/>
        <v>2520.4044254115565</v>
      </c>
      <c r="CV10" s="71">
        <f t="shared" ref="CV10:EK10" si="229">CU10*(1+CV12)</f>
        <v>2526.7054364750852</v>
      </c>
      <c r="CW10" s="71">
        <f t="shared" si="229"/>
        <v>2533.0222000662729</v>
      </c>
      <c r="CX10" s="71">
        <f t="shared" si="229"/>
        <v>2539.3547555664386</v>
      </c>
      <c r="CY10" s="71">
        <f t="shared" si="229"/>
        <v>2545.7031424553547</v>
      </c>
      <c r="CZ10" s="71">
        <f t="shared" si="229"/>
        <v>2552.0674003114932</v>
      </c>
      <c r="DA10" s="71">
        <f t="shared" si="229"/>
        <v>2558.4475688122716</v>
      </c>
      <c r="DB10" s="71">
        <f t="shared" si="229"/>
        <v>2564.843687734302</v>
      </c>
      <c r="DC10" s="71">
        <f t="shared" si="229"/>
        <v>2571.2557969536374</v>
      </c>
      <c r="DD10" s="71">
        <f t="shared" si="229"/>
        <v>2577.6839364460216</v>
      </c>
      <c r="DE10" s="71">
        <f t="shared" si="229"/>
        <v>2584.1281462871366</v>
      </c>
      <c r="DF10" s="71">
        <f t="shared" si="229"/>
        <v>2590.5884666528541</v>
      </c>
      <c r="DG10" s="71">
        <f t="shared" si="229"/>
        <v>2597.0649378194862</v>
      </c>
      <c r="DH10" s="71">
        <f t="shared" si="229"/>
        <v>2603.5576001640347</v>
      </c>
      <c r="DI10" s="71">
        <f t="shared" si="229"/>
        <v>2610.0664941644445</v>
      </c>
      <c r="DJ10" s="71">
        <f t="shared" si="229"/>
        <v>2616.5916603998553</v>
      </c>
      <c r="DK10" s="71">
        <f t="shared" si="229"/>
        <v>2623.1331395508546</v>
      </c>
      <c r="DL10" s="71">
        <f t="shared" si="229"/>
        <v>2629.6909723997314</v>
      </c>
      <c r="DM10" s="71">
        <f t="shared" si="229"/>
        <v>2636.2651998307306</v>
      </c>
      <c r="DN10" s="71">
        <f t="shared" si="229"/>
        <v>2642.8558628303072</v>
      </c>
      <c r="DO10" s="71">
        <f t="shared" si="229"/>
        <v>2649.4630024873827</v>
      </c>
      <c r="DP10" s="71">
        <f t="shared" si="229"/>
        <v>2656.0866599936012</v>
      </c>
      <c r="DQ10" s="71">
        <f t="shared" si="229"/>
        <v>2662.726876643585</v>
      </c>
      <c r="DR10" s="71">
        <f t="shared" si="229"/>
        <v>2669.3836938351938</v>
      </c>
      <c r="DS10" s="71">
        <f t="shared" si="229"/>
        <v>2676.0571530697816</v>
      </c>
      <c r="DT10" s="71">
        <f t="shared" si="229"/>
        <v>2682.7472959524562</v>
      </c>
      <c r="DU10" s="71">
        <f t="shared" si="229"/>
        <v>2689.454164192337</v>
      </c>
      <c r="DV10" s="71">
        <f t="shared" si="229"/>
        <v>2696.1777996028177</v>
      </c>
      <c r="DW10" s="71">
        <f t="shared" si="229"/>
        <v>2702.9182441018247</v>
      </c>
      <c r="DX10" s="71">
        <f t="shared" si="229"/>
        <v>2709.6755397120792</v>
      </c>
      <c r="DY10" s="71">
        <f t="shared" si="229"/>
        <v>2716.4497285613593</v>
      </c>
      <c r="DZ10" s="71">
        <f t="shared" si="229"/>
        <v>2723.2408528827627</v>
      </c>
      <c r="EA10" s="71">
        <f t="shared" si="229"/>
        <v>2730.0489550149696</v>
      </c>
      <c r="EB10" s="71">
        <f t="shared" si="229"/>
        <v>2736.8740774025068</v>
      </c>
      <c r="EC10" s="71">
        <f t="shared" si="229"/>
        <v>2743.7162625960132</v>
      </c>
      <c r="ED10" s="71">
        <f t="shared" si="229"/>
        <v>2750.5755532525031</v>
      </c>
      <c r="EE10" s="71">
        <f t="shared" si="229"/>
        <v>2757.4519921356341</v>
      </c>
      <c r="EF10" s="71">
        <f t="shared" si="229"/>
        <v>2764.3456221159731</v>
      </c>
      <c r="EG10" s="71">
        <f t="shared" si="229"/>
        <v>2771.2564861712631</v>
      </c>
      <c r="EH10" s="71">
        <f t="shared" si="229"/>
        <v>2778.1846273866909</v>
      </c>
      <c r="EI10" s="71">
        <f t="shared" si="229"/>
        <v>2785.1300889551576</v>
      </c>
      <c r="EJ10" s="71">
        <f t="shared" si="229"/>
        <v>2792.0929141775455</v>
      </c>
      <c r="EK10" s="71">
        <f t="shared" si="229"/>
        <v>2799.0731464629894</v>
      </c>
      <c r="EM10" s="110">
        <f t="shared" si="225"/>
        <v>2053.8001333333336</v>
      </c>
      <c r="EN10" s="110">
        <f t="shared" si="224"/>
        <v>2053.8001333333336</v>
      </c>
      <c r="EO10" s="110">
        <f t="shared" si="224"/>
        <v>2116.268429697755</v>
      </c>
      <c r="EP10" s="110">
        <f t="shared" si="224"/>
        <v>2202.4884707560836</v>
      </c>
      <c r="EQ10" s="110">
        <f t="shared" si="224"/>
        <v>2269.4792651850962</v>
      </c>
      <c r="ER10" s="110">
        <f t="shared" si="224"/>
        <v>2338.507648731063</v>
      </c>
      <c r="ES10" s="110">
        <f t="shared" si="224"/>
        <v>2409.635596616773</v>
      </c>
      <c r="ET10" s="110">
        <f t="shared" si="224"/>
        <v>2482.9269691007203</v>
      </c>
      <c r="EU10" s="110">
        <f t="shared" si="224"/>
        <v>2558.4475688122716</v>
      </c>
      <c r="EV10" s="110">
        <f t="shared" si="224"/>
        <v>2636.2651998307306</v>
      </c>
      <c r="EW10" s="110">
        <f t="shared" si="224"/>
        <v>2716.4497285613593</v>
      </c>
      <c r="EX10" s="110">
        <f t="shared" si="224"/>
        <v>2799.0731464629894</v>
      </c>
    </row>
    <row r="11" spans="2:154" x14ac:dyDescent="0.3">
      <c r="B11" s="1" t="s">
        <v>122</v>
      </c>
      <c r="I11" s="71">
        <f>I10+'Inputs &amp; Drivers'!$E$74</f>
        <v>2178.8001333333336</v>
      </c>
      <c r="J11" s="71">
        <f>J10+'Inputs &amp; Drivers'!$E$74</f>
        <v>2178.8001333333336</v>
      </c>
      <c r="K11" s="71">
        <f>K10+'Inputs &amp; Drivers'!$E$74</f>
        <v>2178.8001333333336</v>
      </c>
      <c r="L11" s="71">
        <f>L10+'Inputs &amp; Drivers'!$E$74</f>
        <v>2178.8001333333336</v>
      </c>
      <c r="M11" s="71">
        <f>M10+'Inputs &amp; Drivers'!$E$74</f>
        <v>2178.8001333333336</v>
      </c>
      <c r="N11" s="71">
        <f>N10+'Inputs &amp; Drivers'!$E$74</f>
        <v>2178.8001333333336</v>
      </c>
      <c r="O11" s="71">
        <f>O10+'Inputs &amp; Drivers'!$E$74</f>
        <v>2178.8001333333336</v>
      </c>
      <c r="P11" s="71">
        <f>P10+'Inputs &amp; Drivers'!$E$74</f>
        <v>2178.8001333333336</v>
      </c>
      <c r="Q11" s="71">
        <f>Q10+'Inputs &amp; Drivers'!$E$74</f>
        <v>2178.8001333333336</v>
      </c>
      <c r="R11" s="71">
        <f>R10+'Inputs &amp; Drivers'!$E$74</f>
        <v>2178.8001333333336</v>
      </c>
      <c r="S11" s="71">
        <f>S10+'Inputs &amp; Drivers'!$E$74</f>
        <v>2178.8001333333336</v>
      </c>
      <c r="T11" s="71">
        <f>T10+'Inputs &amp; Drivers'!$E$74</f>
        <v>2178.8001333333336</v>
      </c>
      <c r="U11" s="71">
        <f>U10+'Inputs &amp; Drivers'!$E$74</f>
        <v>2178.8001333333336</v>
      </c>
      <c r="V11" s="71">
        <f>V10+'Inputs &amp; Drivers'!$E$74</f>
        <v>2183.9346336666667</v>
      </c>
      <c r="W11" s="71">
        <f>W10+'Inputs &amp; Drivers'!$E$74</f>
        <v>2189.0819702508334</v>
      </c>
      <c r="X11" s="71">
        <f>X10+'Inputs &amp; Drivers'!$E$74</f>
        <v>2194.2421751764605</v>
      </c>
      <c r="Y11" s="71">
        <f>Y10+'Inputs &amp; Drivers'!$E$74</f>
        <v>2199.4152806144016</v>
      </c>
      <c r="Z11" s="71">
        <f>Z10+'Inputs &amp; Drivers'!$E$74</f>
        <v>2204.6013188159372</v>
      </c>
      <c r="AA11" s="71">
        <f>AA10+'Inputs &amp; Drivers'!$E$74</f>
        <v>2209.800322112977</v>
      </c>
      <c r="AB11" s="71">
        <f>AB10+'Inputs &amp; Drivers'!$E$74</f>
        <v>2215.0123229182595</v>
      </c>
      <c r="AC11" s="71">
        <f>AC10+'Inputs &amp; Drivers'!$E$74</f>
        <v>2220.2373537255553</v>
      </c>
      <c r="AD11" s="71">
        <f>AD10+'Inputs &amp; Drivers'!$E$74</f>
        <v>2225.475447109869</v>
      </c>
      <c r="AE11" s="71">
        <f>AE10+'Inputs &amp; Drivers'!$E$74</f>
        <v>2230.7266357276435</v>
      </c>
      <c r="AF11" s="71">
        <f>AF10+'Inputs &amp; Drivers'!$E$74</f>
        <v>2235.9909523169626</v>
      </c>
      <c r="AG11" s="71">
        <f>AG10+'Inputs &amp; Drivers'!$E$74</f>
        <v>2241.268429697755</v>
      </c>
      <c r="AH11" s="71">
        <f>AH10+'Inputs &amp; Drivers'!$E$74</f>
        <v>2248.3226577967475</v>
      </c>
      <c r="AI11" s="71">
        <f>AI10+'Inputs &amp; Drivers'!$E$74</f>
        <v>2255.4003999894035</v>
      </c>
      <c r="AJ11" s="71">
        <f>AJ10+'Inputs &amp; Drivers'!$E$74</f>
        <v>2262.5017346560348</v>
      </c>
      <c r="AK11" s="71">
        <f>AK10+'Inputs &amp; Drivers'!$E$74</f>
        <v>2269.626740438222</v>
      </c>
      <c r="AL11" s="71">
        <f>AL10+'Inputs &amp; Drivers'!$E$74</f>
        <v>2276.775496239683</v>
      </c>
      <c r="AM11" s="71">
        <f>AM10+'Inputs &amp; Drivers'!$E$74</f>
        <v>2283.9480812271486</v>
      </c>
      <c r="AN11" s="71">
        <f>AN10+'Inputs &amp; Drivers'!$E$74</f>
        <v>2291.1445748312394</v>
      </c>
      <c r="AO11" s="71">
        <f>AO10+'Inputs &amp; Drivers'!$E$74</f>
        <v>2298.3650567473437</v>
      </c>
      <c r="AP11" s="71">
        <f>AP10+'Inputs &amp; Drivers'!$E$74</f>
        <v>2305.6096069365017</v>
      </c>
      <c r="AQ11" s="71">
        <f>AQ10+'Inputs &amp; Drivers'!$E$74</f>
        <v>2312.8783056262901</v>
      </c>
      <c r="AR11" s="71">
        <f>AR10+'Inputs &amp; Drivers'!$E$74</f>
        <v>2320.1712333117111</v>
      </c>
      <c r="AS11" s="71">
        <f>AS10+'Inputs &amp; Drivers'!$E$74</f>
        <v>2327.4884707560836</v>
      </c>
      <c r="AT11" s="71">
        <f>AT10+'Inputs &amp; Drivers'!$E$74</f>
        <v>2332.9946919329736</v>
      </c>
      <c r="AU11" s="71">
        <f>AU10+'Inputs &amp; Drivers'!$E$74</f>
        <v>2338.5146786628061</v>
      </c>
      <c r="AV11" s="71">
        <f>AV10+'Inputs &amp; Drivers'!$E$74</f>
        <v>2344.0484653594631</v>
      </c>
      <c r="AW11" s="71">
        <f>AW10+'Inputs &amp; Drivers'!$E$74</f>
        <v>2349.5960865228617</v>
      </c>
      <c r="AX11" s="71">
        <f>AX10+'Inputs &amp; Drivers'!$E$74</f>
        <v>2355.1575767391687</v>
      </c>
      <c r="AY11" s="71">
        <f>AY10+'Inputs &amp; Drivers'!$E$74</f>
        <v>2360.7329706810165</v>
      </c>
      <c r="AZ11" s="71">
        <f>AZ10+'Inputs &amp; Drivers'!$E$74</f>
        <v>2366.3223031077191</v>
      </c>
      <c r="BA11" s="71">
        <f>BA10+'Inputs &amp; Drivers'!$E$74</f>
        <v>2371.9256088654884</v>
      </c>
      <c r="BB11" s="71">
        <f>BB10+'Inputs &amp; Drivers'!$E$74</f>
        <v>2377.5429228876519</v>
      </c>
      <c r="BC11" s="71">
        <f>BC10+'Inputs &amp; Drivers'!$E$74</f>
        <v>2383.1742801948708</v>
      </c>
      <c r="BD11" s="71">
        <f>BD10+'Inputs &amp; Drivers'!$E$74</f>
        <v>2388.8197158953581</v>
      </c>
      <c r="BE11" s="71">
        <f>BE10+'Inputs &amp; Drivers'!$E$74</f>
        <v>2394.4792651850962</v>
      </c>
      <c r="BF11" s="71">
        <f>BF10+'Inputs &amp; Drivers'!$E$74</f>
        <v>2400.1529633480586</v>
      </c>
      <c r="BG11" s="71">
        <f>BG10+'Inputs &amp; Drivers'!$E$74</f>
        <v>2405.8408457564287</v>
      </c>
      <c r="BH11" s="71">
        <f>BH10+'Inputs &amp; Drivers'!$E$74</f>
        <v>2411.5429478708197</v>
      </c>
      <c r="BI11" s="71">
        <f>BI10+'Inputs &amp; Drivers'!$E$74</f>
        <v>2417.2593052404968</v>
      </c>
      <c r="BJ11" s="71">
        <f>BJ10+'Inputs &amp; Drivers'!$E$74</f>
        <v>2422.9899535035979</v>
      </c>
      <c r="BK11" s="71">
        <f>BK10+'Inputs &amp; Drivers'!$E$74</f>
        <v>2428.7349283873568</v>
      </c>
      <c r="BL11" s="71">
        <f>BL10+'Inputs &amp; Drivers'!$E$74</f>
        <v>2434.4942657083252</v>
      </c>
      <c r="BM11" s="71">
        <f>BM10+'Inputs &amp; Drivers'!$E$74</f>
        <v>2440.2680013725958</v>
      </c>
      <c r="BN11" s="71">
        <f>BN10+'Inputs &amp; Drivers'!$E$74</f>
        <v>2446.0561713760271</v>
      </c>
      <c r="BO11" s="71">
        <f>BO10+'Inputs &amp; Drivers'!$E$74</f>
        <v>2451.8588118044672</v>
      </c>
      <c r="BP11" s="71">
        <f>BP10+'Inputs &amp; Drivers'!$E$74</f>
        <v>2457.6759588339783</v>
      </c>
      <c r="BQ11" s="71">
        <f>BQ10+'Inputs &amp; Drivers'!$E$74</f>
        <v>2463.507648731063</v>
      </c>
      <c r="BR11" s="71">
        <f>BR10+'Inputs &amp; Drivers'!$E$74</f>
        <v>2469.3539178528904</v>
      </c>
      <c r="BS11" s="71">
        <f>BS10+'Inputs &amp; Drivers'!$E$74</f>
        <v>2475.2148026475224</v>
      </c>
      <c r="BT11" s="71">
        <f>BT10+'Inputs &amp; Drivers'!$E$74</f>
        <v>2481.0903396541412</v>
      </c>
      <c r="BU11" s="71">
        <f>BU10+'Inputs &amp; Drivers'!$E$74</f>
        <v>2486.9805655032765</v>
      </c>
      <c r="BV11" s="71">
        <f>BV10+'Inputs &amp; Drivers'!$E$74</f>
        <v>2492.8855169170347</v>
      </c>
      <c r="BW11" s="71">
        <f>BW10+'Inputs &amp; Drivers'!$E$74</f>
        <v>2498.8052307093271</v>
      </c>
      <c r="BX11" s="71">
        <f>BX10+'Inputs &amp; Drivers'!$E$74</f>
        <v>2504.7397437861005</v>
      </c>
      <c r="BY11" s="71">
        <f>BY10+'Inputs &amp; Drivers'!$E$74</f>
        <v>2510.6890931455655</v>
      </c>
      <c r="BZ11" s="71">
        <f>BZ10+'Inputs &amp; Drivers'!$E$74</f>
        <v>2516.6533158784291</v>
      </c>
      <c r="CA11" s="71">
        <f>CA10+'Inputs &amp; Drivers'!$E$74</f>
        <v>2522.6324491681253</v>
      </c>
      <c r="CB11" s="71">
        <f>CB10+'Inputs &amp; Drivers'!$E$74</f>
        <v>2528.6265302910456</v>
      </c>
      <c r="CC11" s="71">
        <f>CC10+'Inputs &amp; Drivers'!$E$74</f>
        <v>2534.635596616773</v>
      </c>
      <c r="CD11" s="71">
        <f>CD10+'Inputs &amp; Drivers'!$E$74</f>
        <v>2540.6596856083147</v>
      </c>
      <c r="CE11" s="71">
        <f>CE10+'Inputs &amp; Drivers'!$E$74</f>
        <v>2546.6988348223354</v>
      </c>
      <c r="CF11" s="71">
        <f>CF10+'Inputs &amp; Drivers'!$E$74</f>
        <v>2552.7530819093909</v>
      </c>
      <c r="CG11" s="71">
        <f>CG10+'Inputs &amp; Drivers'!$E$74</f>
        <v>2558.8224646141643</v>
      </c>
      <c r="CH11" s="71">
        <f>CH10+'Inputs &amp; Drivers'!$E$74</f>
        <v>2564.9070207756995</v>
      </c>
      <c r="CI11" s="71">
        <f>CI10+'Inputs &amp; Drivers'!$E$74</f>
        <v>2571.0067883276388</v>
      </c>
      <c r="CJ11" s="71">
        <f>CJ10+'Inputs &amp; Drivers'!$E$74</f>
        <v>2577.1218052984577</v>
      </c>
      <c r="CK11" s="71">
        <f>CK10+'Inputs &amp; Drivers'!$E$74</f>
        <v>2583.2521098117036</v>
      </c>
      <c r="CL11" s="71">
        <f>CL10+'Inputs &amp; Drivers'!$E$74</f>
        <v>2589.3977400862327</v>
      </c>
      <c r="CM11" s="71">
        <f>CM10+'Inputs &amp; Drivers'!$E$74</f>
        <v>2595.558734436448</v>
      </c>
      <c r="CN11" s="71">
        <f>CN10+'Inputs &amp; Drivers'!$E$74</f>
        <v>2601.7351312725391</v>
      </c>
      <c r="CO11" s="71">
        <f>CO10+'Inputs &amp; Drivers'!$E$74</f>
        <v>2607.9269691007203</v>
      </c>
      <c r="CP11" s="71">
        <f>CP10+'Inputs &amp; Drivers'!$E$74</f>
        <v>2614.1342865234719</v>
      </c>
      <c r="CQ11" s="71">
        <f>CQ10+'Inputs &amp; Drivers'!$E$74</f>
        <v>2620.3571222397804</v>
      </c>
      <c r="CR11" s="71">
        <f>CR10+'Inputs &amp; Drivers'!$E$74</f>
        <v>2626.5955150453797</v>
      </c>
      <c r="CS11" s="71">
        <f>CS10+'Inputs &amp; Drivers'!$E$74</f>
        <v>2632.8495038329929</v>
      </c>
      <c r="CT11" s="71">
        <f>CT10+'Inputs &amp; Drivers'!$E$74</f>
        <v>2639.1191275925753</v>
      </c>
      <c r="CU11" s="71">
        <f>CU10+'Inputs &amp; Drivers'!$E$74</f>
        <v>2645.4044254115565</v>
      </c>
      <c r="CV11" s="71">
        <f>CV10+'Inputs &amp; Drivers'!$E$74</f>
        <v>2651.7054364750852</v>
      </c>
      <c r="CW11" s="71">
        <f>CW10+'Inputs &amp; Drivers'!$E$74</f>
        <v>2658.0222000662729</v>
      </c>
      <c r="CX11" s="71">
        <f>CX10+'Inputs &amp; Drivers'!$E$74</f>
        <v>2664.3547555664386</v>
      </c>
      <c r="CY11" s="71">
        <f>CY10+'Inputs &amp; Drivers'!$E$74</f>
        <v>2670.7031424553547</v>
      </c>
      <c r="CZ11" s="71">
        <f>CZ10+'Inputs &amp; Drivers'!$E$74</f>
        <v>2677.0674003114932</v>
      </c>
      <c r="DA11" s="71">
        <f>DA10+'Inputs &amp; Drivers'!$E$74</f>
        <v>2683.4475688122716</v>
      </c>
      <c r="DB11" s="71">
        <f>DB10+'Inputs &amp; Drivers'!$E$74</f>
        <v>2689.843687734302</v>
      </c>
      <c r="DC11" s="71">
        <f>DC10+'Inputs &amp; Drivers'!$E$74</f>
        <v>2696.2557969536374</v>
      </c>
      <c r="DD11" s="71">
        <f>DD10+'Inputs &amp; Drivers'!$E$74</f>
        <v>2702.6839364460216</v>
      </c>
      <c r="DE11" s="71">
        <f>DE10+'Inputs &amp; Drivers'!$E$74</f>
        <v>2709.1281462871366</v>
      </c>
      <c r="DF11" s="71">
        <f>DF10+'Inputs &amp; Drivers'!$E$74</f>
        <v>2715.5884666528541</v>
      </c>
      <c r="DG11" s="71">
        <f>DG10+'Inputs &amp; Drivers'!$E$74</f>
        <v>2722.0649378194862</v>
      </c>
      <c r="DH11" s="71">
        <f>DH10+'Inputs &amp; Drivers'!$E$74</f>
        <v>2728.5576001640347</v>
      </c>
      <c r="DI11" s="71">
        <f>DI10+'Inputs &amp; Drivers'!$E$74</f>
        <v>2735.0664941644445</v>
      </c>
      <c r="DJ11" s="71">
        <f>DJ10+'Inputs &amp; Drivers'!$E$74</f>
        <v>2741.5916603998553</v>
      </c>
      <c r="DK11" s="71">
        <f>DK10+'Inputs &amp; Drivers'!$E$74</f>
        <v>2748.1331395508546</v>
      </c>
      <c r="DL11" s="71">
        <f>DL10+'Inputs &amp; Drivers'!$E$74</f>
        <v>2754.6909723997314</v>
      </c>
      <c r="DM11" s="71">
        <f>DM10+'Inputs &amp; Drivers'!$E$74</f>
        <v>2761.2651998307306</v>
      </c>
      <c r="DN11" s="71">
        <f>DN10+'Inputs &amp; Drivers'!$E$74</f>
        <v>2767.8558628303072</v>
      </c>
      <c r="DO11" s="71">
        <f>DO10+'Inputs &amp; Drivers'!$E$74</f>
        <v>2774.4630024873827</v>
      </c>
      <c r="DP11" s="71">
        <f>DP10+'Inputs &amp; Drivers'!$E$74</f>
        <v>2781.0866599936012</v>
      </c>
      <c r="DQ11" s="71">
        <f>DQ10+'Inputs &amp; Drivers'!$E$74</f>
        <v>2787.726876643585</v>
      </c>
      <c r="DR11" s="71">
        <f>DR10+'Inputs &amp; Drivers'!$E$74</f>
        <v>2794.3836938351938</v>
      </c>
      <c r="DS11" s="71">
        <f>DS10+'Inputs &amp; Drivers'!$E$74</f>
        <v>2801.0571530697816</v>
      </c>
      <c r="DT11" s="71">
        <f>DT10+'Inputs &amp; Drivers'!$E$74</f>
        <v>2807.7472959524562</v>
      </c>
      <c r="DU11" s="71">
        <f>DU10+'Inputs &amp; Drivers'!$E$74</f>
        <v>2814.454164192337</v>
      </c>
      <c r="DV11" s="71">
        <f>DV10+'Inputs &amp; Drivers'!$E$74</f>
        <v>2821.1777996028177</v>
      </c>
      <c r="DW11" s="71">
        <f>DW10+'Inputs &amp; Drivers'!$E$74</f>
        <v>2827.9182441018247</v>
      </c>
      <c r="DX11" s="71">
        <f>DX10+'Inputs &amp; Drivers'!$E$74</f>
        <v>2834.6755397120792</v>
      </c>
      <c r="DY11" s="71">
        <f>DY10+'Inputs &amp; Drivers'!$E$74</f>
        <v>2841.4497285613593</v>
      </c>
      <c r="DZ11" s="71">
        <f>DZ10+'Inputs &amp; Drivers'!$E$74</f>
        <v>2848.2408528827627</v>
      </c>
      <c r="EA11" s="71">
        <f>EA10+'Inputs &amp; Drivers'!$E$74</f>
        <v>2855.0489550149696</v>
      </c>
      <c r="EB11" s="71">
        <f>EB10+'Inputs &amp; Drivers'!$E$74</f>
        <v>2861.8740774025068</v>
      </c>
      <c r="EC11" s="71">
        <f>EC10+'Inputs &amp; Drivers'!$E$74</f>
        <v>2868.7162625960132</v>
      </c>
      <c r="ED11" s="71">
        <f>ED10+'Inputs &amp; Drivers'!$E$74</f>
        <v>2875.5755532525031</v>
      </c>
      <c r="EE11" s="71">
        <f>EE10+'Inputs &amp; Drivers'!$E$74</f>
        <v>2882.4519921356341</v>
      </c>
      <c r="EF11" s="71">
        <f>EF10+'Inputs &amp; Drivers'!$E$74</f>
        <v>2889.3456221159731</v>
      </c>
      <c r="EG11" s="71">
        <f>EG10+'Inputs &amp; Drivers'!$E$74</f>
        <v>2896.2564861712631</v>
      </c>
      <c r="EH11" s="71">
        <f>EH10+'Inputs &amp; Drivers'!$E$74</f>
        <v>2903.1846273866909</v>
      </c>
      <c r="EI11" s="71">
        <f>EI10+'Inputs &amp; Drivers'!$E$74</f>
        <v>2910.1300889551576</v>
      </c>
      <c r="EJ11" s="71">
        <f>EJ10+'Inputs &amp; Drivers'!$E$74</f>
        <v>2917.0929141775455</v>
      </c>
      <c r="EK11" s="71">
        <f>EK10+'Inputs &amp; Drivers'!$E$74</f>
        <v>2924.0731464629894</v>
      </c>
      <c r="EM11" s="110">
        <f t="shared" si="225"/>
        <v>2178.8001333333336</v>
      </c>
      <c r="EN11" s="110">
        <f t="shared" si="224"/>
        <v>2178.8001333333336</v>
      </c>
      <c r="EO11" s="110">
        <f t="shared" si="224"/>
        <v>2241.268429697755</v>
      </c>
      <c r="EP11" s="110">
        <f t="shared" si="224"/>
        <v>2327.4884707560836</v>
      </c>
      <c r="EQ11" s="110">
        <f t="shared" si="224"/>
        <v>2394.4792651850962</v>
      </c>
      <c r="ER11" s="110">
        <f t="shared" si="224"/>
        <v>2463.507648731063</v>
      </c>
      <c r="ES11" s="110">
        <f t="shared" si="224"/>
        <v>2534.635596616773</v>
      </c>
      <c r="ET11" s="110">
        <f t="shared" si="224"/>
        <v>2607.9269691007203</v>
      </c>
      <c r="EU11" s="110">
        <f t="shared" si="224"/>
        <v>2683.4475688122716</v>
      </c>
      <c r="EV11" s="110">
        <f t="shared" si="224"/>
        <v>2761.2651998307306</v>
      </c>
      <c r="EW11" s="110">
        <f t="shared" si="224"/>
        <v>2841.4497285613593</v>
      </c>
      <c r="EX11" s="110">
        <f t="shared" si="224"/>
        <v>2924.0731464629894</v>
      </c>
    </row>
    <row r="12" spans="2:154" x14ac:dyDescent="0.3">
      <c r="B12" s="1" t="s">
        <v>89</v>
      </c>
      <c r="J12" s="48">
        <f>INDEX('Inputs &amp; Drivers'!$E$52:$E$62,MATCH(Model!J$4,'Inputs &amp; Drivers'!$B$52:$B$62,0))/12</f>
        <v>0</v>
      </c>
      <c r="K12" s="48">
        <f>INDEX('Inputs &amp; Drivers'!$E$52:$E$62,MATCH(Model!K$4,'Inputs &amp; Drivers'!$B$52:$B$62,0))/12</f>
        <v>0</v>
      </c>
      <c r="L12" s="48">
        <f>INDEX('Inputs &amp; Drivers'!$E$52:$E$62,MATCH(Model!L$4,'Inputs &amp; Drivers'!$B$52:$B$62,0))/12</f>
        <v>0</v>
      </c>
      <c r="M12" s="48">
        <f>INDEX('Inputs &amp; Drivers'!$E$52:$E$62,MATCH(Model!M$4,'Inputs &amp; Drivers'!$B$52:$B$62,0))/12</f>
        <v>0</v>
      </c>
      <c r="N12" s="48">
        <f>INDEX('Inputs &amp; Drivers'!$E$52:$E$62,MATCH(Model!N$4,'Inputs &amp; Drivers'!$B$52:$B$62,0))/12</f>
        <v>0</v>
      </c>
      <c r="O12" s="48">
        <f>INDEX('Inputs &amp; Drivers'!$E$52:$E$62,MATCH(Model!O$4,'Inputs &amp; Drivers'!$B$52:$B$62,0))/12</f>
        <v>0</v>
      </c>
      <c r="P12" s="48">
        <f>INDEX('Inputs &amp; Drivers'!$E$52:$E$62,MATCH(Model!P$4,'Inputs &amp; Drivers'!$B$52:$B$62,0))/12</f>
        <v>0</v>
      </c>
      <c r="Q12" s="48">
        <f>INDEX('Inputs &amp; Drivers'!$E$52:$E$62,MATCH(Model!Q$4,'Inputs &amp; Drivers'!$B$52:$B$62,0))/12</f>
        <v>0</v>
      </c>
      <c r="R12" s="48">
        <f>INDEX('Inputs &amp; Drivers'!$E$52:$E$62,MATCH(Model!R$4,'Inputs &amp; Drivers'!$B$52:$B$62,0))/12</f>
        <v>0</v>
      </c>
      <c r="S12" s="48">
        <f>INDEX('Inputs &amp; Drivers'!$E$52:$E$62,MATCH(Model!S$4,'Inputs &amp; Drivers'!$B$52:$B$62,0))/12</f>
        <v>0</v>
      </c>
      <c r="T12" s="48">
        <f>INDEX('Inputs &amp; Drivers'!$E$52:$E$62,MATCH(Model!T$4,'Inputs &amp; Drivers'!$B$52:$B$62,0))/12</f>
        <v>0</v>
      </c>
      <c r="U12" s="48">
        <f>INDEX('Inputs &amp; Drivers'!$E$52:$E$62,MATCH(Model!U$4,'Inputs &amp; Drivers'!$B$52:$B$62,0))/12</f>
        <v>0</v>
      </c>
      <c r="V12" s="48">
        <f>INDEX('Inputs &amp; Drivers'!$E$52:$E$62,MATCH(Model!V$4,'Inputs &amp; Drivers'!$B$52:$B$62,0))/12</f>
        <v>2.5000000000000001E-3</v>
      </c>
      <c r="W12" s="48">
        <f>INDEX('Inputs &amp; Drivers'!$E$52:$E$62,MATCH(Model!W$4,'Inputs &amp; Drivers'!$B$52:$B$62,0))/12</f>
        <v>2.5000000000000001E-3</v>
      </c>
      <c r="X12" s="48">
        <f>INDEX('Inputs &amp; Drivers'!$E$52:$E$62,MATCH(Model!X$4,'Inputs &amp; Drivers'!$B$52:$B$62,0))/12</f>
        <v>2.5000000000000001E-3</v>
      </c>
      <c r="Y12" s="48">
        <f>INDEX('Inputs &amp; Drivers'!$E$52:$E$62,MATCH(Model!Y$4,'Inputs &amp; Drivers'!$B$52:$B$62,0))/12</f>
        <v>2.5000000000000001E-3</v>
      </c>
      <c r="Z12" s="48">
        <f>INDEX('Inputs &amp; Drivers'!$E$52:$E$62,MATCH(Model!Z$4,'Inputs &amp; Drivers'!$B$52:$B$62,0))/12</f>
        <v>2.5000000000000001E-3</v>
      </c>
      <c r="AA12" s="48">
        <f>INDEX('Inputs &amp; Drivers'!$E$52:$E$62,MATCH(Model!AA$4,'Inputs &amp; Drivers'!$B$52:$B$62,0))/12</f>
        <v>2.5000000000000001E-3</v>
      </c>
      <c r="AB12" s="48">
        <f>INDEX('Inputs &amp; Drivers'!$E$52:$E$62,MATCH(Model!AB$4,'Inputs &amp; Drivers'!$B$52:$B$62,0))/12</f>
        <v>2.5000000000000001E-3</v>
      </c>
      <c r="AC12" s="48">
        <f>INDEX('Inputs &amp; Drivers'!$E$52:$E$62,MATCH(Model!AC$4,'Inputs &amp; Drivers'!$B$52:$B$62,0))/12</f>
        <v>2.5000000000000001E-3</v>
      </c>
      <c r="AD12" s="48">
        <f>INDEX('Inputs &amp; Drivers'!$E$52:$E$62,MATCH(Model!AD$4,'Inputs &amp; Drivers'!$B$52:$B$62,0))/12</f>
        <v>2.5000000000000001E-3</v>
      </c>
      <c r="AE12" s="48">
        <f>INDEX('Inputs &amp; Drivers'!$E$52:$E$62,MATCH(Model!AE$4,'Inputs &amp; Drivers'!$B$52:$B$62,0))/12</f>
        <v>2.5000000000000001E-3</v>
      </c>
      <c r="AF12" s="48">
        <f>INDEX('Inputs &amp; Drivers'!$E$52:$E$62,MATCH(Model!AF$4,'Inputs &amp; Drivers'!$B$52:$B$62,0))/12</f>
        <v>2.5000000000000001E-3</v>
      </c>
      <c r="AG12" s="48">
        <f>INDEX('Inputs &amp; Drivers'!$E$52:$E$62,MATCH(Model!AG$4,'Inputs &amp; Drivers'!$B$52:$B$62,0))/12</f>
        <v>2.5000000000000001E-3</v>
      </c>
      <c r="AH12" s="48">
        <f>INDEX('Inputs &amp; Drivers'!$E$52:$E$62,MATCH(Model!AH$4,'Inputs &amp; Drivers'!$B$52:$B$62,0))/12</f>
        <v>3.3333333333333335E-3</v>
      </c>
      <c r="AI12" s="48">
        <f>INDEX('Inputs &amp; Drivers'!$E$52:$E$62,MATCH(Model!AI$4,'Inputs &amp; Drivers'!$B$52:$B$62,0))/12</f>
        <v>3.3333333333333335E-3</v>
      </c>
      <c r="AJ12" s="48">
        <f>INDEX('Inputs &amp; Drivers'!$E$52:$E$62,MATCH(Model!AJ$4,'Inputs &amp; Drivers'!$B$52:$B$62,0))/12</f>
        <v>3.3333333333333335E-3</v>
      </c>
      <c r="AK12" s="48">
        <f>INDEX('Inputs &amp; Drivers'!$E$52:$E$62,MATCH(Model!AK$4,'Inputs &amp; Drivers'!$B$52:$B$62,0))/12</f>
        <v>3.3333333333333335E-3</v>
      </c>
      <c r="AL12" s="48">
        <f>INDEX('Inputs &amp; Drivers'!$E$52:$E$62,MATCH(Model!AL$4,'Inputs &amp; Drivers'!$B$52:$B$62,0))/12</f>
        <v>3.3333333333333335E-3</v>
      </c>
      <c r="AM12" s="48">
        <f>INDEX('Inputs &amp; Drivers'!$E$52:$E$62,MATCH(Model!AM$4,'Inputs &amp; Drivers'!$B$52:$B$62,0))/12</f>
        <v>3.3333333333333335E-3</v>
      </c>
      <c r="AN12" s="48">
        <f>INDEX('Inputs &amp; Drivers'!$E$52:$E$62,MATCH(Model!AN$4,'Inputs &amp; Drivers'!$B$52:$B$62,0))/12</f>
        <v>3.3333333333333335E-3</v>
      </c>
      <c r="AO12" s="48">
        <f>INDEX('Inputs &amp; Drivers'!$E$52:$E$62,MATCH(Model!AO$4,'Inputs &amp; Drivers'!$B$52:$B$62,0))/12</f>
        <v>3.3333333333333335E-3</v>
      </c>
      <c r="AP12" s="48">
        <f>INDEX('Inputs &amp; Drivers'!$E$52:$E$62,MATCH(Model!AP$4,'Inputs &amp; Drivers'!$B$52:$B$62,0))/12</f>
        <v>3.3333333333333335E-3</v>
      </c>
      <c r="AQ12" s="48">
        <f>INDEX('Inputs &amp; Drivers'!$E$52:$E$62,MATCH(Model!AQ$4,'Inputs &amp; Drivers'!$B$52:$B$62,0))/12</f>
        <v>3.3333333333333335E-3</v>
      </c>
      <c r="AR12" s="48">
        <f>INDEX('Inputs &amp; Drivers'!$E$52:$E$62,MATCH(Model!AR$4,'Inputs &amp; Drivers'!$B$52:$B$62,0))/12</f>
        <v>3.3333333333333335E-3</v>
      </c>
      <c r="AS12" s="48">
        <f>INDEX('Inputs &amp; Drivers'!$E$52:$E$62,MATCH(Model!AS$4,'Inputs &amp; Drivers'!$B$52:$B$62,0))/12</f>
        <v>3.3333333333333335E-3</v>
      </c>
      <c r="AT12" s="48">
        <f>INDEX('Inputs &amp; Drivers'!$E$52:$E$62,MATCH(Model!AT$4,'Inputs &amp; Drivers'!$B$52:$B$62,0))/12</f>
        <v>2.5000000000000001E-3</v>
      </c>
      <c r="AU12" s="48">
        <f>INDEX('Inputs &amp; Drivers'!$E$52:$E$62,MATCH(Model!AU$4,'Inputs &amp; Drivers'!$B$52:$B$62,0))/12</f>
        <v>2.5000000000000001E-3</v>
      </c>
      <c r="AV12" s="48">
        <f>INDEX('Inputs &amp; Drivers'!$E$52:$E$62,MATCH(Model!AV$4,'Inputs &amp; Drivers'!$B$52:$B$62,0))/12</f>
        <v>2.5000000000000001E-3</v>
      </c>
      <c r="AW12" s="48">
        <f>INDEX('Inputs &amp; Drivers'!$E$52:$E$62,MATCH(Model!AW$4,'Inputs &amp; Drivers'!$B$52:$B$62,0))/12</f>
        <v>2.5000000000000001E-3</v>
      </c>
      <c r="AX12" s="48">
        <f>INDEX('Inputs &amp; Drivers'!$E$52:$E$62,MATCH(Model!AX$4,'Inputs &amp; Drivers'!$B$52:$B$62,0))/12</f>
        <v>2.5000000000000001E-3</v>
      </c>
      <c r="AY12" s="48">
        <f>INDEX('Inputs &amp; Drivers'!$E$52:$E$62,MATCH(Model!AY$4,'Inputs &amp; Drivers'!$B$52:$B$62,0))/12</f>
        <v>2.5000000000000001E-3</v>
      </c>
      <c r="AZ12" s="48">
        <f>INDEX('Inputs &amp; Drivers'!$E$52:$E$62,MATCH(Model!AZ$4,'Inputs &amp; Drivers'!$B$52:$B$62,0))/12</f>
        <v>2.5000000000000001E-3</v>
      </c>
      <c r="BA12" s="48">
        <f>INDEX('Inputs &amp; Drivers'!$E$52:$E$62,MATCH(Model!BA$4,'Inputs &amp; Drivers'!$B$52:$B$62,0))/12</f>
        <v>2.5000000000000001E-3</v>
      </c>
      <c r="BB12" s="48">
        <f>INDEX('Inputs &amp; Drivers'!$E$52:$E$62,MATCH(Model!BB$4,'Inputs &amp; Drivers'!$B$52:$B$62,0))/12</f>
        <v>2.5000000000000001E-3</v>
      </c>
      <c r="BC12" s="48">
        <f>INDEX('Inputs &amp; Drivers'!$E$52:$E$62,MATCH(Model!BC$4,'Inputs &amp; Drivers'!$B$52:$B$62,0))/12</f>
        <v>2.5000000000000001E-3</v>
      </c>
      <c r="BD12" s="48">
        <f>INDEX('Inputs &amp; Drivers'!$E$52:$E$62,MATCH(Model!BD$4,'Inputs &amp; Drivers'!$B$52:$B$62,0))/12</f>
        <v>2.5000000000000001E-3</v>
      </c>
      <c r="BE12" s="48">
        <f>INDEX('Inputs &amp; Drivers'!$E$52:$E$62,MATCH(Model!BE$4,'Inputs &amp; Drivers'!$B$52:$B$62,0))/12</f>
        <v>2.5000000000000001E-3</v>
      </c>
      <c r="BF12" s="48">
        <f>INDEX('Inputs &amp; Drivers'!$E$52:$E$62,MATCH(Model!BF$4,'Inputs &amp; Drivers'!$B$52:$B$62,0))/12</f>
        <v>2.5000000000000001E-3</v>
      </c>
      <c r="BG12" s="48">
        <f>INDEX('Inputs &amp; Drivers'!$E$52:$E$62,MATCH(Model!BG$4,'Inputs &amp; Drivers'!$B$52:$B$62,0))/12</f>
        <v>2.5000000000000001E-3</v>
      </c>
      <c r="BH12" s="48">
        <f>INDEX('Inputs &amp; Drivers'!$E$52:$E$62,MATCH(Model!BH$4,'Inputs &amp; Drivers'!$B$52:$B$62,0))/12</f>
        <v>2.5000000000000001E-3</v>
      </c>
      <c r="BI12" s="48">
        <f>INDEX('Inputs &amp; Drivers'!$E$52:$E$62,MATCH(Model!BI$4,'Inputs &amp; Drivers'!$B$52:$B$62,0))/12</f>
        <v>2.5000000000000001E-3</v>
      </c>
      <c r="BJ12" s="48">
        <f>INDEX('Inputs &amp; Drivers'!$E$52:$E$62,MATCH(Model!BJ$4,'Inputs &amp; Drivers'!$B$52:$B$62,0))/12</f>
        <v>2.5000000000000001E-3</v>
      </c>
      <c r="BK12" s="48">
        <f>INDEX('Inputs &amp; Drivers'!$E$52:$E$62,MATCH(Model!BK$4,'Inputs &amp; Drivers'!$B$52:$B$62,0))/12</f>
        <v>2.5000000000000001E-3</v>
      </c>
      <c r="BL12" s="48">
        <f>INDEX('Inputs &amp; Drivers'!$E$52:$E$62,MATCH(Model!BL$4,'Inputs &amp; Drivers'!$B$52:$B$62,0))/12</f>
        <v>2.5000000000000001E-3</v>
      </c>
      <c r="BM12" s="48">
        <f>INDEX('Inputs &amp; Drivers'!$E$52:$E$62,MATCH(Model!BM$4,'Inputs &amp; Drivers'!$B$52:$B$62,0))/12</f>
        <v>2.5000000000000001E-3</v>
      </c>
      <c r="BN12" s="48">
        <f>INDEX('Inputs &amp; Drivers'!$E$52:$E$62,MATCH(Model!BN$4,'Inputs &amp; Drivers'!$B$52:$B$62,0))/12</f>
        <v>2.5000000000000001E-3</v>
      </c>
      <c r="BO12" s="48">
        <f>INDEX('Inputs &amp; Drivers'!$E$52:$E$62,MATCH(Model!BO$4,'Inputs &amp; Drivers'!$B$52:$B$62,0))/12</f>
        <v>2.5000000000000001E-3</v>
      </c>
      <c r="BP12" s="48">
        <f>INDEX('Inputs &amp; Drivers'!$E$52:$E$62,MATCH(Model!BP$4,'Inputs &amp; Drivers'!$B$52:$B$62,0))/12</f>
        <v>2.5000000000000001E-3</v>
      </c>
      <c r="BQ12" s="48">
        <f>INDEX('Inputs &amp; Drivers'!$E$52:$E$62,MATCH(Model!BQ$4,'Inputs &amp; Drivers'!$B$52:$B$62,0))/12</f>
        <v>2.5000000000000001E-3</v>
      </c>
      <c r="BR12" s="48">
        <f>INDEX('Inputs &amp; Drivers'!$E$52:$E$62,MATCH(Model!BR$4,'Inputs &amp; Drivers'!$B$52:$B$62,0))/12</f>
        <v>2.5000000000000001E-3</v>
      </c>
      <c r="BS12" s="48">
        <f>INDEX('Inputs &amp; Drivers'!$E$52:$E$62,MATCH(Model!BS$4,'Inputs &amp; Drivers'!$B$52:$B$62,0))/12</f>
        <v>2.5000000000000001E-3</v>
      </c>
      <c r="BT12" s="48">
        <f>INDEX('Inputs &amp; Drivers'!$E$52:$E$62,MATCH(Model!BT$4,'Inputs &amp; Drivers'!$B$52:$B$62,0))/12</f>
        <v>2.5000000000000001E-3</v>
      </c>
      <c r="BU12" s="48">
        <f>INDEX('Inputs &amp; Drivers'!$E$52:$E$62,MATCH(Model!BU$4,'Inputs &amp; Drivers'!$B$52:$B$62,0))/12</f>
        <v>2.5000000000000001E-3</v>
      </c>
      <c r="BV12" s="48">
        <f>INDEX('Inputs &amp; Drivers'!$E$52:$E$62,MATCH(Model!BV$4,'Inputs &amp; Drivers'!$B$52:$B$62,0))/12</f>
        <v>2.5000000000000001E-3</v>
      </c>
      <c r="BW12" s="48">
        <f>INDEX('Inputs &amp; Drivers'!$E$52:$E$62,MATCH(Model!BW$4,'Inputs &amp; Drivers'!$B$52:$B$62,0))/12</f>
        <v>2.5000000000000001E-3</v>
      </c>
      <c r="BX12" s="48">
        <f>INDEX('Inputs &amp; Drivers'!$E$52:$E$62,MATCH(Model!BX$4,'Inputs &amp; Drivers'!$B$52:$B$62,0))/12</f>
        <v>2.5000000000000001E-3</v>
      </c>
      <c r="BY12" s="48">
        <f>INDEX('Inputs &amp; Drivers'!$E$52:$E$62,MATCH(Model!BY$4,'Inputs &amp; Drivers'!$B$52:$B$62,0))/12</f>
        <v>2.5000000000000001E-3</v>
      </c>
      <c r="BZ12" s="48">
        <f>INDEX('Inputs &amp; Drivers'!$E$52:$E$62,MATCH(Model!BZ$4,'Inputs &amp; Drivers'!$B$52:$B$62,0))/12</f>
        <v>2.5000000000000001E-3</v>
      </c>
      <c r="CA12" s="48">
        <f>INDEX('Inputs &amp; Drivers'!$E$52:$E$62,MATCH(Model!CA$4,'Inputs &amp; Drivers'!$B$52:$B$62,0))/12</f>
        <v>2.5000000000000001E-3</v>
      </c>
      <c r="CB12" s="48">
        <f>INDEX('Inputs &amp; Drivers'!$E$52:$E$62,MATCH(Model!CB$4,'Inputs &amp; Drivers'!$B$52:$B$62,0))/12</f>
        <v>2.5000000000000001E-3</v>
      </c>
      <c r="CC12" s="48">
        <f>INDEX('Inputs &amp; Drivers'!$E$52:$E$62,MATCH(Model!CC$4,'Inputs &amp; Drivers'!$B$52:$B$62,0))/12</f>
        <v>2.5000000000000001E-3</v>
      </c>
      <c r="CD12" s="48">
        <f>INDEX('Inputs &amp; Drivers'!$E$52:$E$62,MATCH(Model!CD$4,'Inputs &amp; Drivers'!$B$52:$B$62,0))/12</f>
        <v>2.5000000000000001E-3</v>
      </c>
      <c r="CE12" s="48">
        <f>INDEX('Inputs &amp; Drivers'!$E$52:$E$62,MATCH(Model!CE$4,'Inputs &amp; Drivers'!$B$52:$B$62,0))/12</f>
        <v>2.5000000000000001E-3</v>
      </c>
      <c r="CF12" s="48">
        <f>INDEX('Inputs &amp; Drivers'!$E$52:$E$62,MATCH(Model!CF$4,'Inputs &amp; Drivers'!$B$52:$B$62,0))/12</f>
        <v>2.5000000000000001E-3</v>
      </c>
      <c r="CG12" s="48">
        <f>INDEX('Inputs &amp; Drivers'!$E$52:$E$62,MATCH(Model!CG$4,'Inputs &amp; Drivers'!$B$52:$B$62,0))/12</f>
        <v>2.5000000000000001E-3</v>
      </c>
      <c r="CH12" s="48">
        <f>INDEX('Inputs &amp; Drivers'!$E$52:$E$62,MATCH(Model!CH$4,'Inputs &amp; Drivers'!$B$52:$B$62,0))/12</f>
        <v>2.5000000000000001E-3</v>
      </c>
      <c r="CI12" s="48">
        <f>INDEX('Inputs &amp; Drivers'!$E$52:$E$62,MATCH(Model!CI$4,'Inputs &amp; Drivers'!$B$52:$B$62,0))/12</f>
        <v>2.5000000000000001E-3</v>
      </c>
      <c r="CJ12" s="48">
        <f>INDEX('Inputs &amp; Drivers'!$E$52:$E$62,MATCH(Model!CJ$4,'Inputs &amp; Drivers'!$B$52:$B$62,0))/12</f>
        <v>2.5000000000000001E-3</v>
      </c>
      <c r="CK12" s="48">
        <f>INDEX('Inputs &amp; Drivers'!$E$52:$E$62,MATCH(Model!CK$4,'Inputs &amp; Drivers'!$B$52:$B$62,0))/12</f>
        <v>2.5000000000000001E-3</v>
      </c>
      <c r="CL12" s="48">
        <f>INDEX('Inputs &amp; Drivers'!$E$52:$E$62,MATCH(Model!CL$4,'Inputs &amp; Drivers'!$B$52:$B$62,0))/12</f>
        <v>2.5000000000000001E-3</v>
      </c>
      <c r="CM12" s="48">
        <f>INDEX('Inputs &amp; Drivers'!$E$52:$E$62,MATCH(Model!CM$4,'Inputs &amp; Drivers'!$B$52:$B$62,0))/12</f>
        <v>2.5000000000000001E-3</v>
      </c>
      <c r="CN12" s="48">
        <f>INDEX('Inputs &amp; Drivers'!$E$52:$E$62,MATCH(Model!CN$4,'Inputs &amp; Drivers'!$B$52:$B$62,0))/12</f>
        <v>2.5000000000000001E-3</v>
      </c>
      <c r="CO12" s="48">
        <f>INDEX('Inputs &amp; Drivers'!$E$52:$E$62,MATCH(Model!CO$4,'Inputs &amp; Drivers'!$B$52:$B$62,0))/12</f>
        <v>2.5000000000000001E-3</v>
      </c>
      <c r="CP12" s="48">
        <f>INDEX('Inputs &amp; Drivers'!$E$52:$E$62,MATCH(Model!CP$4,'Inputs &amp; Drivers'!$B$52:$B$62,0))/12</f>
        <v>2.5000000000000001E-3</v>
      </c>
      <c r="CQ12" s="48">
        <f>INDEX('Inputs &amp; Drivers'!$E$52:$E$62,MATCH(Model!CQ$4,'Inputs &amp; Drivers'!$B$52:$B$62,0))/12</f>
        <v>2.5000000000000001E-3</v>
      </c>
      <c r="CR12" s="48">
        <f>INDEX('Inputs &amp; Drivers'!$E$52:$E$62,MATCH(Model!CR$4,'Inputs &amp; Drivers'!$B$52:$B$62,0))/12</f>
        <v>2.5000000000000001E-3</v>
      </c>
      <c r="CS12" s="48">
        <f>INDEX('Inputs &amp; Drivers'!$E$52:$E$62,MATCH(Model!CS$4,'Inputs &amp; Drivers'!$B$52:$B$62,0))/12</f>
        <v>2.5000000000000001E-3</v>
      </c>
      <c r="CT12" s="48">
        <f>INDEX('Inputs &amp; Drivers'!$E$52:$E$62,MATCH(Model!CT$4,'Inputs &amp; Drivers'!$B$52:$B$62,0))/12</f>
        <v>2.5000000000000001E-3</v>
      </c>
      <c r="CU12" s="48">
        <f>INDEX('Inputs &amp; Drivers'!$E$52:$E$62,MATCH(Model!CU$4,'Inputs &amp; Drivers'!$B$52:$B$62,0))/12</f>
        <v>2.5000000000000001E-3</v>
      </c>
      <c r="CV12" s="48">
        <f>INDEX('Inputs &amp; Drivers'!$E$52:$E$62,MATCH(Model!CV$4,'Inputs &amp; Drivers'!$B$52:$B$62,0))/12</f>
        <v>2.5000000000000001E-3</v>
      </c>
      <c r="CW12" s="48">
        <f>INDEX('Inputs &amp; Drivers'!$E$52:$E$62,MATCH(Model!CW$4,'Inputs &amp; Drivers'!$B$52:$B$62,0))/12</f>
        <v>2.5000000000000001E-3</v>
      </c>
      <c r="CX12" s="48">
        <f>INDEX('Inputs &amp; Drivers'!$E$52:$E$62,MATCH(Model!CX$4,'Inputs &amp; Drivers'!$B$52:$B$62,0))/12</f>
        <v>2.5000000000000001E-3</v>
      </c>
      <c r="CY12" s="48">
        <f>INDEX('Inputs &amp; Drivers'!$E$52:$E$62,MATCH(Model!CY$4,'Inputs &amp; Drivers'!$B$52:$B$62,0))/12</f>
        <v>2.5000000000000001E-3</v>
      </c>
      <c r="CZ12" s="48">
        <f>INDEX('Inputs &amp; Drivers'!$E$52:$E$62,MATCH(Model!CZ$4,'Inputs &amp; Drivers'!$B$52:$B$62,0))/12</f>
        <v>2.5000000000000001E-3</v>
      </c>
      <c r="DA12" s="48">
        <f>INDEX('Inputs &amp; Drivers'!$E$52:$E$62,MATCH(Model!DA$4,'Inputs &amp; Drivers'!$B$52:$B$62,0))/12</f>
        <v>2.5000000000000001E-3</v>
      </c>
      <c r="DB12" s="48">
        <f>INDEX('Inputs &amp; Drivers'!$E$52:$E$62,MATCH(Model!DB$4,'Inputs &amp; Drivers'!$B$52:$B$62,0))/12</f>
        <v>2.5000000000000001E-3</v>
      </c>
      <c r="DC12" s="48">
        <f>INDEX('Inputs &amp; Drivers'!$E$52:$E$62,MATCH(Model!DC$4,'Inputs &amp; Drivers'!$B$52:$B$62,0))/12</f>
        <v>2.5000000000000001E-3</v>
      </c>
      <c r="DD12" s="48">
        <f>INDEX('Inputs &amp; Drivers'!$E$52:$E$62,MATCH(Model!DD$4,'Inputs &amp; Drivers'!$B$52:$B$62,0))/12</f>
        <v>2.5000000000000001E-3</v>
      </c>
      <c r="DE12" s="48">
        <f>INDEX('Inputs &amp; Drivers'!$E$52:$E$62,MATCH(Model!DE$4,'Inputs &amp; Drivers'!$B$52:$B$62,0))/12</f>
        <v>2.5000000000000001E-3</v>
      </c>
      <c r="DF12" s="48">
        <f>INDEX('Inputs &amp; Drivers'!$E$52:$E$62,MATCH(Model!DF$4,'Inputs &amp; Drivers'!$B$52:$B$62,0))/12</f>
        <v>2.5000000000000001E-3</v>
      </c>
      <c r="DG12" s="48">
        <f>INDEX('Inputs &amp; Drivers'!$E$52:$E$62,MATCH(Model!DG$4,'Inputs &amp; Drivers'!$B$52:$B$62,0))/12</f>
        <v>2.5000000000000001E-3</v>
      </c>
      <c r="DH12" s="48">
        <f>INDEX('Inputs &amp; Drivers'!$E$52:$E$62,MATCH(Model!DH$4,'Inputs &amp; Drivers'!$B$52:$B$62,0))/12</f>
        <v>2.5000000000000001E-3</v>
      </c>
      <c r="DI12" s="48">
        <f>INDEX('Inputs &amp; Drivers'!$E$52:$E$62,MATCH(Model!DI$4,'Inputs &amp; Drivers'!$B$52:$B$62,0))/12</f>
        <v>2.5000000000000001E-3</v>
      </c>
      <c r="DJ12" s="48">
        <f>INDEX('Inputs &amp; Drivers'!$E$52:$E$62,MATCH(Model!DJ$4,'Inputs &amp; Drivers'!$B$52:$B$62,0))/12</f>
        <v>2.5000000000000001E-3</v>
      </c>
      <c r="DK12" s="48">
        <f>INDEX('Inputs &amp; Drivers'!$E$52:$E$62,MATCH(Model!DK$4,'Inputs &amp; Drivers'!$B$52:$B$62,0))/12</f>
        <v>2.5000000000000001E-3</v>
      </c>
      <c r="DL12" s="48">
        <f>INDEX('Inputs &amp; Drivers'!$E$52:$E$62,MATCH(Model!DL$4,'Inputs &amp; Drivers'!$B$52:$B$62,0))/12</f>
        <v>2.5000000000000001E-3</v>
      </c>
      <c r="DM12" s="48">
        <f>INDEX('Inputs &amp; Drivers'!$E$52:$E$62,MATCH(Model!DM$4,'Inputs &amp; Drivers'!$B$52:$B$62,0))/12</f>
        <v>2.5000000000000001E-3</v>
      </c>
      <c r="DN12" s="48">
        <f>INDEX('Inputs &amp; Drivers'!$E$52:$E$62,MATCH(Model!DN$4,'Inputs &amp; Drivers'!$B$52:$B$62,0))/12</f>
        <v>2.5000000000000001E-3</v>
      </c>
      <c r="DO12" s="48">
        <f>INDEX('Inputs &amp; Drivers'!$E$52:$E$62,MATCH(Model!DO$4,'Inputs &amp; Drivers'!$B$52:$B$62,0))/12</f>
        <v>2.5000000000000001E-3</v>
      </c>
      <c r="DP12" s="48">
        <f>INDEX('Inputs &amp; Drivers'!$E$52:$E$62,MATCH(Model!DP$4,'Inputs &amp; Drivers'!$B$52:$B$62,0))/12</f>
        <v>2.5000000000000001E-3</v>
      </c>
      <c r="DQ12" s="48">
        <f>INDEX('Inputs &amp; Drivers'!$E$52:$E$62,MATCH(Model!DQ$4,'Inputs &amp; Drivers'!$B$52:$B$62,0))/12</f>
        <v>2.5000000000000001E-3</v>
      </c>
      <c r="DR12" s="48">
        <f>INDEX('Inputs &amp; Drivers'!$E$52:$E$62,MATCH(Model!DR$4,'Inputs &amp; Drivers'!$B$52:$B$62,0))/12</f>
        <v>2.5000000000000001E-3</v>
      </c>
      <c r="DS12" s="48">
        <f>INDEX('Inputs &amp; Drivers'!$E$52:$E$62,MATCH(Model!DS$4,'Inputs &amp; Drivers'!$B$52:$B$62,0))/12</f>
        <v>2.5000000000000001E-3</v>
      </c>
      <c r="DT12" s="48">
        <f>INDEX('Inputs &amp; Drivers'!$E$52:$E$62,MATCH(Model!DT$4,'Inputs &amp; Drivers'!$B$52:$B$62,0))/12</f>
        <v>2.5000000000000001E-3</v>
      </c>
      <c r="DU12" s="48">
        <f>INDEX('Inputs &amp; Drivers'!$E$52:$E$62,MATCH(Model!DU$4,'Inputs &amp; Drivers'!$B$52:$B$62,0))/12</f>
        <v>2.5000000000000001E-3</v>
      </c>
      <c r="DV12" s="48">
        <f>INDEX('Inputs &amp; Drivers'!$E$52:$E$62,MATCH(Model!DV$4,'Inputs &amp; Drivers'!$B$52:$B$62,0))/12</f>
        <v>2.5000000000000001E-3</v>
      </c>
      <c r="DW12" s="48">
        <f>INDEX('Inputs &amp; Drivers'!$E$52:$E$62,MATCH(Model!DW$4,'Inputs &amp; Drivers'!$B$52:$B$62,0))/12</f>
        <v>2.5000000000000001E-3</v>
      </c>
      <c r="DX12" s="48">
        <f>INDEX('Inputs &amp; Drivers'!$E$52:$E$62,MATCH(Model!DX$4,'Inputs &amp; Drivers'!$B$52:$B$62,0))/12</f>
        <v>2.5000000000000001E-3</v>
      </c>
      <c r="DY12" s="48">
        <f>INDEX('Inputs &amp; Drivers'!$E$52:$E$62,MATCH(Model!DY$4,'Inputs &amp; Drivers'!$B$52:$B$62,0))/12</f>
        <v>2.5000000000000001E-3</v>
      </c>
      <c r="DZ12" s="48">
        <f>INDEX('Inputs &amp; Drivers'!$E$52:$E$62,MATCH(Model!DZ$4,'Inputs &amp; Drivers'!$B$52:$B$62,0))/12</f>
        <v>2.5000000000000001E-3</v>
      </c>
      <c r="EA12" s="48">
        <f>INDEX('Inputs &amp; Drivers'!$E$52:$E$62,MATCH(Model!EA$4,'Inputs &amp; Drivers'!$B$52:$B$62,0))/12</f>
        <v>2.5000000000000001E-3</v>
      </c>
      <c r="EB12" s="48">
        <f>INDEX('Inputs &amp; Drivers'!$E$52:$E$62,MATCH(Model!EB$4,'Inputs &amp; Drivers'!$B$52:$B$62,0))/12</f>
        <v>2.5000000000000001E-3</v>
      </c>
      <c r="EC12" s="48">
        <f>INDEX('Inputs &amp; Drivers'!$E$52:$E$62,MATCH(Model!EC$4,'Inputs &amp; Drivers'!$B$52:$B$62,0))/12</f>
        <v>2.5000000000000001E-3</v>
      </c>
      <c r="ED12" s="48">
        <f>INDEX('Inputs &amp; Drivers'!$E$52:$E$62,MATCH(Model!ED$4,'Inputs &amp; Drivers'!$B$52:$B$62,0))/12</f>
        <v>2.5000000000000001E-3</v>
      </c>
      <c r="EE12" s="48">
        <f>INDEX('Inputs &amp; Drivers'!$E$52:$E$62,MATCH(Model!EE$4,'Inputs &amp; Drivers'!$B$52:$B$62,0))/12</f>
        <v>2.5000000000000001E-3</v>
      </c>
      <c r="EF12" s="48">
        <f>INDEX('Inputs &amp; Drivers'!$E$52:$E$62,MATCH(Model!EF$4,'Inputs &amp; Drivers'!$B$52:$B$62,0))/12</f>
        <v>2.5000000000000001E-3</v>
      </c>
      <c r="EG12" s="48">
        <f>INDEX('Inputs &amp; Drivers'!$E$52:$E$62,MATCH(Model!EG$4,'Inputs &amp; Drivers'!$B$52:$B$62,0))/12</f>
        <v>2.5000000000000001E-3</v>
      </c>
      <c r="EH12" s="48">
        <f>INDEX('Inputs &amp; Drivers'!$E$52:$E$62,MATCH(Model!EH$4,'Inputs &amp; Drivers'!$B$52:$B$62,0))/12</f>
        <v>2.5000000000000001E-3</v>
      </c>
      <c r="EI12" s="48">
        <f>INDEX('Inputs &amp; Drivers'!$E$52:$E$62,MATCH(Model!EI$4,'Inputs &amp; Drivers'!$B$52:$B$62,0))/12</f>
        <v>2.5000000000000001E-3</v>
      </c>
      <c r="EJ12" s="48">
        <f>INDEX('Inputs &amp; Drivers'!$E$52:$E$62,MATCH(Model!EJ$4,'Inputs &amp; Drivers'!$B$52:$B$62,0))/12</f>
        <v>2.5000000000000001E-3</v>
      </c>
      <c r="EK12" s="48">
        <f>INDEX('Inputs &amp; Drivers'!$E$52:$E$62,MATCH(Model!EK$4,'Inputs &amp; Drivers'!$B$52:$B$62,0))/12</f>
        <v>2.5000000000000001E-3</v>
      </c>
    </row>
    <row r="13" spans="2:154" x14ac:dyDescent="0.3">
      <c r="AG13" s="19"/>
    </row>
    <row r="14" spans="2:154" x14ac:dyDescent="0.3">
      <c r="B14" s="2" t="s">
        <v>5</v>
      </c>
    </row>
    <row r="15" spans="2:154" x14ac:dyDescent="0.3">
      <c r="B15" s="1" t="s">
        <v>75</v>
      </c>
      <c r="E15" s="70">
        <f>SUM('Historical Financials'!M10:O10)*4</f>
        <v>6076116.4000000004</v>
      </c>
      <c r="F15" s="70">
        <f>SUM('Historical Financials'!D10:O10)</f>
        <v>6161400.4000000013</v>
      </c>
      <c r="I15" s="7"/>
      <c r="J15" s="82">
        <f t="shared" ref="J15:K15" si="230">J8*J10+J9*J11</f>
        <v>513450.03333333338</v>
      </c>
      <c r="K15" s="82">
        <f t="shared" si="230"/>
        <v>513450.03333333338</v>
      </c>
      <c r="L15" s="82">
        <f t="shared" ref="L15:BW15" si="231">L8*L10+L9*L11</f>
        <v>514752.11666666676</v>
      </c>
      <c r="M15" s="82">
        <f t="shared" si="231"/>
        <v>516054.20000000007</v>
      </c>
      <c r="N15" s="82">
        <f t="shared" si="231"/>
        <v>517356.28333333344</v>
      </c>
      <c r="O15" s="82">
        <f t="shared" si="231"/>
        <v>518658.36666666676</v>
      </c>
      <c r="P15" s="82">
        <f t="shared" si="231"/>
        <v>519960.45000000013</v>
      </c>
      <c r="Q15" s="82">
        <f t="shared" si="231"/>
        <v>521262.53333333344</v>
      </c>
      <c r="R15" s="82">
        <f t="shared" si="231"/>
        <v>522564.6166666667</v>
      </c>
      <c r="S15" s="82">
        <f t="shared" si="231"/>
        <v>523866.70000000007</v>
      </c>
      <c r="T15" s="82">
        <f t="shared" si="231"/>
        <v>525168.78333333344</v>
      </c>
      <c r="U15" s="82">
        <f t="shared" si="231"/>
        <v>526470.8666666667</v>
      </c>
      <c r="V15" s="82">
        <f t="shared" si="231"/>
        <v>529056.57508333342</v>
      </c>
      <c r="W15" s="82">
        <f t="shared" si="231"/>
        <v>531645.49256270833</v>
      </c>
      <c r="X15" s="82">
        <f t="shared" si="231"/>
        <v>534237.62712744845</v>
      </c>
      <c r="Y15" s="82">
        <f t="shared" si="231"/>
        <v>536832.98682026705</v>
      </c>
      <c r="Z15" s="82">
        <f t="shared" si="231"/>
        <v>539431.57970398432</v>
      </c>
      <c r="AA15" s="82">
        <f t="shared" si="231"/>
        <v>542033.41386157763</v>
      </c>
      <c r="AB15" s="82">
        <f t="shared" si="231"/>
        <v>544638.49739623151</v>
      </c>
      <c r="AC15" s="82">
        <f t="shared" si="231"/>
        <v>547246.83843138884</v>
      </c>
      <c r="AD15" s="82">
        <f t="shared" si="231"/>
        <v>549858.44511080056</v>
      </c>
      <c r="AE15" s="82">
        <f t="shared" si="231"/>
        <v>552473.3255985775</v>
      </c>
      <c r="AF15" s="82">
        <f t="shared" si="231"/>
        <v>555091.48807924066</v>
      </c>
      <c r="AG15" s="82">
        <f t="shared" si="231"/>
        <v>557712.94075777207</v>
      </c>
      <c r="AH15" s="82">
        <f t="shared" si="231"/>
        <v>560778.58111585351</v>
      </c>
      <c r="AI15" s="82">
        <f t="shared" si="231"/>
        <v>563850.09999735071</v>
      </c>
      <c r="AJ15" s="82">
        <f t="shared" si="231"/>
        <v>565625.43366400851</v>
      </c>
      <c r="AK15" s="82">
        <f t="shared" si="231"/>
        <v>567406.68510955526</v>
      </c>
      <c r="AL15" s="82">
        <f t="shared" si="231"/>
        <v>569193.87405992055</v>
      </c>
      <c r="AM15" s="82">
        <f t="shared" si="231"/>
        <v>570987.02030678699</v>
      </c>
      <c r="AN15" s="82">
        <f t="shared" si="231"/>
        <v>572786.14370780962</v>
      </c>
      <c r="AO15" s="82">
        <f t="shared" si="231"/>
        <v>574591.26418683573</v>
      </c>
      <c r="AP15" s="82">
        <f t="shared" si="231"/>
        <v>576402.40173412522</v>
      </c>
      <c r="AQ15" s="82">
        <f t="shared" si="231"/>
        <v>578219.57640657236</v>
      </c>
      <c r="AR15" s="82">
        <f t="shared" si="231"/>
        <v>580042.8083279276</v>
      </c>
      <c r="AS15" s="82">
        <f t="shared" si="231"/>
        <v>581872.1176890207</v>
      </c>
      <c r="AT15" s="82">
        <f t="shared" si="231"/>
        <v>583248.67298324325</v>
      </c>
      <c r="AU15" s="82">
        <f t="shared" si="231"/>
        <v>584628.66966570134</v>
      </c>
      <c r="AV15" s="82">
        <f t="shared" si="231"/>
        <v>586012.11633986561</v>
      </c>
      <c r="AW15" s="82">
        <f t="shared" si="231"/>
        <v>587399.02163071523</v>
      </c>
      <c r="AX15" s="82">
        <f t="shared" si="231"/>
        <v>588789.39418479195</v>
      </c>
      <c r="AY15" s="82">
        <f t="shared" si="231"/>
        <v>590183.24267025397</v>
      </c>
      <c r="AZ15" s="82">
        <f t="shared" si="231"/>
        <v>591580.57577692962</v>
      </c>
      <c r="BA15" s="82">
        <f t="shared" si="231"/>
        <v>592981.40221637185</v>
      </c>
      <c r="BB15" s="82">
        <f t="shared" si="231"/>
        <v>594385.73072191281</v>
      </c>
      <c r="BC15" s="82">
        <f t="shared" si="231"/>
        <v>595793.57004871755</v>
      </c>
      <c r="BD15" s="82">
        <f t="shared" si="231"/>
        <v>597204.92897383927</v>
      </c>
      <c r="BE15" s="82">
        <f t="shared" si="231"/>
        <v>598619.81629627384</v>
      </c>
      <c r="BF15" s="82">
        <f t="shared" si="231"/>
        <v>600038.2408370144</v>
      </c>
      <c r="BG15" s="82">
        <f t="shared" si="231"/>
        <v>601460.21143910696</v>
      </c>
      <c r="BH15" s="82">
        <f t="shared" si="231"/>
        <v>602885.73696770472</v>
      </c>
      <c r="BI15" s="82">
        <f t="shared" si="231"/>
        <v>604314.82631012402</v>
      </c>
      <c r="BJ15" s="82">
        <f t="shared" si="231"/>
        <v>605747.48837589927</v>
      </c>
      <c r="BK15" s="82">
        <f t="shared" si="231"/>
        <v>607183.732096839</v>
      </c>
      <c r="BL15" s="82">
        <f t="shared" si="231"/>
        <v>608623.56642708112</v>
      </c>
      <c r="BM15" s="82">
        <f t="shared" si="231"/>
        <v>610067.00034314871</v>
      </c>
      <c r="BN15" s="82">
        <f t="shared" si="231"/>
        <v>611514.04284400656</v>
      </c>
      <c r="BO15" s="82">
        <f t="shared" si="231"/>
        <v>612964.7029511166</v>
      </c>
      <c r="BP15" s="82">
        <f t="shared" si="231"/>
        <v>614418.9897084944</v>
      </c>
      <c r="BQ15" s="82">
        <f t="shared" si="231"/>
        <v>615876.91218276555</v>
      </c>
      <c r="BR15" s="82">
        <f t="shared" si="231"/>
        <v>617338.47946322244</v>
      </c>
      <c r="BS15" s="82">
        <f t="shared" si="231"/>
        <v>618803.70066188043</v>
      </c>
      <c r="BT15" s="82">
        <f t="shared" si="231"/>
        <v>620272.58491353504</v>
      </c>
      <c r="BU15" s="82">
        <f t="shared" si="231"/>
        <v>621745.14137581887</v>
      </c>
      <c r="BV15" s="82">
        <f t="shared" si="231"/>
        <v>623221.37922925851</v>
      </c>
      <c r="BW15" s="82">
        <f t="shared" si="231"/>
        <v>624701.30767733161</v>
      </c>
      <c r="BX15" s="82">
        <f t="shared" ref="BX15:EI15" si="232">BX8*BX10+BX9*BX11</f>
        <v>626184.93594652496</v>
      </c>
      <c r="BY15" s="82">
        <f t="shared" si="232"/>
        <v>627672.27328639117</v>
      </c>
      <c r="BZ15" s="82">
        <f t="shared" si="232"/>
        <v>629163.32896960701</v>
      </c>
      <c r="CA15" s="82">
        <f t="shared" si="232"/>
        <v>630658.11229203106</v>
      </c>
      <c r="CB15" s="82">
        <f t="shared" si="232"/>
        <v>632156.63257276115</v>
      </c>
      <c r="CC15" s="82">
        <f t="shared" si="232"/>
        <v>633658.899154193</v>
      </c>
      <c r="CD15" s="82">
        <f t="shared" si="232"/>
        <v>635164.92140207847</v>
      </c>
      <c r="CE15" s="82">
        <f t="shared" si="232"/>
        <v>636674.70870558359</v>
      </c>
      <c r="CF15" s="82">
        <f t="shared" si="232"/>
        <v>638188.27047734754</v>
      </c>
      <c r="CG15" s="82">
        <f t="shared" si="232"/>
        <v>639705.6161535409</v>
      </c>
      <c r="CH15" s="82">
        <f t="shared" si="232"/>
        <v>641226.75519392465</v>
      </c>
      <c r="CI15" s="82">
        <f t="shared" si="232"/>
        <v>642751.69708190951</v>
      </c>
      <c r="CJ15" s="82">
        <f t="shared" si="232"/>
        <v>644280.45132461423</v>
      </c>
      <c r="CK15" s="82">
        <f t="shared" si="232"/>
        <v>645813.02745292569</v>
      </c>
      <c r="CL15" s="82">
        <f t="shared" si="232"/>
        <v>647349.43502155796</v>
      </c>
      <c r="CM15" s="82">
        <f t="shared" si="232"/>
        <v>648889.68360911182</v>
      </c>
      <c r="CN15" s="82">
        <f t="shared" si="232"/>
        <v>650433.78281813452</v>
      </c>
      <c r="CO15" s="82">
        <f t="shared" si="232"/>
        <v>651981.74227517983</v>
      </c>
      <c r="CP15" s="82">
        <f t="shared" si="232"/>
        <v>653533.57163086778</v>
      </c>
      <c r="CQ15" s="82">
        <f t="shared" si="232"/>
        <v>655089.28055994492</v>
      </c>
      <c r="CR15" s="82">
        <f t="shared" si="232"/>
        <v>656648.87876134471</v>
      </c>
      <c r="CS15" s="82">
        <f t="shared" si="232"/>
        <v>658212.37595824804</v>
      </c>
      <c r="CT15" s="82">
        <f t="shared" si="232"/>
        <v>659779.78189814358</v>
      </c>
      <c r="CU15" s="82">
        <f t="shared" si="232"/>
        <v>661351.10635288886</v>
      </c>
      <c r="CV15" s="82">
        <f t="shared" si="232"/>
        <v>662926.35911877104</v>
      </c>
      <c r="CW15" s="82">
        <f t="shared" si="232"/>
        <v>664505.55001656804</v>
      </c>
      <c r="CX15" s="82">
        <f t="shared" si="232"/>
        <v>666088.68889160943</v>
      </c>
      <c r="CY15" s="82">
        <f t="shared" si="232"/>
        <v>667675.78561383847</v>
      </c>
      <c r="CZ15" s="82">
        <f t="shared" si="232"/>
        <v>669266.8500778731</v>
      </c>
      <c r="DA15" s="82">
        <f t="shared" si="232"/>
        <v>670861.89220306766</v>
      </c>
      <c r="DB15" s="82">
        <f t="shared" si="232"/>
        <v>672460.9219335753</v>
      </c>
      <c r="DC15" s="82">
        <f t="shared" si="232"/>
        <v>674063.94923840917</v>
      </c>
      <c r="DD15" s="82">
        <f t="shared" si="232"/>
        <v>675670.98411150521</v>
      </c>
      <c r="DE15" s="82">
        <f t="shared" si="232"/>
        <v>677282.03657178394</v>
      </c>
      <c r="DF15" s="82">
        <f t="shared" si="232"/>
        <v>678897.11666321324</v>
      </c>
      <c r="DG15" s="82">
        <f t="shared" si="232"/>
        <v>680516.23445487127</v>
      </c>
      <c r="DH15" s="82">
        <f t="shared" si="232"/>
        <v>682139.40004100848</v>
      </c>
      <c r="DI15" s="82">
        <f t="shared" si="232"/>
        <v>683766.62354111089</v>
      </c>
      <c r="DJ15" s="82">
        <f t="shared" si="232"/>
        <v>685397.91509996355</v>
      </c>
      <c r="DK15" s="82">
        <f t="shared" si="232"/>
        <v>687033.28488771338</v>
      </c>
      <c r="DL15" s="82">
        <f t="shared" si="232"/>
        <v>688672.74309993268</v>
      </c>
      <c r="DM15" s="82">
        <f t="shared" si="232"/>
        <v>690316.29995768238</v>
      </c>
      <c r="DN15" s="82">
        <f t="shared" si="232"/>
        <v>691963.9657075766</v>
      </c>
      <c r="DO15" s="82">
        <f t="shared" si="232"/>
        <v>693615.75062184548</v>
      </c>
      <c r="DP15" s="82">
        <f t="shared" si="232"/>
        <v>695271.66499840003</v>
      </c>
      <c r="DQ15" s="82">
        <f t="shared" si="232"/>
        <v>696931.71916089603</v>
      </c>
      <c r="DR15" s="82">
        <f t="shared" si="232"/>
        <v>698595.92345879821</v>
      </c>
      <c r="DS15" s="82">
        <f t="shared" si="232"/>
        <v>700264.28826744517</v>
      </c>
      <c r="DT15" s="82">
        <f t="shared" si="232"/>
        <v>701936.82398811379</v>
      </c>
      <c r="DU15" s="82">
        <f t="shared" si="232"/>
        <v>703613.54104808404</v>
      </c>
      <c r="DV15" s="82">
        <f t="shared" si="232"/>
        <v>705294.4499007042</v>
      </c>
      <c r="DW15" s="82">
        <f t="shared" si="232"/>
        <v>706979.56102545594</v>
      </c>
      <c r="DX15" s="82">
        <f t="shared" si="232"/>
        <v>708668.8849280196</v>
      </c>
      <c r="DY15" s="82">
        <f t="shared" si="232"/>
        <v>710362.43214033963</v>
      </c>
      <c r="DZ15" s="82">
        <f t="shared" si="232"/>
        <v>712060.21322069049</v>
      </c>
      <c r="EA15" s="82">
        <f t="shared" si="232"/>
        <v>713762.23875374219</v>
      </c>
      <c r="EB15" s="82">
        <f t="shared" si="232"/>
        <v>715468.51935062651</v>
      </c>
      <c r="EC15" s="82">
        <f t="shared" si="232"/>
        <v>717179.06564900302</v>
      </c>
      <c r="ED15" s="82">
        <f t="shared" si="232"/>
        <v>718893.88831312559</v>
      </c>
      <c r="EE15" s="82">
        <f t="shared" si="232"/>
        <v>720612.99803390831</v>
      </c>
      <c r="EF15" s="82">
        <f t="shared" si="232"/>
        <v>722336.405528993</v>
      </c>
      <c r="EG15" s="82">
        <f t="shared" si="232"/>
        <v>724064.12154281547</v>
      </c>
      <c r="EH15" s="82">
        <f t="shared" si="232"/>
        <v>725796.15684667241</v>
      </c>
      <c r="EI15" s="82">
        <f t="shared" si="232"/>
        <v>727532.52223878913</v>
      </c>
      <c r="EJ15" s="82">
        <f t="shared" ref="EJ15:EK15" si="233">EJ8*EJ10+EJ9*EJ11</f>
        <v>729273.2285443861</v>
      </c>
      <c r="EK15" s="82">
        <f t="shared" si="233"/>
        <v>731018.28661574714</v>
      </c>
      <c r="EM15" s="110">
        <f>SUMIF($I$4:$EK$4,EM$5,$I15:$EK15)</f>
        <v>0</v>
      </c>
      <c r="EN15" s="110">
        <f t="shared" ref="EN15:EX15" si="234">SUMIF($I$4:$EK$4,EN$5,$I15:$EK15)</f>
        <v>6233014.9833333343</v>
      </c>
      <c r="EO15" s="110">
        <f t="shared" si="234"/>
        <v>6520259.2105333302</v>
      </c>
      <c r="EP15" s="110">
        <f t="shared" si="234"/>
        <v>6861756.0063057654</v>
      </c>
      <c r="EQ15" s="110">
        <f t="shared" si="234"/>
        <v>7090827.1415086174</v>
      </c>
      <c r="ER15" s="110">
        <f t="shared" si="234"/>
        <v>7295095.4504833017</v>
      </c>
      <c r="ES15" s="110">
        <f t="shared" si="234"/>
        <v>7505576.7755425544</v>
      </c>
      <c r="ET15" s="110">
        <f t="shared" si="234"/>
        <v>7722460.0915159099</v>
      </c>
      <c r="EU15" s="110">
        <f t="shared" si="234"/>
        <v>7945940.1210831655</v>
      </c>
      <c r="EV15" s="110">
        <f t="shared" si="234"/>
        <v>8176217.5096007697</v>
      </c>
      <c r="EW15" s="110">
        <f t="shared" si="234"/>
        <v>8413499.00524568</v>
      </c>
      <c r="EX15" s="110">
        <f t="shared" si="234"/>
        <v>8657997.6446384992</v>
      </c>
    </row>
    <row r="16" spans="2:154" x14ac:dyDescent="0.3">
      <c r="B16" s="1" t="s">
        <v>13</v>
      </c>
      <c r="E16" s="70">
        <f>SUM('Historical Financials'!M15:O15)*4</f>
        <v>-607611.64</v>
      </c>
      <c r="F16" s="70">
        <f>SUM('Historical Financials'!D15:O15)</f>
        <v>-616140.04</v>
      </c>
      <c r="J16" s="7">
        <f>-(1-INDEX('Inputs &amp; Drivers'!$D$52:$D$62,MATCH(Model!J$4,'Inputs &amp; Drivers'!$B$52:$B$62,0)))*J15</f>
        <v>-46210.50299999999</v>
      </c>
      <c r="K16" s="7">
        <f>-(1-INDEX('Inputs &amp; Drivers'!$D$52:$D$62,MATCH(Model!K$4,'Inputs &amp; Drivers'!$B$52:$B$62,0)))*K15</f>
        <v>-46210.50299999999</v>
      </c>
      <c r="L16" s="7">
        <f>-(1-INDEX('Inputs &amp; Drivers'!$D$52:$D$62,MATCH(Model!L$4,'Inputs &amp; Drivers'!$B$52:$B$62,0)))*L15</f>
        <v>-46327.69049999999</v>
      </c>
      <c r="M16" s="7">
        <f>-(1-INDEX('Inputs &amp; Drivers'!$D$52:$D$62,MATCH(Model!M$4,'Inputs &amp; Drivers'!$B$52:$B$62,0)))*M15</f>
        <v>-46444.87799999999</v>
      </c>
      <c r="N16" s="7">
        <f>-(1-INDEX('Inputs &amp; Drivers'!$D$52:$D$62,MATCH(Model!N$4,'Inputs &amp; Drivers'!$B$52:$B$62,0)))*N15</f>
        <v>-46562.065499999997</v>
      </c>
      <c r="O16" s="7">
        <f>-(1-INDEX('Inputs &amp; Drivers'!$D$52:$D$62,MATCH(Model!O$4,'Inputs &amp; Drivers'!$B$52:$B$62,0)))*O15</f>
        <v>-46679.25299999999</v>
      </c>
      <c r="P16" s="7">
        <f>-(1-INDEX('Inputs &amp; Drivers'!$D$52:$D$62,MATCH(Model!P$4,'Inputs &amp; Drivers'!$B$52:$B$62,0)))*P15</f>
        <v>-46796.440499999997</v>
      </c>
      <c r="Q16" s="7">
        <f>-(1-INDEX('Inputs &amp; Drivers'!$D$52:$D$62,MATCH(Model!Q$4,'Inputs &amp; Drivers'!$B$52:$B$62,0)))*Q15</f>
        <v>-46913.627999999997</v>
      </c>
      <c r="R16" s="7">
        <f>-(1-INDEX('Inputs &amp; Drivers'!$D$52:$D$62,MATCH(Model!R$4,'Inputs &amp; Drivers'!$B$52:$B$62,0)))*R15</f>
        <v>-47030.81549999999</v>
      </c>
      <c r="S16" s="7">
        <f>-(1-INDEX('Inputs &amp; Drivers'!$D$52:$D$62,MATCH(Model!S$4,'Inputs &amp; Drivers'!$B$52:$B$62,0)))*S15</f>
        <v>-47148.00299999999</v>
      </c>
      <c r="T16" s="7">
        <f>-(1-INDEX('Inputs &amp; Drivers'!$D$52:$D$62,MATCH(Model!T$4,'Inputs &amp; Drivers'!$B$52:$B$62,0)))*T15</f>
        <v>-47265.190499999997</v>
      </c>
      <c r="U16" s="7">
        <f>-(1-INDEX('Inputs &amp; Drivers'!$D$52:$D$62,MATCH(Model!U$4,'Inputs &amp; Drivers'!$B$52:$B$62,0)))*U15</f>
        <v>-47382.37799999999</v>
      </c>
      <c r="V16" s="7">
        <f>-(1-INDEX('Inputs &amp; Drivers'!$D$52:$D$62,MATCH(Model!V$4,'Inputs &amp; Drivers'!$B$52:$B$62,0)))*V15</f>
        <v>-42324.526006666652</v>
      </c>
      <c r="W16" s="7">
        <f>-(1-INDEX('Inputs &amp; Drivers'!$D$52:$D$62,MATCH(Model!W$4,'Inputs &amp; Drivers'!$B$52:$B$62,0)))*W15</f>
        <v>-42531.639405016642</v>
      </c>
      <c r="X16" s="7">
        <f>-(1-INDEX('Inputs &amp; Drivers'!$D$52:$D$62,MATCH(Model!X$4,'Inputs &amp; Drivers'!$B$52:$B$62,0)))*X15</f>
        <v>-42739.010170195856</v>
      </c>
      <c r="Y16" s="7">
        <f>-(1-INDEX('Inputs &amp; Drivers'!$D$52:$D$62,MATCH(Model!Y$4,'Inputs &amp; Drivers'!$B$52:$B$62,0)))*Y15</f>
        <v>-42946.638945621344</v>
      </c>
      <c r="Z16" s="7">
        <f>-(1-INDEX('Inputs &amp; Drivers'!$D$52:$D$62,MATCH(Model!Z$4,'Inputs &amp; Drivers'!$B$52:$B$62,0)))*Z15</f>
        <v>-43154.526376318725</v>
      </c>
      <c r="AA16" s="7">
        <f>-(1-INDEX('Inputs &amp; Drivers'!$D$52:$D$62,MATCH(Model!AA$4,'Inputs &amp; Drivers'!$B$52:$B$62,0)))*AA15</f>
        <v>-43362.673108926188</v>
      </c>
      <c r="AB16" s="7">
        <f>-(1-INDEX('Inputs &amp; Drivers'!$D$52:$D$62,MATCH(Model!AB$4,'Inputs &amp; Drivers'!$B$52:$B$62,0)))*AB15</f>
        <v>-43571.079791698496</v>
      </c>
      <c r="AC16" s="7">
        <f>-(1-INDEX('Inputs &amp; Drivers'!$D$52:$D$62,MATCH(Model!AC$4,'Inputs &amp; Drivers'!$B$52:$B$62,0)))*AC15</f>
        <v>-43779.747074511084</v>
      </c>
      <c r="AD16" s="7">
        <f>-(1-INDEX('Inputs &amp; Drivers'!$D$52:$D$62,MATCH(Model!AD$4,'Inputs &amp; Drivers'!$B$52:$B$62,0)))*AD15</f>
        <v>-43988.675608864025</v>
      </c>
      <c r="AE16" s="7">
        <f>-(1-INDEX('Inputs &amp; Drivers'!$D$52:$D$62,MATCH(Model!AE$4,'Inputs &amp; Drivers'!$B$52:$B$62,0)))*AE15</f>
        <v>-44197.866047886178</v>
      </c>
      <c r="AF16" s="7">
        <f>-(1-INDEX('Inputs &amp; Drivers'!$D$52:$D$62,MATCH(Model!AF$4,'Inputs &amp; Drivers'!$B$52:$B$62,0)))*AF15</f>
        <v>-44407.319046339231</v>
      </c>
      <c r="AG16" s="7">
        <f>-(1-INDEX('Inputs &amp; Drivers'!$D$52:$D$62,MATCH(Model!AG$4,'Inputs &amp; Drivers'!$B$52:$B$62,0)))*AG15</f>
        <v>-44617.035260621742</v>
      </c>
      <c r="AH16" s="7">
        <f>-(1-INDEX('Inputs &amp; Drivers'!$D$52:$D$62,MATCH(Model!AH$4,'Inputs &amp; Drivers'!$B$52:$B$62,0)))*AH15</f>
        <v>-39254.500678109718</v>
      </c>
      <c r="AI16" s="7">
        <f>-(1-INDEX('Inputs &amp; Drivers'!$D$52:$D$62,MATCH(Model!AI$4,'Inputs &amp; Drivers'!$B$52:$B$62,0)))*AI15</f>
        <v>-39469.506999814519</v>
      </c>
      <c r="AJ16" s="7">
        <f>-(1-INDEX('Inputs &amp; Drivers'!$D$52:$D$62,MATCH(Model!AJ$4,'Inputs &amp; Drivers'!$B$52:$B$62,0)))*AJ15</f>
        <v>-39593.780356480565</v>
      </c>
      <c r="AK16" s="7">
        <f>-(1-INDEX('Inputs &amp; Drivers'!$D$52:$D$62,MATCH(Model!AK$4,'Inputs &amp; Drivers'!$B$52:$B$62,0)))*AK15</f>
        <v>-39718.467957668843</v>
      </c>
      <c r="AL16" s="7">
        <f>-(1-INDEX('Inputs &amp; Drivers'!$D$52:$D$62,MATCH(Model!AL$4,'Inputs &amp; Drivers'!$B$52:$B$62,0)))*AL15</f>
        <v>-39843.571184194414</v>
      </c>
      <c r="AM16" s="7">
        <f>-(1-INDEX('Inputs &amp; Drivers'!$D$52:$D$62,MATCH(Model!AM$4,'Inputs &amp; Drivers'!$B$52:$B$62,0)))*AM15</f>
        <v>-39969.091421475059</v>
      </c>
      <c r="AN16" s="7">
        <f>-(1-INDEX('Inputs &amp; Drivers'!$D$52:$D$62,MATCH(Model!AN$4,'Inputs &amp; Drivers'!$B$52:$B$62,0)))*AN15</f>
        <v>-40095.030059546647</v>
      </c>
      <c r="AO16" s="7">
        <f>-(1-INDEX('Inputs &amp; Drivers'!$D$52:$D$62,MATCH(Model!AO$4,'Inputs &amp; Drivers'!$B$52:$B$62,0)))*AO15</f>
        <v>-40221.38849307847</v>
      </c>
      <c r="AP16" s="7">
        <f>-(1-INDEX('Inputs &amp; Drivers'!$D$52:$D$62,MATCH(Model!AP$4,'Inputs &amp; Drivers'!$B$52:$B$62,0)))*AP15</f>
        <v>-40348.168121388735</v>
      </c>
      <c r="AQ16" s="7">
        <f>-(1-INDEX('Inputs &amp; Drivers'!$D$52:$D$62,MATCH(Model!AQ$4,'Inputs &amp; Drivers'!$B$52:$B$62,0)))*AQ15</f>
        <v>-40475.370348460034</v>
      </c>
      <c r="AR16" s="7">
        <f>-(1-INDEX('Inputs &amp; Drivers'!$D$52:$D$62,MATCH(Model!AR$4,'Inputs &amp; Drivers'!$B$52:$B$62,0)))*AR15</f>
        <v>-40602.996582954904</v>
      </c>
      <c r="AS16" s="7">
        <f>-(1-INDEX('Inputs &amp; Drivers'!$D$52:$D$62,MATCH(Model!AS$4,'Inputs &amp; Drivers'!$B$52:$B$62,0)))*AS15</f>
        <v>-40731.048238231422</v>
      </c>
      <c r="AT16" s="7">
        <f>-(1-INDEX('Inputs &amp; Drivers'!$D$52:$D$62,MATCH(Model!AT$4,'Inputs &amp; Drivers'!$B$52:$B$62,0)))*AT15</f>
        <v>-40827.407108826999</v>
      </c>
      <c r="AU16" s="7">
        <f>-(1-INDEX('Inputs &amp; Drivers'!$D$52:$D$62,MATCH(Model!AU$4,'Inputs &amp; Drivers'!$B$52:$B$62,0)))*AU15</f>
        <v>-40924.006876599065</v>
      </c>
      <c r="AV16" s="7">
        <f>-(1-INDEX('Inputs &amp; Drivers'!$D$52:$D$62,MATCH(Model!AV$4,'Inputs &amp; Drivers'!$B$52:$B$62,0)))*AV15</f>
        <v>-41020.848143790565</v>
      </c>
      <c r="AW16" s="7">
        <f>-(1-INDEX('Inputs &amp; Drivers'!$D$52:$D$62,MATCH(Model!AW$4,'Inputs &amp; Drivers'!$B$52:$B$62,0)))*AW15</f>
        <v>-41117.931514150034</v>
      </c>
      <c r="AX16" s="7">
        <f>-(1-INDEX('Inputs &amp; Drivers'!$D$52:$D$62,MATCH(Model!AX$4,'Inputs &amp; Drivers'!$B$52:$B$62,0)))*AX15</f>
        <v>-41215.257592935406</v>
      </c>
      <c r="AY16" s="7">
        <f>-(1-INDEX('Inputs &amp; Drivers'!$D$52:$D$62,MATCH(Model!AY$4,'Inputs &amp; Drivers'!$B$52:$B$62,0)))*AY15</f>
        <v>-41312.826986917746</v>
      </c>
      <c r="AZ16" s="7">
        <f>-(1-INDEX('Inputs &amp; Drivers'!$D$52:$D$62,MATCH(Model!AZ$4,'Inputs &amp; Drivers'!$B$52:$B$62,0)))*AZ15</f>
        <v>-41410.640304385044</v>
      </c>
      <c r="BA16" s="7">
        <f>-(1-INDEX('Inputs &amp; Drivers'!$D$52:$D$62,MATCH(Model!BA$4,'Inputs &amp; Drivers'!$B$52:$B$62,0)))*BA15</f>
        <v>-41508.698155145998</v>
      </c>
      <c r="BB16" s="7">
        <f>-(1-INDEX('Inputs &amp; Drivers'!$D$52:$D$62,MATCH(Model!BB$4,'Inputs &amp; Drivers'!$B$52:$B$62,0)))*BB15</f>
        <v>-41607.00115053387</v>
      </c>
      <c r="BC16" s="7">
        <f>-(1-INDEX('Inputs &amp; Drivers'!$D$52:$D$62,MATCH(Model!BC$4,'Inputs &amp; Drivers'!$B$52:$B$62,0)))*BC15</f>
        <v>-41705.549903410196</v>
      </c>
      <c r="BD16" s="7">
        <f>-(1-INDEX('Inputs &amp; Drivers'!$D$52:$D$62,MATCH(Model!BD$4,'Inputs &amp; Drivers'!$B$52:$B$62,0)))*BD15</f>
        <v>-41804.345028168718</v>
      </c>
      <c r="BE16" s="7">
        <f>-(1-INDEX('Inputs &amp; Drivers'!$D$52:$D$62,MATCH(Model!BE$4,'Inputs &amp; Drivers'!$B$52:$B$62,0)))*BE15</f>
        <v>-41903.387140739142</v>
      </c>
      <c r="BF16" s="7">
        <f>-(1-INDEX('Inputs &amp; Drivers'!$D$52:$D$62,MATCH(Model!BF$4,'Inputs &amp; Drivers'!$B$52:$B$62,0)))*BF15</f>
        <v>-42002.676858590981</v>
      </c>
      <c r="BG16" s="7">
        <f>-(1-INDEX('Inputs &amp; Drivers'!$D$52:$D$62,MATCH(Model!BG$4,'Inputs &amp; Drivers'!$B$52:$B$62,0)))*BG15</f>
        <v>-42102.214800737456</v>
      </c>
      <c r="BH16" s="7">
        <f>-(1-INDEX('Inputs &amp; Drivers'!$D$52:$D$62,MATCH(Model!BH$4,'Inputs &amp; Drivers'!$B$52:$B$62,0)))*BH15</f>
        <v>-42202.001587739302</v>
      </c>
      <c r="BI16" s="7">
        <f>-(1-INDEX('Inputs &amp; Drivers'!$D$52:$D$62,MATCH(Model!BI$4,'Inputs &amp; Drivers'!$B$52:$B$62,0)))*BI15</f>
        <v>-42302.037841708654</v>
      </c>
      <c r="BJ16" s="7">
        <f>-(1-INDEX('Inputs &amp; Drivers'!$D$52:$D$62,MATCH(Model!BJ$4,'Inputs &amp; Drivers'!$B$52:$B$62,0)))*BJ15</f>
        <v>-42402.324186312922</v>
      </c>
      <c r="BK16" s="7">
        <f>-(1-INDEX('Inputs &amp; Drivers'!$D$52:$D$62,MATCH(Model!BK$4,'Inputs &amp; Drivers'!$B$52:$B$62,0)))*BK15</f>
        <v>-42502.861246778702</v>
      </c>
      <c r="BL16" s="7">
        <f>-(1-INDEX('Inputs &amp; Drivers'!$D$52:$D$62,MATCH(Model!BL$4,'Inputs &amp; Drivers'!$B$52:$B$62,0)))*BL15</f>
        <v>-42603.649649895648</v>
      </c>
      <c r="BM16" s="7">
        <f>-(1-INDEX('Inputs &amp; Drivers'!$D$52:$D$62,MATCH(Model!BM$4,'Inputs &amp; Drivers'!$B$52:$B$62,0)))*BM15</f>
        <v>-42704.690024020383</v>
      </c>
      <c r="BN16" s="7">
        <f>-(1-INDEX('Inputs &amp; Drivers'!$D$52:$D$62,MATCH(Model!BN$4,'Inputs &amp; Drivers'!$B$52:$B$62,0)))*BN15</f>
        <v>-42805.982999080428</v>
      </c>
      <c r="BO16" s="7">
        <f>-(1-INDEX('Inputs &amp; Drivers'!$D$52:$D$62,MATCH(Model!BO$4,'Inputs &amp; Drivers'!$B$52:$B$62,0)))*BO15</f>
        <v>-42907.529206578132</v>
      </c>
      <c r="BP16" s="7">
        <f>-(1-INDEX('Inputs &amp; Drivers'!$D$52:$D$62,MATCH(Model!BP$4,'Inputs &amp; Drivers'!$B$52:$B$62,0)))*BP15</f>
        <v>-43009.329279594574</v>
      </c>
      <c r="BQ16" s="7">
        <f>-(1-INDEX('Inputs &amp; Drivers'!$D$52:$D$62,MATCH(Model!BQ$4,'Inputs &amp; Drivers'!$B$52:$B$62,0)))*BQ15</f>
        <v>-43111.383852793559</v>
      </c>
      <c r="BR16" s="7">
        <f>-(1-INDEX('Inputs &amp; Drivers'!$D$52:$D$62,MATCH(Model!BR$4,'Inputs &amp; Drivers'!$B$52:$B$62,0)))*BR15</f>
        <v>-43213.693562425542</v>
      </c>
      <c r="BS16" s="7">
        <f>-(1-INDEX('Inputs &amp; Drivers'!$D$52:$D$62,MATCH(Model!BS$4,'Inputs &amp; Drivers'!$B$52:$B$62,0)))*BS15</f>
        <v>-43316.259046331601</v>
      </c>
      <c r="BT16" s="7">
        <f>-(1-INDEX('Inputs &amp; Drivers'!$D$52:$D$62,MATCH(Model!BT$4,'Inputs &amp; Drivers'!$B$52:$B$62,0)))*BT15</f>
        <v>-43419.080943947425</v>
      </c>
      <c r="BU16" s="7">
        <f>-(1-INDEX('Inputs &amp; Drivers'!$D$52:$D$62,MATCH(Model!BU$4,'Inputs &amp; Drivers'!$B$52:$B$62,0)))*BU15</f>
        <v>-43522.15989630729</v>
      </c>
      <c r="BV16" s="7">
        <f>-(1-INDEX('Inputs &amp; Drivers'!$D$52:$D$62,MATCH(Model!BV$4,'Inputs &amp; Drivers'!$B$52:$B$62,0)))*BV15</f>
        <v>-43625.496546048067</v>
      </c>
      <c r="BW16" s="7">
        <f>-(1-INDEX('Inputs &amp; Drivers'!$D$52:$D$62,MATCH(Model!BW$4,'Inputs &amp; Drivers'!$B$52:$B$62,0)))*BW15</f>
        <v>-43729.09153741318</v>
      </c>
      <c r="BX16" s="7">
        <f>-(1-INDEX('Inputs &amp; Drivers'!$D$52:$D$62,MATCH(Model!BX$4,'Inputs &amp; Drivers'!$B$52:$B$62,0)))*BX15</f>
        <v>-43832.945516256717</v>
      </c>
      <c r="BY16" s="7">
        <f>-(1-INDEX('Inputs &amp; Drivers'!$D$52:$D$62,MATCH(Model!BY$4,'Inputs &amp; Drivers'!$B$52:$B$62,0)))*BY15</f>
        <v>-43937.059130047353</v>
      </c>
      <c r="BZ16" s="7">
        <f>-(1-INDEX('Inputs &amp; Drivers'!$D$52:$D$62,MATCH(Model!BZ$4,'Inputs &amp; Drivers'!$B$52:$B$62,0)))*BZ15</f>
        <v>-44041.433027872459</v>
      </c>
      <c r="CA16" s="7">
        <f>-(1-INDEX('Inputs &amp; Drivers'!$D$52:$D$62,MATCH(Model!CA$4,'Inputs &amp; Drivers'!$B$52:$B$62,0)))*CA15</f>
        <v>-44146.067860442141</v>
      </c>
      <c r="CB16" s="7">
        <f>-(1-INDEX('Inputs &amp; Drivers'!$D$52:$D$62,MATCH(Model!CB$4,'Inputs &amp; Drivers'!$B$52:$B$62,0)))*CB15</f>
        <v>-44250.964280093249</v>
      </c>
      <c r="CC16" s="7">
        <f>-(1-INDEX('Inputs &amp; Drivers'!$D$52:$D$62,MATCH(Model!CC$4,'Inputs &amp; Drivers'!$B$52:$B$62,0)))*CC15</f>
        <v>-44356.122940793481</v>
      </c>
      <c r="CD16" s="7">
        <f>-(1-INDEX('Inputs &amp; Drivers'!$D$52:$D$62,MATCH(Model!CD$4,'Inputs &amp; Drivers'!$B$52:$B$62,0)))*CD15</f>
        <v>-44461.544498145464</v>
      </c>
      <c r="CE16" s="7">
        <f>-(1-INDEX('Inputs &amp; Drivers'!$D$52:$D$62,MATCH(Model!CE$4,'Inputs &amp; Drivers'!$B$52:$B$62,0)))*CE15</f>
        <v>-44567.229609390823</v>
      </c>
      <c r="CF16" s="7">
        <f>-(1-INDEX('Inputs &amp; Drivers'!$D$52:$D$62,MATCH(Model!CF$4,'Inputs &amp; Drivers'!$B$52:$B$62,0)))*CF15</f>
        <v>-44673.178933414296</v>
      </c>
      <c r="CG16" s="7">
        <f>-(1-INDEX('Inputs &amp; Drivers'!$D$52:$D$62,MATCH(Model!CG$4,'Inputs &amp; Drivers'!$B$52:$B$62,0)))*CG15</f>
        <v>-44779.393130747834</v>
      </c>
      <c r="CH16" s="7">
        <f>-(1-INDEX('Inputs &amp; Drivers'!$D$52:$D$62,MATCH(Model!CH$4,'Inputs &amp; Drivers'!$B$52:$B$62,0)))*CH15</f>
        <v>-44885.872863574696</v>
      </c>
      <c r="CI16" s="7">
        <f>-(1-INDEX('Inputs &amp; Drivers'!$D$52:$D$62,MATCH(Model!CI$4,'Inputs &amp; Drivers'!$B$52:$B$62,0)))*CI15</f>
        <v>-44992.618795733637</v>
      </c>
      <c r="CJ16" s="7">
        <f>-(1-INDEX('Inputs &amp; Drivers'!$D$52:$D$62,MATCH(Model!CJ$4,'Inputs &amp; Drivers'!$B$52:$B$62,0)))*CJ15</f>
        <v>-45099.631592722966</v>
      </c>
      <c r="CK16" s="7">
        <f>-(1-INDEX('Inputs &amp; Drivers'!$D$52:$D$62,MATCH(Model!CK$4,'Inputs &amp; Drivers'!$B$52:$B$62,0)))*CK15</f>
        <v>-45206.91192170477</v>
      </c>
      <c r="CL16" s="7">
        <f>-(1-INDEX('Inputs &amp; Drivers'!$D$52:$D$62,MATCH(Model!CL$4,'Inputs &amp; Drivers'!$B$52:$B$62,0)))*CL15</f>
        <v>-45314.460451509025</v>
      </c>
      <c r="CM16" s="7">
        <f>-(1-INDEX('Inputs &amp; Drivers'!$D$52:$D$62,MATCH(Model!CM$4,'Inputs &amp; Drivers'!$B$52:$B$62,0)))*CM15</f>
        <v>-45422.277852637795</v>
      </c>
      <c r="CN16" s="7">
        <f>-(1-INDEX('Inputs &amp; Drivers'!$D$52:$D$62,MATCH(Model!CN$4,'Inputs &amp; Drivers'!$B$52:$B$62,0)))*CN15</f>
        <v>-45530.364797269387</v>
      </c>
      <c r="CO16" s="7">
        <f>-(1-INDEX('Inputs &amp; Drivers'!$D$52:$D$62,MATCH(Model!CO$4,'Inputs &amp; Drivers'!$B$52:$B$62,0)))*CO15</f>
        <v>-45638.721959262555</v>
      </c>
      <c r="CP16" s="7">
        <f>-(1-INDEX('Inputs &amp; Drivers'!$D$52:$D$62,MATCH(Model!CP$4,'Inputs &amp; Drivers'!$B$52:$B$62,0)))*CP15</f>
        <v>-45747.350014160715</v>
      </c>
      <c r="CQ16" s="7">
        <f>-(1-INDEX('Inputs &amp; Drivers'!$D$52:$D$62,MATCH(Model!CQ$4,'Inputs &amp; Drivers'!$B$52:$B$62,0)))*CQ15</f>
        <v>-45856.24963919611</v>
      </c>
      <c r="CR16" s="7">
        <f>-(1-INDEX('Inputs &amp; Drivers'!$D$52:$D$62,MATCH(Model!CR$4,'Inputs &amp; Drivers'!$B$52:$B$62,0)))*CR15</f>
        <v>-45965.421513294095</v>
      </c>
      <c r="CS16" s="7">
        <f>-(1-INDEX('Inputs &amp; Drivers'!$D$52:$D$62,MATCH(Model!CS$4,'Inputs &amp; Drivers'!$B$52:$B$62,0)))*CS15</f>
        <v>-46074.866317077329</v>
      </c>
      <c r="CT16" s="7">
        <f>-(1-INDEX('Inputs &amp; Drivers'!$D$52:$D$62,MATCH(Model!CT$4,'Inputs &amp; Drivers'!$B$52:$B$62,0)))*CT15</f>
        <v>-46184.584732870018</v>
      </c>
      <c r="CU16" s="7">
        <f>-(1-INDEX('Inputs &amp; Drivers'!$D$52:$D$62,MATCH(Model!CU$4,'Inputs &amp; Drivers'!$B$52:$B$62,0)))*CU15</f>
        <v>-46294.57744470219</v>
      </c>
      <c r="CV16" s="7">
        <f>-(1-INDEX('Inputs &amp; Drivers'!$D$52:$D$62,MATCH(Model!CV$4,'Inputs &amp; Drivers'!$B$52:$B$62,0)))*CV15</f>
        <v>-46404.84513831394</v>
      </c>
      <c r="CW16" s="7">
        <f>-(1-INDEX('Inputs &amp; Drivers'!$D$52:$D$62,MATCH(Model!CW$4,'Inputs &amp; Drivers'!$B$52:$B$62,0)))*CW15</f>
        <v>-46515.38850115973</v>
      </c>
      <c r="CX16" s="7">
        <f>-(1-INDEX('Inputs &amp; Drivers'!$D$52:$D$62,MATCH(Model!CX$4,'Inputs &amp; Drivers'!$B$52:$B$62,0)))*CX15</f>
        <v>-46626.208222412628</v>
      </c>
      <c r="CY16" s="7">
        <f>-(1-INDEX('Inputs &amp; Drivers'!$D$52:$D$62,MATCH(Model!CY$4,'Inputs &amp; Drivers'!$B$52:$B$62,0)))*CY15</f>
        <v>-46737.30499296866</v>
      </c>
      <c r="CZ16" s="7">
        <f>-(1-INDEX('Inputs &amp; Drivers'!$D$52:$D$62,MATCH(Model!CZ$4,'Inputs &amp; Drivers'!$B$52:$B$62,0)))*CZ15</f>
        <v>-46848.679505451088</v>
      </c>
      <c r="DA16" s="7">
        <f>-(1-INDEX('Inputs &amp; Drivers'!$D$52:$D$62,MATCH(Model!DA$4,'Inputs &amp; Drivers'!$B$52:$B$62,0)))*DA15</f>
        <v>-46960.332454214702</v>
      </c>
      <c r="DB16" s="7">
        <f>-(1-INDEX('Inputs &amp; Drivers'!$D$52:$D$62,MATCH(Model!DB$4,'Inputs &amp; Drivers'!$B$52:$B$62,0)))*DB15</f>
        <v>-47072.264535350238</v>
      </c>
      <c r="DC16" s="7">
        <f>-(1-INDEX('Inputs &amp; Drivers'!$D$52:$D$62,MATCH(Model!DC$4,'Inputs &amp; Drivers'!$B$52:$B$62,0)))*DC15</f>
        <v>-47184.476446688612</v>
      </c>
      <c r="DD16" s="7">
        <f>-(1-INDEX('Inputs &amp; Drivers'!$D$52:$D$62,MATCH(Model!DD$4,'Inputs &amp; Drivers'!$B$52:$B$62,0)))*DD15</f>
        <v>-47296.968887805335</v>
      </c>
      <c r="DE16" s="7">
        <f>-(1-INDEX('Inputs &amp; Drivers'!$D$52:$D$62,MATCH(Model!DE$4,'Inputs &amp; Drivers'!$B$52:$B$62,0)))*DE15</f>
        <v>-47409.742560024846</v>
      </c>
      <c r="DF16" s="7">
        <f>-(1-INDEX('Inputs &amp; Drivers'!$D$52:$D$62,MATCH(Model!DF$4,'Inputs &amp; Drivers'!$B$52:$B$62,0)))*DF15</f>
        <v>-47522.798166424895</v>
      </c>
      <c r="DG16" s="7">
        <f>-(1-INDEX('Inputs &amp; Drivers'!$D$52:$D$62,MATCH(Model!DG$4,'Inputs &amp; Drivers'!$B$52:$B$62,0)))*DG15</f>
        <v>-47636.136411840955</v>
      </c>
      <c r="DH16" s="7">
        <f>-(1-INDEX('Inputs &amp; Drivers'!$D$52:$D$62,MATCH(Model!DH$4,'Inputs &amp; Drivers'!$B$52:$B$62,0)))*DH15</f>
        <v>-47749.758002870563</v>
      </c>
      <c r="DI16" s="7">
        <f>-(1-INDEX('Inputs &amp; Drivers'!$D$52:$D$62,MATCH(Model!DI$4,'Inputs &amp; Drivers'!$B$52:$B$62,0)))*DI15</f>
        <v>-47863.663647877729</v>
      </c>
      <c r="DJ16" s="7">
        <f>-(1-INDEX('Inputs &amp; Drivers'!$D$52:$D$62,MATCH(Model!DJ$4,'Inputs &amp; Drivers'!$B$52:$B$62,0)))*DJ15</f>
        <v>-47977.854056997414</v>
      </c>
      <c r="DK16" s="7">
        <f>-(1-INDEX('Inputs &amp; Drivers'!$D$52:$D$62,MATCH(Model!DK$4,'Inputs &amp; Drivers'!$B$52:$B$62,0)))*DK15</f>
        <v>-48092.329942139906</v>
      </c>
      <c r="DL16" s="7">
        <f>-(1-INDEX('Inputs &amp; Drivers'!$D$52:$D$62,MATCH(Model!DL$4,'Inputs &amp; Drivers'!$B$52:$B$62,0)))*DL15</f>
        <v>-48207.092016995251</v>
      </c>
      <c r="DM16" s="7">
        <f>-(1-INDEX('Inputs &amp; Drivers'!$D$52:$D$62,MATCH(Model!DM$4,'Inputs &amp; Drivers'!$B$52:$B$62,0)))*DM15</f>
        <v>-48322.140997037735</v>
      </c>
      <c r="DN16" s="7">
        <f>-(1-INDEX('Inputs &amp; Drivers'!$D$52:$D$62,MATCH(Model!DN$4,'Inputs &amp; Drivers'!$B$52:$B$62,0)))*DN15</f>
        <v>-48437.477599530328</v>
      </c>
      <c r="DO16" s="7">
        <f>-(1-INDEX('Inputs &amp; Drivers'!$D$52:$D$62,MATCH(Model!DO$4,'Inputs &amp; Drivers'!$B$52:$B$62,0)))*DO15</f>
        <v>-48553.102543529152</v>
      </c>
      <c r="DP16" s="7">
        <f>-(1-INDEX('Inputs &amp; Drivers'!$D$52:$D$62,MATCH(Model!DP$4,'Inputs &amp; Drivers'!$B$52:$B$62,0)))*DP15</f>
        <v>-48669.016549887965</v>
      </c>
      <c r="DQ16" s="7">
        <f>-(1-INDEX('Inputs &amp; Drivers'!$D$52:$D$62,MATCH(Model!DQ$4,'Inputs &amp; Drivers'!$B$52:$B$62,0)))*DQ15</f>
        <v>-48785.220341262691</v>
      </c>
      <c r="DR16" s="7">
        <f>-(1-INDEX('Inputs &amp; Drivers'!$D$52:$D$62,MATCH(Model!DR$4,'Inputs &amp; Drivers'!$B$52:$B$62,0)))*DR15</f>
        <v>-48901.71464211584</v>
      </c>
      <c r="DS16" s="7">
        <f>-(1-INDEX('Inputs &amp; Drivers'!$D$52:$D$62,MATCH(Model!DS$4,'Inputs &amp; Drivers'!$B$52:$B$62,0)))*DS15</f>
        <v>-49018.500178721129</v>
      </c>
      <c r="DT16" s="7">
        <f>-(1-INDEX('Inputs &amp; Drivers'!$D$52:$D$62,MATCH(Model!DT$4,'Inputs &amp; Drivers'!$B$52:$B$62,0)))*DT15</f>
        <v>-49135.577679167931</v>
      </c>
      <c r="DU16" s="7">
        <f>-(1-INDEX('Inputs &amp; Drivers'!$D$52:$D$62,MATCH(Model!DU$4,'Inputs &amp; Drivers'!$B$52:$B$62,0)))*DU15</f>
        <v>-49252.947873365847</v>
      </c>
      <c r="DV16" s="7">
        <f>-(1-INDEX('Inputs &amp; Drivers'!$D$52:$D$62,MATCH(Model!DV$4,'Inputs &amp; Drivers'!$B$52:$B$62,0)))*DV15</f>
        <v>-49370.611493049262</v>
      </c>
      <c r="DW16" s="7">
        <f>-(1-INDEX('Inputs &amp; Drivers'!$D$52:$D$62,MATCH(Model!DW$4,'Inputs &amp; Drivers'!$B$52:$B$62,0)))*DW15</f>
        <v>-49488.569271781882</v>
      </c>
      <c r="DX16" s="7">
        <f>-(1-INDEX('Inputs &amp; Drivers'!$D$52:$D$62,MATCH(Model!DX$4,'Inputs &amp; Drivers'!$B$52:$B$62,0)))*DX15</f>
        <v>-49606.821944961339</v>
      </c>
      <c r="DY16" s="7">
        <f>-(1-INDEX('Inputs &amp; Drivers'!$D$52:$D$62,MATCH(Model!DY$4,'Inputs &amp; Drivers'!$B$52:$B$62,0)))*DY15</f>
        <v>-49725.37024982374</v>
      </c>
      <c r="DZ16" s="7">
        <f>-(1-INDEX('Inputs &amp; Drivers'!$D$52:$D$62,MATCH(Model!DZ$4,'Inputs &amp; Drivers'!$B$52:$B$62,0)))*DZ15</f>
        <v>-49844.214925448301</v>
      </c>
      <c r="EA16" s="7">
        <f>-(1-INDEX('Inputs &amp; Drivers'!$D$52:$D$62,MATCH(Model!EA$4,'Inputs &amp; Drivers'!$B$52:$B$62,0)))*EA15</f>
        <v>-49963.356712761917</v>
      </c>
      <c r="EB16" s="7">
        <f>-(1-INDEX('Inputs &amp; Drivers'!$D$52:$D$62,MATCH(Model!EB$4,'Inputs &amp; Drivers'!$B$52:$B$62,0)))*EB15</f>
        <v>-50082.796354543818</v>
      </c>
      <c r="EC16" s="7">
        <f>-(1-INDEX('Inputs &amp; Drivers'!$D$52:$D$62,MATCH(Model!EC$4,'Inputs &amp; Drivers'!$B$52:$B$62,0)))*EC15</f>
        <v>-50202.534595430174</v>
      </c>
      <c r="ED16" s="7">
        <f>-(1-INDEX('Inputs &amp; Drivers'!$D$52:$D$62,MATCH(Model!ED$4,'Inputs &amp; Drivers'!$B$52:$B$62,0)))*ED15</f>
        <v>-50322.572181918753</v>
      </c>
      <c r="EE16" s="7">
        <f>-(1-INDEX('Inputs &amp; Drivers'!$D$52:$D$62,MATCH(Model!EE$4,'Inputs &amp; Drivers'!$B$52:$B$62,0)))*EE15</f>
        <v>-50442.909862373548</v>
      </c>
      <c r="EF16" s="7">
        <f>-(1-INDEX('Inputs &amp; Drivers'!$D$52:$D$62,MATCH(Model!EF$4,'Inputs &amp; Drivers'!$B$52:$B$62,0)))*EF15</f>
        <v>-50563.548387029477</v>
      </c>
      <c r="EG16" s="7">
        <f>-(1-INDEX('Inputs &amp; Drivers'!$D$52:$D$62,MATCH(Model!EG$4,'Inputs &amp; Drivers'!$B$52:$B$62,0)))*EG15</f>
        <v>-50684.488507997048</v>
      </c>
      <c r="EH16" s="7">
        <f>-(1-INDEX('Inputs &amp; Drivers'!$D$52:$D$62,MATCH(Model!EH$4,'Inputs &amp; Drivers'!$B$52:$B$62,0)))*EH15</f>
        <v>-50805.730979267035</v>
      </c>
      <c r="EI16" s="7">
        <f>-(1-INDEX('Inputs &amp; Drivers'!$D$52:$D$62,MATCH(Model!EI$4,'Inputs &amp; Drivers'!$B$52:$B$62,0)))*EI15</f>
        <v>-50927.276556715202</v>
      </c>
      <c r="EJ16" s="7">
        <f>-(1-INDEX('Inputs &amp; Drivers'!$D$52:$D$62,MATCH(Model!EJ$4,'Inputs &amp; Drivers'!$B$52:$B$62,0)))*EJ15</f>
        <v>-51049.125998106989</v>
      </c>
      <c r="EK16" s="7">
        <f>-(1-INDEX('Inputs &amp; Drivers'!$D$52:$D$62,MATCH(Model!EK$4,'Inputs &amp; Drivers'!$B$52:$B$62,0)))*EK15</f>
        <v>-51171.280063102262</v>
      </c>
      <c r="EM16" s="109">
        <f t="shared" ref="EM16:EM18" si="235">SUMIF($I$4:$EK$4,EM$5,$I16:$EK16)</f>
        <v>0</v>
      </c>
      <c r="EN16" s="109">
        <f t="shared" ref="EN16:EX18" si="236">SUMIF($I$4:$EK$4,EN$5,$I16:$EK16)</f>
        <v>-560971.34849999996</v>
      </c>
      <c r="EO16" s="109">
        <f t="shared" si="236"/>
        <v>-521620.73684266623</v>
      </c>
      <c r="EP16" s="109">
        <f t="shared" si="236"/>
        <v>-480322.9204414034</v>
      </c>
      <c r="EQ16" s="109">
        <f t="shared" si="236"/>
        <v>-496357.89990560268</v>
      </c>
      <c r="ER16" s="109">
        <f t="shared" si="236"/>
        <v>-510656.68153383076</v>
      </c>
      <c r="ES16" s="109">
        <f t="shared" si="236"/>
        <v>-525390.37428797851</v>
      </c>
      <c r="ET16" s="109">
        <f t="shared" si="236"/>
        <v>-540572.20640611323</v>
      </c>
      <c r="EU16" s="109">
        <f t="shared" si="236"/>
        <v>-556215.80847582128</v>
      </c>
      <c r="EV16" s="109">
        <f t="shared" si="236"/>
        <v>-572335.22567205341</v>
      </c>
      <c r="EW16" s="109">
        <f t="shared" si="236"/>
        <v>-588944.93036719714</v>
      </c>
      <c r="EX16" s="109">
        <f t="shared" si="236"/>
        <v>-606059.83512469451</v>
      </c>
    </row>
    <row r="17" spans="2:154" x14ac:dyDescent="0.3">
      <c r="B17" s="1" t="s">
        <v>14</v>
      </c>
      <c r="E17" s="70">
        <f>SUM('Historical Financials'!M16:O16)*4</f>
        <v>0</v>
      </c>
      <c r="F17" s="70">
        <f>SUM('Historical Financials'!D16:O16)</f>
        <v>-10560</v>
      </c>
      <c r="J17" s="82">
        <f>-'Inputs &amp; Drivers'!$D$40*J$15</f>
        <v>-880.00000000000011</v>
      </c>
      <c r="K17" s="82">
        <f>-'Inputs &amp; Drivers'!$D$40*K15</f>
        <v>-880.00000000000011</v>
      </c>
      <c r="L17" s="82">
        <f>-'Inputs &amp; Drivers'!$D$40*L15</f>
        <v>-882.23163552234018</v>
      </c>
      <c r="M17" s="82">
        <f>-'Inputs &amp; Drivers'!$D$40*M15</f>
        <v>-884.46327104468014</v>
      </c>
      <c r="N17" s="82">
        <f>-'Inputs &amp; Drivers'!$D$40*N15</f>
        <v>-886.69490656702021</v>
      </c>
      <c r="O17" s="82">
        <f>-'Inputs &amp; Drivers'!$D$40*O15</f>
        <v>-888.92654208936017</v>
      </c>
      <c r="P17" s="82">
        <f>-'Inputs &amp; Drivers'!$D$40*P15</f>
        <v>-891.15817761170024</v>
      </c>
      <c r="Q17" s="82">
        <f>-'Inputs &amp; Drivers'!$D$40*Q15</f>
        <v>-893.38981313404031</v>
      </c>
      <c r="R17" s="82">
        <f>-'Inputs &amp; Drivers'!$D$40*R15</f>
        <v>-895.62144865638015</v>
      </c>
      <c r="S17" s="82">
        <f>-'Inputs &amp; Drivers'!$D$40*S15</f>
        <v>-897.85308417872022</v>
      </c>
      <c r="T17" s="82">
        <f>-'Inputs &amp; Drivers'!$D$40*T15</f>
        <v>-900.08471970106029</v>
      </c>
      <c r="U17" s="82">
        <f>-'Inputs &amp; Drivers'!$D$40*U15</f>
        <v>-902.31635522340025</v>
      </c>
      <c r="V17" s="82">
        <f>-'Inputs &amp; Drivers'!$D$40*V15</f>
        <v>-906.74799074574037</v>
      </c>
      <c r="W17" s="82">
        <f>-'Inputs &amp; Drivers'!$D$40*W15</f>
        <v>-911.18512626808024</v>
      </c>
      <c r="X17" s="82">
        <f>-'Inputs &amp; Drivers'!$D$40*X15</f>
        <v>-915.6277755404202</v>
      </c>
      <c r="Y17" s="82">
        <f>-'Inputs &amp; Drivers'!$D$40*Y15</f>
        <v>-920.07595234713517</v>
      </c>
      <c r="Z17" s="82">
        <f>-'Inputs &amp; Drivers'!$D$40*Z15</f>
        <v>-924.52967050706104</v>
      </c>
      <c r="AA17" s="82">
        <f>-'Inputs &amp; Drivers'!$D$40*AA15</f>
        <v>-928.98894387358098</v>
      </c>
      <c r="AB17" s="82">
        <f>-'Inputs &amp; Drivers'!$D$40*AB15</f>
        <v>-933.45378633471125</v>
      </c>
      <c r="AC17" s="82">
        <f>-'Inputs &amp; Drivers'!$D$40*AC15</f>
        <v>-937.92421181318878</v>
      </c>
      <c r="AD17" s="82">
        <f>-'Inputs &amp; Drivers'!$D$40*AD15</f>
        <v>-942.40023426655637</v>
      </c>
      <c r="AE17" s="82">
        <f>-'Inputs &amp; Drivers'!$D$40*AE15</f>
        <v>-946.88186768725143</v>
      </c>
      <c r="AF17" s="82">
        <f>-'Inputs &amp; Drivers'!$D$40*AF15</f>
        <v>-951.36912610269269</v>
      </c>
      <c r="AG17" s="82">
        <f>-'Inputs &amp; Drivers'!$D$40*AG15</f>
        <v>-955.86202357536661</v>
      </c>
      <c r="AH17" s="82">
        <f>-'Inputs &amp; Drivers'!$D$40*AH15</f>
        <v>-961.11621257131947</v>
      </c>
      <c r="AI17" s="82">
        <f>-'Inputs &amp; Drivers'!$D$40*AI15</f>
        <v>-966.38047674551774</v>
      </c>
      <c r="AJ17" s="82">
        <f>-'Inputs &amp; Drivers'!$D$40*AJ15</f>
        <v>-969.42321415954882</v>
      </c>
      <c r="AK17" s="82">
        <f>-'Inputs &amp; Drivers'!$D$40*AK15</f>
        <v>-972.47609403162687</v>
      </c>
      <c r="AL17" s="82">
        <f>-'Inputs &amp; Drivers'!$D$40*AL15</f>
        <v>-975.53915016994529</v>
      </c>
      <c r="AM17" s="82">
        <f>-'Inputs &amp; Drivers'!$D$40*AM15</f>
        <v>-978.61241649539124</v>
      </c>
      <c r="AN17" s="82">
        <f>-'Inputs &amp; Drivers'!$D$40*AN15</f>
        <v>-981.69592704192212</v>
      </c>
      <c r="AO17" s="82">
        <f>-'Inputs &amp; Drivers'!$D$40*AO15</f>
        <v>-984.78971595694145</v>
      </c>
      <c r="AP17" s="82">
        <f>-'Inputs &amp; Drivers'!$D$40*AP15</f>
        <v>-987.8938175016774</v>
      </c>
      <c r="AQ17" s="82">
        <f>-'Inputs &amp; Drivers'!$D$40*AQ15</f>
        <v>-991.0082660515626</v>
      </c>
      <c r="AR17" s="82">
        <f>-'Inputs &amp; Drivers'!$D$40*AR15</f>
        <v>-994.13309609661394</v>
      </c>
      <c r="AS17" s="82">
        <f>-'Inputs &amp; Drivers'!$D$40*AS15</f>
        <v>-997.26834224181539</v>
      </c>
      <c r="AT17" s="82">
        <f>-'Inputs &amp; Drivers'!$D$40*AT15</f>
        <v>-999.62761496607959</v>
      </c>
      <c r="AU17" s="82">
        <f>-'Inputs &amp; Drivers'!$D$40*AU15</f>
        <v>-1001.9927858721543</v>
      </c>
      <c r="AV17" s="82">
        <f>-'Inputs &amp; Drivers'!$D$40*AV15</f>
        <v>-1004.3638697054944</v>
      </c>
      <c r="AW17" s="82">
        <f>-'Inputs &amp; Drivers'!$D$40*AW15</f>
        <v>-1006.7408812484176</v>
      </c>
      <c r="AX17" s="82">
        <f>-'Inputs &amp; Drivers'!$D$40*AX15</f>
        <v>-1009.1238353201982</v>
      </c>
      <c r="AY17" s="82">
        <f>-'Inputs &amp; Drivers'!$D$40*AY15</f>
        <v>-1011.5127467771583</v>
      </c>
      <c r="AZ17" s="82">
        <f>-'Inputs &amp; Drivers'!$D$40*AZ15</f>
        <v>-1013.9076305127608</v>
      </c>
      <c r="BA17" s="82">
        <f>-'Inputs &amp; Drivers'!$D$40*BA15</f>
        <v>-1016.3085014577022</v>
      </c>
      <c r="BB17" s="82">
        <f>-'Inputs &amp; Drivers'!$D$40*BB15</f>
        <v>-1018.715374580006</v>
      </c>
      <c r="BC17" s="82">
        <f>-'Inputs &amp; Drivers'!$D$40*BC15</f>
        <v>-1021.1282648851156</v>
      </c>
      <c r="BD17" s="82">
        <f>-'Inputs &amp; Drivers'!$D$40*BD15</f>
        <v>-1023.5471874159879</v>
      </c>
      <c r="BE17" s="82">
        <f>-'Inputs &amp; Drivers'!$D$40*BE15</f>
        <v>-1025.9721572531873</v>
      </c>
      <c r="BF17" s="82">
        <f>-'Inputs &amp; Drivers'!$D$40*BF15</f>
        <v>-1028.4031895149797</v>
      </c>
      <c r="BG17" s="82">
        <f>-'Inputs &amp; Drivers'!$D$40*BG15</f>
        <v>-1030.8402993574268</v>
      </c>
      <c r="BH17" s="82">
        <f>-'Inputs &amp; Drivers'!$D$40*BH15</f>
        <v>-1033.28350197448</v>
      </c>
      <c r="BI17" s="82">
        <f>-'Inputs &amp; Drivers'!$D$40*BI15</f>
        <v>-1035.7328125980757</v>
      </c>
      <c r="BJ17" s="82">
        <f>-'Inputs &amp; Drivers'!$D$40*BJ15</f>
        <v>-1038.1882464982305</v>
      </c>
      <c r="BK17" s="82">
        <f>-'Inputs &amp; Drivers'!$D$40*BK15</f>
        <v>-1040.6498189831357</v>
      </c>
      <c r="BL17" s="82">
        <f>-'Inputs &amp; Drivers'!$D$40*BL15</f>
        <v>-1043.1175453992532</v>
      </c>
      <c r="BM17" s="82">
        <f>-'Inputs &amp; Drivers'!$D$40*BM15</f>
        <v>-1045.5914411314106</v>
      </c>
      <c r="BN17" s="82">
        <f>-'Inputs &amp; Drivers'!$D$40*BN15</f>
        <v>-1048.0715216028989</v>
      </c>
      <c r="BO17" s="82">
        <f>-'Inputs &amp; Drivers'!$D$40*BO15</f>
        <v>-1050.5578022755656</v>
      </c>
      <c r="BP17" s="82">
        <f>-'Inputs &amp; Drivers'!$D$40*BP15</f>
        <v>-1053.0502986499141</v>
      </c>
      <c r="BQ17" s="82">
        <f>-'Inputs &amp; Drivers'!$D$40*BQ15</f>
        <v>-1055.5490262651983</v>
      </c>
      <c r="BR17" s="82">
        <f>-'Inputs &amp; Drivers'!$D$40*BR15</f>
        <v>-1058.0540006995209</v>
      </c>
      <c r="BS17" s="82">
        <f>-'Inputs &amp; Drivers'!$D$40*BS15</f>
        <v>-1060.5652375699292</v>
      </c>
      <c r="BT17" s="82">
        <f>-'Inputs &amp; Drivers'!$D$40*BT15</f>
        <v>-1063.0827525325135</v>
      </c>
      <c r="BU17" s="82">
        <f>-'Inputs &amp; Drivers'!$D$40*BU15</f>
        <v>-1065.6065612825043</v>
      </c>
      <c r="BV17" s="82">
        <f>-'Inputs &amp; Drivers'!$D$40*BV15</f>
        <v>-1068.1366795543704</v>
      </c>
      <c r="BW17" s="82">
        <f>-'Inputs &amp; Drivers'!$D$40*BW15</f>
        <v>-1070.673123121916</v>
      </c>
      <c r="BX17" s="82">
        <f>-'Inputs &amp; Drivers'!$D$40*BX15</f>
        <v>-1073.2159077983804</v>
      </c>
      <c r="BY17" s="82">
        <f>-'Inputs &amp; Drivers'!$D$40*BY15</f>
        <v>-1075.7650494365357</v>
      </c>
      <c r="BZ17" s="82">
        <f>-'Inputs &amp; Drivers'!$D$40*BZ15</f>
        <v>-1078.3205639287864</v>
      </c>
      <c r="CA17" s="82">
        <f>-'Inputs &amp; Drivers'!$D$40*CA15</f>
        <v>-1080.8824672072681</v>
      </c>
      <c r="CB17" s="82">
        <f>-'Inputs &amp; Drivers'!$D$40*CB15</f>
        <v>-1083.4507752439458</v>
      </c>
      <c r="CC17" s="82">
        <f>-'Inputs &amp; Drivers'!$D$40*CC15</f>
        <v>-1086.0255040507152</v>
      </c>
      <c r="CD17" s="82">
        <f>-'Inputs &amp; Drivers'!$D$40*CD15</f>
        <v>-1088.6066696795015</v>
      </c>
      <c r="CE17" s="82">
        <f>-'Inputs &amp; Drivers'!$D$40*CE15</f>
        <v>-1091.1942882223598</v>
      </c>
      <c r="CF17" s="82">
        <f>-'Inputs &amp; Drivers'!$D$40*CF15</f>
        <v>-1093.7883758115752</v>
      </c>
      <c r="CG17" s="82">
        <f>-'Inputs &amp; Drivers'!$D$40*CG15</f>
        <v>-1096.3889486197638</v>
      </c>
      <c r="CH17" s="82">
        <f>-'Inputs &amp; Drivers'!$D$40*CH15</f>
        <v>-1098.9960228599725</v>
      </c>
      <c r="CI17" s="82">
        <f>-'Inputs &amp; Drivers'!$D$40*CI15</f>
        <v>-1101.6096147857822</v>
      </c>
      <c r="CJ17" s="82">
        <f>-'Inputs &amp; Drivers'!$D$40*CJ15</f>
        <v>-1104.2297406914061</v>
      </c>
      <c r="CK17" s="82">
        <f>-'Inputs &amp; Drivers'!$D$40*CK15</f>
        <v>-1106.8564169117942</v>
      </c>
      <c r="CL17" s="82">
        <f>-'Inputs &amp; Drivers'!$D$40*CL15</f>
        <v>-1109.4896598227331</v>
      </c>
      <c r="CM17" s="82">
        <f>-'Inputs &amp; Drivers'!$D$40*CM15</f>
        <v>-1112.1294858409494</v>
      </c>
      <c r="CN17" s="82">
        <f>-'Inputs &amp; Drivers'!$D$40*CN15</f>
        <v>-1114.7759114242115</v>
      </c>
      <c r="CO17" s="82">
        <f>-'Inputs &amp; Drivers'!$D$40*CO15</f>
        <v>-1117.4289530714314</v>
      </c>
      <c r="CP17" s="82">
        <f>-'Inputs &amp; Drivers'!$D$40*CP15</f>
        <v>-1120.0886273227695</v>
      </c>
      <c r="CQ17" s="82">
        <f>-'Inputs &amp; Drivers'!$D$40*CQ15</f>
        <v>-1122.7549507597362</v>
      </c>
      <c r="CR17" s="82">
        <f>-'Inputs &amp; Drivers'!$D$40*CR15</f>
        <v>-1125.4279400052949</v>
      </c>
      <c r="CS17" s="82">
        <f>-'Inputs &amp; Drivers'!$D$40*CS15</f>
        <v>-1128.1076117239677</v>
      </c>
      <c r="CT17" s="82">
        <f>-'Inputs &amp; Drivers'!$D$40*CT15</f>
        <v>-1130.7939826219372</v>
      </c>
      <c r="CU17" s="82">
        <f>-'Inputs &amp; Drivers'!$D$40*CU15</f>
        <v>-1133.4870694471513</v>
      </c>
      <c r="CV17" s="82">
        <f>-'Inputs &amp; Drivers'!$D$40*CV15</f>
        <v>-1136.1868889894288</v>
      </c>
      <c r="CW17" s="82">
        <f>-'Inputs &amp; Drivers'!$D$40*CW15</f>
        <v>-1138.8934580805621</v>
      </c>
      <c r="CX17" s="82">
        <f>-'Inputs &amp; Drivers'!$D$40*CX15</f>
        <v>-1141.6067935944229</v>
      </c>
      <c r="CY17" s="82">
        <f>-'Inputs &amp; Drivers'!$D$40*CY15</f>
        <v>-1144.3269124470687</v>
      </c>
      <c r="CZ17" s="82">
        <f>-'Inputs &amp; Drivers'!$D$40*CZ15</f>
        <v>-1147.0538315968461</v>
      </c>
      <c r="DA17" s="82">
        <f>-'Inputs &amp; Drivers'!$D$40*DA15</f>
        <v>-1149.7875680444974</v>
      </c>
      <c r="DB17" s="82">
        <f>-'Inputs &amp; Drivers'!$D$40*DB15</f>
        <v>-1152.5281388332683</v>
      </c>
      <c r="DC17" s="82">
        <f>-'Inputs &amp; Drivers'!$D$40*DC15</f>
        <v>-1155.275561049011</v>
      </c>
      <c r="DD17" s="82">
        <f>-'Inputs &amp; Drivers'!$D$40*DD15</f>
        <v>-1158.0298518202931</v>
      </c>
      <c r="DE17" s="82">
        <f>-'Inputs &amp; Drivers'!$D$40*DE15</f>
        <v>-1160.7910283185033</v>
      </c>
      <c r="DF17" s="82">
        <f>-'Inputs &amp; Drivers'!$D$40*DF15</f>
        <v>-1163.5591077579591</v>
      </c>
      <c r="DG17" s="82">
        <f>-'Inputs &amp; Drivers'!$D$40*DG15</f>
        <v>-1166.3341073960135</v>
      </c>
      <c r="DH17" s="82">
        <f>-'Inputs &amp; Drivers'!$D$40*DH15</f>
        <v>-1169.1160445331632</v>
      </c>
      <c r="DI17" s="82">
        <f>-'Inputs &amp; Drivers'!$D$40*DI15</f>
        <v>-1171.9049365131555</v>
      </c>
      <c r="DJ17" s="82">
        <f>-'Inputs &amp; Drivers'!$D$40*DJ15</f>
        <v>-1174.7008007230977</v>
      </c>
      <c r="DK17" s="82">
        <f>-'Inputs &amp; Drivers'!$D$40*DK15</f>
        <v>-1177.503654593565</v>
      </c>
      <c r="DL17" s="82">
        <f>-'Inputs &amp; Drivers'!$D$40*DL15</f>
        <v>-1180.3135155987086</v>
      </c>
      <c r="DM17" s="82">
        <f>-'Inputs &amp; Drivers'!$D$40*DM15</f>
        <v>-1183.1304012563646</v>
      </c>
      <c r="DN17" s="82">
        <f>-'Inputs &amp; Drivers'!$D$40*DN15</f>
        <v>-1185.9543291281652</v>
      </c>
      <c r="DO17" s="82">
        <f>-'Inputs &amp; Drivers'!$D$40*DO15</f>
        <v>-1188.785316819645</v>
      </c>
      <c r="DP17" s="82">
        <f>-'Inputs &amp; Drivers'!$D$40*DP15</f>
        <v>-1191.6233819803538</v>
      </c>
      <c r="DQ17" s="82">
        <f>-'Inputs &amp; Drivers'!$D$40*DQ15</f>
        <v>-1194.4685423039641</v>
      </c>
      <c r="DR17" s="82">
        <f>-'Inputs &amp; Drivers'!$D$40*DR15</f>
        <v>-1197.3208155283835</v>
      </c>
      <c r="DS17" s="82">
        <f>-'Inputs &amp; Drivers'!$D$40*DS15</f>
        <v>-1200.180219435864</v>
      </c>
      <c r="DT17" s="82">
        <f>-'Inputs &amp; Drivers'!$D$40*DT15</f>
        <v>-1203.0467718531133</v>
      </c>
      <c r="DU17" s="82">
        <f>-'Inputs &amp; Drivers'!$D$40*DU15</f>
        <v>-1205.9204906514058</v>
      </c>
      <c r="DV17" s="82">
        <f>-'Inputs &amp; Drivers'!$D$40*DV15</f>
        <v>-1208.8013937466937</v>
      </c>
      <c r="DW17" s="82">
        <f>-'Inputs &amp; Drivers'!$D$40*DW15</f>
        <v>-1211.68949909972</v>
      </c>
      <c r="DX17" s="82">
        <f>-'Inputs &amp; Drivers'!$D$40*DX15</f>
        <v>-1214.5848247161289</v>
      </c>
      <c r="DY17" s="82">
        <f>-'Inputs &amp; Drivers'!$D$40*DY15</f>
        <v>-1217.4873886465789</v>
      </c>
      <c r="DZ17" s="82">
        <f>-'Inputs &amp; Drivers'!$D$40*DZ15</f>
        <v>-1220.3972089868548</v>
      </c>
      <c r="EA17" s="82">
        <f>-'Inputs &amp; Drivers'!$D$40*EA15</f>
        <v>-1223.3143038779815</v>
      </c>
      <c r="EB17" s="82">
        <f>-'Inputs &amp; Drivers'!$D$40*EB15</f>
        <v>-1226.2386915063362</v>
      </c>
      <c r="EC17" s="82">
        <f>-'Inputs &amp; Drivers'!$D$40*EC15</f>
        <v>-1229.1703901037615</v>
      </c>
      <c r="ED17" s="82">
        <f>-'Inputs &amp; Drivers'!$D$40*ED15</f>
        <v>-1232.1094179476806</v>
      </c>
      <c r="EE17" s="82">
        <f>-'Inputs &amp; Drivers'!$D$40*EE15</f>
        <v>-1235.0557933612092</v>
      </c>
      <c r="EF17" s="82">
        <f>-'Inputs &amp; Drivers'!$D$40*EF15</f>
        <v>-1238.0095347132717</v>
      </c>
      <c r="EG17" s="82">
        <f>-'Inputs &amp; Drivers'!$D$40*EG15</f>
        <v>-1240.9706604187145</v>
      </c>
      <c r="EH17" s="82">
        <f>-'Inputs &amp; Drivers'!$D$40*EH15</f>
        <v>-1243.9391889384206</v>
      </c>
      <c r="EI17" s="82">
        <f>-'Inputs &amp; Drivers'!$D$40*EI15</f>
        <v>-1246.9151387794263</v>
      </c>
      <c r="EJ17" s="82">
        <f>-'Inputs &amp; Drivers'!$D$40*EJ15</f>
        <v>-1249.8985284950345</v>
      </c>
      <c r="EK17" s="82">
        <f>-'Inputs &amp; Drivers'!$D$40*EK15</f>
        <v>-1252.8893766849319</v>
      </c>
      <c r="EM17" s="109">
        <f t="shared" si="235"/>
        <v>0</v>
      </c>
      <c r="EN17" s="109">
        <f t="shared" si="236"/>
        <v>-10682.739953728702</v>
      </c>
      <c r="EO17" s="109">
        <f t="shared" si="236"/>
        <v>-11175.046709061784</v>
      </c>
      <c r="EP17" s="109">
        <f t="shared" si="236"/>
        <v>-11760.336729063882</v>
      </c>
      <c r="EQ17" s="109">
        <f t="shared" si="236"/>
        <v>-12152.940849994262</v>
      </c>
      <c r="ER17" s="109">
        <f t="shared" si="236"/>
        <v>-12503.035504250567</v>
      </c>
      <c r="ES17" s="109">
        <f t="shared" si="236"/>
        <v>-12863.778622426385</v>
      </c>
      <c r="ET17" s="109">
        <f t="shared" si="236"/>
        <v>-13235.494087741481</v>
      </c>
      <c r="EU17" s="109">
        <f t="shared" si="236"/>
        <v>-13618.515634633683</v>
      </c>
      <c r="EV17" s="109">
        <f t="shared" si="236"/>
        <v>-14013.187148393105</v>
      </c>
      <c r="EW17" s="109">
        <f t="shared" si="236"/>
        <v>-14419.862973910018</v>
      </c>
      <c r="EX17" s="109">
        <f t="shared" si="236"/>
        <v>-14838.908233813623</v>
      </c>
    </row>
    <row r="18" spans="2:154" x14ac:dyDescent="0.3">
      <c r="B18" s="1" t="s">
        <v>15</v>
      </c>
      <c r="E18" s="70">
        <f>SUM('Historical Financials'!M17:O17)*4</f>
        <v>0</v>
      </c>
      <c r="F18" s="70">
        <f>SUM('Historical Financials'!D17:O17)</f>
        <v>-24392</v>
      </c>
      <c r="J18" s="7">
        <f>-'Inputs &amp; Drivers'!$D$41*J$15</f>
        <v>-2032.6666666666667</v>
      </c>
      <c r="K18" s="7">
        <f>-'Inputs &amp; Drivers'!$D$41*K$15</f>
        <v>-2032.6666666666667</v>
      </c>
      <c r="L18" s="7">
        <f>-'Inputs &amp; Drivers'!$D$41*L$15</f>
        <v>-2037.8214065966779</v>
      </c>
      <c r="M18" s="7">
        <f>-'Inputs &amp; Drivers'!$D$41*M$15</f>
        <v>-2042.976146526689</v>
      </c>
      <c r="N18" s="7">
        <f>-'Inputs &amp; Drivers'!$D$41*N$15</f>
        <v>-2048.1308864567004</v>
      </c>
      <c r="O18" s="7">
        <f>-'Inputs &amp; Drivers'!$D$41*O$15</f>
        <v>-2053.2856263867116</v>
      </c>
      <c r="P18" s="7">
        <f>-'Inputs &amp; Drivers'!$D$41*P$15</f>
        <v>-2058.4403663167227</v>
      </c>
      <c r="Q18" s="7">
        <f>-'Inputs &amp; Drivers'!$D$41*Q$15</f>
        <v>-2063.5951062467338</v>
      </c>
      <c r="R18" s="7">
        <f>-'Inputs &amp; Drivers'!$D$41*R$15</f>
        <v>-2068.7498461767445</v>
      </c>
      <c r="S18" s="7">
        <f>-'Inputs &amp; Drivers'!$D$41*S$15</f>
        <v>-2073.9045861067561</v>
      </c>
      <c r="T18" s="7">
        <f>-'Inputs &amp; Drivers'!$D$41*T$15</f>
        <v>-2079.0593260367673</v>
      </c>
      <c r="U18" s="7">
        <f>-'Inputs &amp; Drivers'!$D$41*U$15</f>
        <v>-2084.214065966778</v>
      </c>
      <c r="V18" s="7">
        <f>-'Inputs &amp; Drivers'!$D$41*V$15</f>
        <v>-2094.4504725634561</v>
      </c>
      <c r="W18" s="7">
        <f>-'Inputs &amp; Drivers'!$D$41*W$15</f>
        <v>-2104.6995833268002</v>
      </c>
      <c r="X18" s="7">
        <f>-'Inputs &amp; Drivers'!$D$41*X$15</f>
        <v>-2114.9614300172279</v>
      </c>
      <c r="Y18" s="7">
        <f>-'Inputs &amp; Drivers'!$D$41*Y$15</f>
        <v>-2125.2360444745568</v>
      </c>
      <c r="Z18" s="7">
        <f>-'Inputs &amp; Drivers'!$D$41*Z$15</f>
        <v>-2135.5234586182037</v>
      </c>
      <c r="AA18" s="7">
        <f>-'Inputs &amp; Drivers'!$D$41*AA$15</f>
        <v>-2145.8237044473849</v>
      </c>
      <c r="AB18" s="7">
        <f>-'Inputs &amp; Drivers'!$D$41*AB$15</f>
        <v>-2156.1368140413142</v>
      </c>
      <c r="AC18" s="7">
        <f>-'Inputs &amp; Drivers'!$D$41*AC$15</f>
        <v>-2166.4628195594032</v>
      </c>
      <c r="AD18" s="7">
        <f>-'Inputs &amp; Drivers'!$D$41*AD$15</f>
        <v>-2176.8017532414619</v>
      </c>
      <c r="AE18" s="7">
        <f>-'Inputs &amp; Drivers'!$D$41*AE$15</f>
        <v>-2187.1536474079012</v>
      </c>
      <c r="AF18" s="7">
        <f>-'Inputs &amp; Drivers'!$D$41*AF$15</f>
        <v>-2197.5185344599317</v>
      </c>
      <c r="AG18" s="7">
        <f>-'Inputs &amp; Drivers'!$D$41*AG$15</f>
        <v>-2207.8964468797672</v>
      </c>
      <c r="AH18" s="7">
        <f>-'Inputs &amp; Drivers'!$D$41*AH$15</f>
        <v>-2220.0328273711766</v>
      </c>
      <c r="AI18" s="7">
        <f>-'Inputs &amp; Drivers'!$D$41*AI$15</f>
        <v>-2232.1924799977901</v>
      </c>
      <c r="AJ18" s="7">
        <f>-'Inputs &amp; Drivers'!$D$41*AJ$15</f>
        <v>-2239.2207424033818</v>
      </c>
      <c r="AK18" s="7">
        <f>-'Inputs &amp; Drivers'!$D$41*AK$15</f>
        <v>-2246.2724323503257</v>
      </c>
      <c r="AL18" s="7">
        <f>-'Inputs &amp; Drivers'!$D$41*AL$15</f>
        <v>-2253.3476279304264</v>
      </c>
      <c r="AM18" s="7">
        <f>-'Inputs &amp; Drivers'!$D$41*AM$15</f>
        <v>-2260.4464074957937</v>
      </c>
      <c r="AN18" s="7">
        <f>-'Inputs &amp; Drivers'!$D$41*AN$15</f>
        <v>-2267.5688496597122</v>
      </c>
      <c r="AO18" s="7">
        <f>-'Inputs &amp; Drivers'!$D$41*AO$15</f>
        <v>-2274.7150332975107</v>
      </c>
      <c r="AP18" s="7">
        <f>-'Inputs &amp; Drivers'!$D$41*AP$15</f>
        <v>-2281.8850375474349</v>
      </c>
      <c r="AQ18" s="7">
        <f>-'Inputs &amp; Drivers'!$D$41*AQ$15</f>
        <v>-2289.078941811526</v>
      </c>
      <c r="AR18" s="7">
        <f>-'Inputs &amp; Drivers'!$D$41*AR$15</f>
        <v>-2296.2968257564967</v>
      </c>
      <c r="AS18" s="7">
        <f>-'Inputs &amp; Drivers'!$D$41*AS$15</f>
        <v>-2303.5387693146176</v>
      </c>
      <c r="AT18" s="7">
        <f>-'Inputs &amp; Drivers'!$D$41*AT$15</f>
        <v>-2308.9883318421034</v>
      </c>
      <c r="AU18" s="7">
        <f>-'Inputs &amp; Drivers'!$D$41*AU$15</f>
        <v>-2314.4515182759078</v>
      </c>
      <c r="AV18" s="7">
        <f>-'Inputs &amp; Drivers'!$D$41*AV$15</f>
        <v>-2319.928362675797</v>
      </c>
      <c r="AW18" s="7">
        <f>-'Inputs &amp; Drivers'!$D$41*AW$15</f>
        <v>-2325.4188991866854</v>
      </c>
      <c r="AX18" s="7">
        <f>-'Inputs &amp; Drivers'!$D$41*AX$15</f>
        <v>-2330.9231620388514</v>
      </c>
      <c r="AY18" s="7">
        <f>-'Inputs &amp; Drivers'!$D$41*AY$15</f>
        <v>-2336.441185548148</v>
      </c>
      <c r="AZ18" s="7">
        <f>-'Inputs &amp; Drivers'!$D$41*AZ$15</f>
        <v>-2341.9730041162179</v>
      </c>
      <c r="BA18" s="7">
        <f>-'Inputs &amp; Drivers'!$D$41*BA$15</f>
        <v>-2347.5186522307072</v>
      </c>
      <c r="BB18" s="7">
        <f>-'Inputs &amp; Drivers'!$D$41*BB$15</f>
        <v>-2353.0781644654835</v>
      </c>
      <c r="BC18" s="7">
        <f>-'Inputs &amp; Drivers'!$D$41*BC$15</f>
        <v>-2358.6515754808465</v>
      </c>
      <c r="BD18" s="7">
        <f>-'Inputs &amp; Drivers'!$D$41*BD$15</f>
        <v>-2364.2389200237476</v>
      </c>
      <c r="BE18" s="7">
        <f>-'Inputs &amp; Drivers'!$D$41*BE$15</f>
        <v>-2369.8402329280061</v>
      </c>
      <c r="BF18" s="7">
        <f>-'Inputs &amp; Drivers'!$D$41*BF$15</f>
        <v>-2375.4555491145247</v>
      </c>
      <c r="BG18" s="7">
        <f>-'Inputs &amp; Drivers'!$D$41*BG$15</f>
        <v>-2381.0849035915107</v>
      </c>
      <c r="BH18" s="7">
        <f>-'Inputs &amp; Drivers'!$D$41*BH$15</f>
        <v>-2386.7283314546889</v>
      </c>
      <c r="BI18" s="7">
        <f>-'Inputs &amp; Drivers'!$D$41*BI$15</f>
        <v>-2392.3858678875249</v>
      </c>
      <c r="BJ18" s="7">
        <f>-'Inputs &amp; Drivers'!$D$41*BJ$15</f>
        <v>-2398.0575481614428</v>
      </c>
      <c r="BK18" s="7">
        <f>-'Inputs &amp; Drivers'!$D$41*BK$15</f>
        <v>-2403.743407636046</v>
      </c>
      <c r="BL18" s="7">
        <f>-'Inputs &amp; Drivers'!$D$41*BL$15</f>
        <v>-2409.4434817593351</v>
      </c>
      <c r="BM18" s="7">
        <f>-'Inputs &amp; Drivers'!$D$41*BM$15</f>
        <v>-2415.1578060679326</v>
      </c>
      <c r="BN18" s="7">
        <f>-'Inputs &amp; Drivers'!$D$41*BN$15</f>
        <v>-2420.8864161873016</v>
      </c>
      <c r="BO18" s="7">
        <f>-'Inputs &amp; Drivers'!$D$41*BO$15</f>
        <v>-2426.6293478319694</v>
      </c>
      <c r="BP18" s="7">
        <f>-'Inputs &amp; Drivers'!$D$41*BP$15</f>
        <v>-2432.3866368057484</v>
      </c>
      <c r="BQ18" s="7">
        <f>-'Inputs &amp; Drivers'!$D$41*BQ$15</f>
        <v>-2438.1583190019619</v>
      </c>
      <c r="BR18" s="7">
        <f>-'Inputs &amp; Drivers'!$D$41*BR$15</f>
        <v>-2443.944430403666</v>
      </c>
      <c r="BS18" s="7">
        <f>-'Inputs &amp; Drivers'!$D$41*BS$15</f>
        <v>-2449.7450070838745</v>
      </c>
      <c r="BT18" s="7">
        <f>-'Inputs &amp; Drivers'!$D$41*BT$15</f>
        <v>-2455.5600852057828</v>
      </c>
      <c r="BU18" s="7">
        <f>-'Inputs &amp; Drivers'!$D$41*BU$15</f>
        <v>-2461.3897010229966</v>
      </c>
      <c r="BV18" s="7">
        <f>-'Inputs &amp; Drivers'!$D$41*BV$15</f>
        <v>-2467.2338908797537</v>
      </c>
      <c r="BW18" s="7">
        <f>-'Inputs &amp; Drivers'!$D$41*BW$15</f>
        <v>-2473.0926912111527</v>
      </c>
      <c r="BX18" s="7">
        <f>-'Inputs &amp; Drivers'!$D$41*BX$15</f>
        <v>-2478.9661385433797</v>
      </c>
      <c r="BY18" s="7">
        <f>-'Inputs &amp; Drivers'!$D$41*BY$15</f>
        <v>-2484.854269493937</v>
      </c>
      <c r="BZ18" s="7">
        <f>-'Inputs &amp; Drivers'!$D$41*BZ$15</f>
        <v>-2490.7571207718706</v>
      </c>
      <c r="CA18" s="7">
        <f>-'Inputs &amp; Drivers'!$D$41*CA$15</f>
        <v>-2496.6747291779998</v>
      </c>
      <c r="CB18" s="7">
        <f>-'Inputs &amp; Drivers'!$D$41*CB$15</f>
        <v>-2502.6071316051443</v>
      </c>
      <c r="CC18" s="7">
        <f>-'Inputs &amp; Drivers'!$D$41*CC$15</f>
        <v>-2508.5543650383561</v>
      </c>
      <c r="CD18" s="7">
        <f>-'Inputs &amp; Drivers'!$D$41*CD$15</f>
        <v>-2514.5164665551515</v>
      </c>
      <c r="CE18" s="7">
        <f>-'Inputs &amp; Drivers'!$D$41*CE$15</f>
        <v>-2520.4934733257383</v>
      </c>
      <c r="CF18" s="7">
        <f>-'Inputs &amp; Drivers'!$D$41*CF$15</f>
        <v>-2526.485422613252</v>
      </c>
      <c r="CG18" s="7">
        <f>-'Inputs &amp; Drivers'!$D$41*CG$15</f>
        <v>-2532.4923517739844</v>
      </c>
      <c r="CH18" s="7">
        <f>-'Inputs &amp; Drivers'!$D$41*CH$15</f>
        <v>-2538.5142982576181</v>
      </c>
      <c r="CI18" s="7">
        <f>-'Inputs &amp; Drivers'!$D$41*CI$15</f>
        <v>-2544.5512996074617</v>
      </c>
      <c r="CJ18" s="7">
        <f>-'Inputs &amp; Drivers'!$D$41*CJ$15</f>
        <v>-2550.6033934606794</v>
      </c>
      <c r="CK18" s="7">
        <f>-'Inputs &amp; Drivers'!$D$41*CK$15</f>
        <v>-2556.6706175485301</v>
      </c>
      <c r="CL18" s="7">
        <f>-'Inputs &amp; Drivers'!$D$41*CL$15</f>
        <v>-2562.7530096966007</v>
      </c>
      <c r="CM18" s="7">
        <f>-'Inputs &amp; Drivers'!$D$41*CM$15</f>
        <v>-2568.8506078250416</v>
      </c>
      <c r="CN18" s="7">
        <f>-'Inputs &amp; Drivers'!$D$41*CN$15</f>
        <v>-2574.9634499488034</v>
      </c>
      <c r="CO18" s="7">
        <f>-'Inputs &amp; Drivers'!$D$41*CO$15</f>
        <v>-2581.0915741778745</v>
      </c>
      <c r="CP18" s="7">
        <f>-'Inputs &amp; Drivers'!$D$41*CP$15</f>
        <v>-2587.2350187175184</v>
      </c>
      <c r="CQ18" s="7">
        <f>-'Inputs &amp; Drivers'!$D$41*CQ$15</f>
        <v>-2593.3938218685116</v>
      </c>
      <c r="CR18" s="7">
        <f>-'Inputs &amp; Drivers'!$D$41*CR$15</f>
        <v>-2599.5680220273816</v>
      </c>
      <c r="CS18" s="7">
        <f>-'Inputs &amp; Drivers'!$D$41*CS$15</f>
        <v>-2605.7576576866495</v>
      </c>
      <c r="CT18" s="7">
        <f>-'Inputs &amp; Drivers'!$D$41*CT$15</f>
        <v>-2611.962767435065</v>
      </c>
      <c r="CU18" s="7">
        <f>-'Inputs &amp; Drivers'!$D$41*CU$15</f>
        <v>-2618.1833899578519</v>
      </c>
      <c r="CV18" s="7">
        <f>-'Inputs &amp; Drivers'!$D$41*CV$15</f>
        <v>-2624.4195640369453</v>
      </c>
      <c r="CW18" s="7">
        <f>-'Inputs &amp; Drivers'!$D$41*CW$15</f>
        <v>-2630.6713285512374</v>
      </c>
      <c r="CX18" s="7">
        <f>-'Inputs &amp; Drivers'!$D$41*CX$15</f>
        <v>-2636.9387224768147</v>
      </c>
      <c r="CY18" s="7">
        <f>-'Inputs &amp; Drivers'!$D$41*CY$15</f>
        <v>-2643.221784887206</v>
      </c>
      <c r="CZ18" s="7">
        <f>-'Inputs &amp; Drivers'!$D$41*CZ$15</f>
        <v>-2649.5205549536236</v>
      </c>
      <c r="DA18" s="7">
        <f>-'Inputs &amp; Drivers'!$D$41*DA$15</f>
        <v>-2655.8350719452064</v>
      </c>
      <c r="DB18" s="7">
        <f>-'Inputs &amp; Drivers'!$D$41*DB$15</f>
        <v>-2662.1653752292686</v>
      </c>
      <c r="DC18" s="7">
        <f>-'Inputs &amp; Drivers'!$D$41*DC$15</f>
        <v>-2668.5115042715411</v>
      </c>
      <c r="DD18" s="7">
        <f>-'Inputs &amp; Drivers'!$D$41*DD$15</f>
        <v>-2674.8734986364193</v>
      </c>
      <c r="DE18" s="7">
        <f>-'Inputs &amp; Drivers'!$D$41*DE$15</f>
        <v>-2681.2513979872097</v>
      </c>
      <c r="DF18" s="7">
        <f>-'Inputs &amp; Drivers'!$D$41*DF$15</f>
        <v>-2687.6452420863761</v>
      </c>
      <c r="DG18" s="7">
        <f>-'Inputs &amp; Drivers'!$D$41*DG$15</f>
        <v>-2694.0550707957914</v>
      </c>
      <c r="DH18" s="7">
        <f>-'Inputs &amp; Drivers'!$D$41*DH$15</f>
        <v>-2700.4809240769805</v>
      </c>
      <c r="DI18" s="7">
        <f>-'Inputs &amp; Drivers'!$D$41*DI$15</f>
        <v>-2706.922841991372</v>
      </c>
      <c r="DJ18" s="7">
        <f>-'Inputs &amp; Drivers'!$D$41*DJ$15</f>
        <v>-2713.380864700549</v>
      </c>
      <c r="DK18" s="7">
        <f>-'Inputs &amp; Drivers'!$D$41*DK$15</f>
        <v>-2719.8550324664993</v>
      </c>
      <c r="DL18" s="7">
        <f>-'Inputs &amp; Drivers'!$D$41*DL$15</f>
        <v>-2726.3453856518649</v>
      </c>
      <c r="DM18" s="7">
        <f>-'Inputs &amp; Drivers'!$D$41*DM$15</f>
        <v>-2732.8519647201938</v>
      </c>
      <c r="DN18" s="7">
        <f>-'Inputs &amp; Drivers'!$D$41*DN$15</f>
        <v>-2739.3748102361933</v>
      </c>
      <c r="DO18" s="7">
        <f>-'Inputs &amp; Drivers'!$D$41*DO$15</f>
        <v>-2745.9139628659832</v>
      </c>
      <c r="DP18" s="7">
        <f>-'Inputs &amp; Drivers'!$D$41*DP$15</f>
        <v>-2752.469463377347</v>
      </c>
      <c r="DQ18" s="7">
        <f>-'Inputs &amp; Drivers'!$D$41*DQ$15</f>
        <v>-2759.0413526399898</v>
      </c>
      <c r="DR18" s="7">
        <f>-'Inputs &amp; Drivers'!$D$41*DR$15</f>
        <v>-2765.6296716257889</v>
      </c>
      <c r="DS18" s="7">
        <f>-'Inputs &amp; Drivers'!$D$41*DS$15</f>
        <v>-2772.2344614090525</v>
      </c>
      <c r="DT18" s="7">
        <f>-'Inputs &amp; Drivers'!$D$41*DT$15</f>
        <v>-2778.8557631667745</v>
      </c>
      <c r="DU18" s="7">
        <f>-'Inputs &amp; Drivers'!$D$41*DU$15</f>
        <v>-2785.4936181788908</v>
      </c>
      <c r="DV18" s="7">
        <f>-'Inputs &amp; Drivers'!$D$41*DV$15</f>
        <v>-2792.148067828537</v>
      </c>
      <c r="DW18" s="7">
        <f>-'Inputs &amp; Drivers'!$D$41*DW$15</f>
        <v>-2798.8191536023078</v>
      </c>
      <c r="DX18" s="7">
        <f>-'Inputs &amp; Drivers'!$D$41*DX$15</f>
        <v>-2805.5069170905126</v>
      </c>
      <c r="DY18" s="7">
        <f>-'Inputs &amp; Drivers'!$D$41*DY$15</f>
        <v>-2812.2113999874382</v>
      </c>
      <c r="DZ18" s="7">
        <f>-'Inputs &amp; Drivers'!$D$41*DZ$15</f>
        <v>-2818.9326440916061</v>
      </c>
      <c r="EA18" s="7">
        <f>-'Inputs &amp; Drivers'!$D$41*EA$15</f>
        <v>-2825.6706913060343</v>
      </c>
      <c r="EB18" s="7">
        <f>-'Inputs &amp; Drivers'!$D$41*EB$15</f>
        <v>-2832.4255836384987</v>
      </c>
      <c r="EC18" s="7">
        <f>-'Inputs &amp; Drivers'!$D$41*EC$15</f>
        <v>-2839.1973632017944</v>
      </c>
      <c r="ED18" s="7">
        <f>-'Inputs &amp; Drivers'!$D$41*ED$15</f>
        <v>-2845.9860722139983</v>
      </c>
      <c r="EE18" s="7">
        <f>-'Inputs &amp; Drivers'!$D$41*EE$15</f>
        <v>-2852.7917529987321</v>
      </c>
      <c r="EF18" s="7">
        <f>-'Inputs &amp; Drivers'!$D$41*EF$15</f>
        <v>-2859.6144479854279</v>
      </c>
      <c r="EG18" s="7">
        <f>-'Inputs &amp; Drivers'!$D$41*EG$15</f>
        <v>-2866.4541997095907</v>
      </c>
      <c r="EH18" s="7">
        <f>-'Inputs &amp; Drivers'!$D$41*EH$15</f>
        <v>-2873.311050813064</v>
      </c>
      <c r="EI18" s="7">
        <f>-'Inputs &amp; Drivers'!$D$41*EI$15</f>
        <v>-2880.1850440442959</v>
      </c>
      <c r="EJ18" s="7">
        <f>-'Inputs &amp; Drivers'!$D$41*EJ$15</f>
        <v>-2887.0762222586059</v>
      </c>
      <c r="EK18" s="7">
        <f>-'Inputs &amp; Drivers'!$D$41*EK$15</f>
        <v>-2893.9846284184523</v>
      </c>
      <c r="EM18" s="109">
        <f t="shared" si="235"/>
        <v>0</v>
      </c>
      <c r="EN18" s="109">
        <f t="shared" si="236"/>
        <v>-24675.510696150617</v>
      </c>
      <c r="EO18" s="109">
        <f t="shared" si="236"/>
        <v>-25812.664709037406</v>
      </c>
      <c r="EP18" s="109">
        <f t="shared" si="236"/>
        <v>-27164.595974936197</v>
      </c>
      <c r="EQ18" s="109">
        <f t="shared" si="236"/>
        <v>-28071.452008812506</v>
      </c>
      <c r="ER18" s="109">
        <f t="shared" si="236"/>
        <v>-28880.117615499988</v>
      </c>
      <c r="ES18" s="109">
        <f t="shared" si="236"/>
        <v>-29713.379560437916</v>
      </c>
      <c r="ET18" s="109">
        <f t="shared" si="236"/>
        <v>-30571.985964790732</v>
      </c>
      <c r="EU18" s="109">
        <f t="shared" si="236"/>
        <v>-31456.707704544009</v>
      </c>
      <c r="EV18" s="109">
        <f t="shared" si="236"/>
        <v>-32368.339102614067</v>
      </c>
      <c r="EW18" s="109">
        <f t="shared" si="236"/>
        <v>-33307.698642008821</v>
      </c>
      <c r="EX18" s="109">
        <f t="shared" si="236"/>
        <v>-34275.629700680096</v>
      </c>
    </row>
    <row r="19" spans="2:154" x14ac:dyDescent="0.3">
      <c r="B19" s="8" t="s">
        <v>16</v>
      </c>
      <c r="C19" s="3"/>
      <c r="D19" s="3"/>
      <c r="E19" s="10">
        <f>SUM(E15:E18)</f>
        <v>5468504.7600000007</v>
      </c>
      <c r="F19" s="10">
        <f>SUM(F15:F18)</f>
        <v>5510308.3600000013</v>
      </c>
      <c r="G19" s="3"/>
      <c r="H19" s="3"/>
      <c r="I19" s="3"/>
      <c r="J19" s="10">
        <f t="shared" ref="J19:L19" si="237">SUM(J15:J18)</f>
        <v>464326.86366666673</v>
      </c>
      <c r="K19" s="10">
        <f t="shared" si="237"/>
        <v>464326.86366666673</v>
      </c>
      <c r="L19" s="10">
        <f t="shared" si="237"/>
        <v>465504.37312454777</v>
      </c>
      <c r="M19" s="10">
        <f t="shared" ref="M19" si="238">SUM(M15:M18)</f>
        <v>466681.88258242875</v>
      </c>
      <c r="N19" s="10">
        <f t="shared" ref="N19" si="239">SUM(N15:N18)</f>
        <v>467859.39204030967</v>
      </c>
      <c r="O19" s="10">
        <f t="shared" ref="O19" si="240">SUM(O15:O18)</f>
        <v>469036.90149819071</v>
      </c>
      <c r="P19" s="10">
        <f t="shared" ref="P19" si="241">SUM(P15:P18)</f>
        <v>470214.41095607175</v>
      </c>
      <c r="Q19" s="10">
        <f t="shared" ref="Q19" si="242">SUM(Q15:Q18)</f>
        <v>471391.92041395267</v>
      </c>
      <c r="R19" s="10">
        <f t="shared" ref="R19" si="243">SUM(R15:R18)</f>
        <v>472569.42987183359</v>
      </c>
      <c r="S19" s="10">
        <f t="shared" ref="S19" si="244">SUM(S15:S18)</f>
        <v>473746.93932971463</v>
      </c>
      <c r="T19" s="10">
        <f t="shared" ref="T19" si="245">SUM(T15:T18)</f>
        <v>474924.44878759555</v>
      </c>
      <c r="U19" s="10">
        <f t="shared" ref="U19" si="246">SUM(U15:U18)</f>
        <v>476101.95824547653</v>
      </c>
      <c r="V19" s="10">
        <f t="shared" ref="V19" si="247">SUM(V15:V18)</f>
        <v>483730.85061335756</v>
      </c>
      <c r="W19" s="10">
        <f t="shared" ref="W19" si="248">SUM(W15:W18)</f>
        <v>486097.96844809677</v>
      </c>
      <c r="X19" s="10">
        <f t="shared" ref="X19" si="249">SUM(X15:X18)</f>
        <v>488468.02775169496</v>
      </c>
      <c r="Y19" s="10">
        <f t="shared" ref="Y19" si="250">SUM(Y15:Y18)</f>
        <v>490841.03587782406</v>
      </c>
      <c r="Z19" s="10">
        <f t="shared" ref="Z19" si="251">SUM(Z15:Z18)</f>
        <v>493217.00019854034</v>
      </c>
      <c r="AA19" s="10">
        <f t="shared" ref="AA19" si="252">SUM(AA15:AA18)</f>
        <v>495595.92810433055</v>
      </c>
      <c r="AB19" s="10">
        <f t="shared" ref="AB19" si="253">SUM(AB15:AB18)</f>
        <v>497977.82700415701</v>
      </c>
      <c r="AC19" s="10">
        <f t="shared" ref="AC19" si="254">SUM(AC15:AC18)</f>
        <v>500362.70432550518</v>
      </c>
      <c r="AD19" s="10">
        <f t="shared" ref="AD19" si="255">SUM(AD15:AD18)</f>
        <v>502750.56751442852</v>
      </c>
      <c r="AE19" s="10">
        <f t="shared" ref="AE19" si="256">SUM(AE15:AE18)</f>
        <v>505141.42403559614</v>
      </c>
      <c r="AF19" s="10">
        <f t="shared" ref="AF19" si="257">SUM(AF15:AF18)</f>
        <v>507535.28137233877</v>
      </c>
      <c r="AG19" s="10">
        <f t="shared" ref="AG19" si="258">SUM(AG15:AG18)</f>
        <v>509932.14702669519</v>
      </c>
      <c r="AH19" s="10">
        <f t="shared" ref="AH19" si="259">SUM(AH15:AH18)</f>
        <v>518342.93139780132</v>
      </c>
      <c r="AI19" s="10">
        <f t="shared" ref="AI19" si="260">SUM(AI15:AI18)</f>
        <v>521182.02004079282</v>
      </c>
      <c r="AJ19" s="10">
        <f t="shared" ref="AJ19" si="261">SUM(AJ15:AJ18)</f>
        <v>522823.00935096509</v>
      </c>
      <c r="AK19" s="10">
        <f t="shared" ref="AK19" si="262">SUM(AK15:AK18)</f>
        <v>524469.46862550452</v>
      </c>
      <c r="AL19" s="10">
        <f t="shared" ref="AL19" si="263">SUM(AL15:AL18)</f>
        <v>526121.41609762574</v>
      </c>
      <c r="AM19" s="10">
        <f t="shared" ref="AM19" si="264">SUM(AM15:AM18)</f>
        <v>527778.87006132083</v>
      </c>
      <c r="AN19" s="10">
        <f t="shared" ref="AN19" si="265">SUM(AN15:AN18)</f>
        <v>529441.84887156123</v>
      </c>
      <c r="AO19" s="10">
        <f t="shared" ref="AO19" si="266">SUM(AO15:AO18)</f>
        <v>531110.37094450288</v>
      </c>
      <c r="AP19" s="10">
        <f t="shared" ref="AP19" si="267">SUM(AP15:AP18)</f>
        <v>532784.45475768729</v>
      </c>
      <c r="AQ19" s="10">
        <f t="shared" ref="AQ19" si="268">SUM(AQ15:AQ18)</f>
        <v>534464.11885024922</v>
      </c>
      <c r="AR19" s="10">
        <f t="shared" ref="AR19" si="269">SUM(AR15:AR18)</f>
        <v>536149.38182311959</v>
      </c>
      <c r="AS19" s="10">
        <f t="shared" ref="AS19" si="270">SUM(AS15:AS18)</f>
        <v>537840.26233923284</v>
      </c>
      <c r="AT19" s="10">
        <f t="shared" ref="AT19" si="271">SUM(AT15:AT18)</f>
        <v>539112.64992760797</v>
      </c>
      <c r="AU19" s="10">
        <f t="shared" ref="AU19" si="272">SUM(AU15:AU18)</f>
        <v>540388.21848495421</v>
      </c>
      <c r="AV19" s="10">
        <f t="shared" ref="AV19" si="273">SUM(AV15:AV18)</f>
        <v>541666.97596369369</v>
      </c>
      <c r="AW19" s="10">
        <f t="shared" ref="AW19" si="274">SUM(AW15:AW18)</f>
        <v>542948.9303361302</v>
      </c>
      <c r="AX19" s="10">
        <f t="shared" ref="AX19" si="275">SUM(AX15:AX18)</f>
        <v>544234.08959449746</v>
      </c>
      <c r="AY19" s="10">
        <f t="shared" ref="AY19" si="276">SUM(AY15:AY18)</f>
        <v>545522.46175101085</v>
      </c>
      <c r="AZ19" s="10">
        <f t="shared" ref="AZ19" si="277">SUM(AZ15:AZ18)</f>
        <v>546814.05483791558</v>
      </c>
      <c r="BA19" s="10">
        <f t="shared" ref="BA19" si="278">SUM(BA15:BA18)</f>
        <v>548108.87690753746</v>
      </c>
      <c r="BB19" s="10">
        <f t="shared" ref="BB19" si="279">SUM(BB15:BB18)</f>
        <v>549406.93603233341</v>
      </c>
      <c r="BC19" s="10">
        <f t="shared" ref="BC19" si="280">SUM(BC15:BC18)</f>
        <v>550708.24030494131</v>
      </c>
      <c r="BD19" s="10">
        <f t="shared" ref="BD19" si="281">SUM(BD15:BD18)</f>
        <v>552012.79783823073</v>
      </c>
      <c r="BE19" s="10">
        <f t="shared" ref="BE19" si="282">SUM(BE15:BE18)</f>
        <v>553320.61676535348</v>
      </c>
      <c r="BF19" s="10">
        <f t="shared" ref="BF19" si="283">SUM(BF15:BF18)</f>
        <v>554631.70523979387</v>
      </c>
      <c r="BG19" s="10">
        <f t="shared" ref="BG19" si="284">SUM(BG15:BG18)</f>
        <v>555946.07143542054</v>
      </c>
      <c r="BH19" s="10">
        <f t="shared" ref="BH19" si="285">SUM(BH15:BH18)</f>
        <v>557263.72354653629</v>
      </c>
      <c r="BI19" s="10">
        <f t="shared" ref="BI19" si="286">SUM(BI15:BI18)</f>
        <v>558584.66978792974</v>
      </c>
      <c r="BJ19" s="10">
        <f t="shared" ref="BJ19" si="287">SUM(BJ15:BJ18)</f>
        <v>559908.91839492659</v>
      </c>
      <c r="BK19" s="10">
        <f t="shared" ref="BK19" si="288">SUM(BK15:BK18)</f>
        <v>561236.47762344102</v>
      </c>
      <c r="BL19" s="10">
        <f t="shared" ref="BL19" si="289">SUM(BL15:BL18)</f>
        <v>562567.355750027</v>
      </c>
      <c r="BM19" s="10">
        <f t="shared" ref="BM19" si="290">SUM(BM15:BM18)</f>
        <v>563901.56107192894</v>
      </c>
      <c r="BN19" s="10">
        <f t="shared" ref="BN19" si="291">SUM(BN15:BN18)</f>
        <v>565239.10190713592</v>
      </c>
      <c r="BO19" s="10">
        <f t="shared" ref="BO19" si="292">SUM(BO15:BO18)</f>
        <v>566579.98659443099</v>
      </c>
      <c r="BP19" s="10">
        <f t="shared" ref="BP19" si="293">SUM(BP15:BP18)</f>
        <v>567924.22349344415</v>
      </c>
      <c r="BQ19" s="10">
        <f t="shared" ref="BQ19" si="294">SUM(BQ15:BQ18)</f>
        <v>569271.82098470477</v>
      </c>
      <c r="BR19" s="10">
        <f t="shared" ref="BR19" si="295">SUM(BR15:BR18)</f>
        <v>570622.78746969369</v>
      </c>
      <c r="BS19" s="10">
        <f t="shared" ref="BS19" si="296">SUM(BS15:BS18)</f>
        <v>571977.13137089496</v>
      </c>
      <c r="BT19" s="10">
        <f t="shared" ref="BT19" si="297">SUM(BT15:BT18)</f>
        <v>573334.86113184923</v>
      </c>
      <c r="BU19" s="10">
        <f t="shared" ref="BU19" si="298">SUM(BU15:BU18)</f>
        <v>574695.98521720606</v>
      </c>
      <c r="BV19" s="10">
        <f t="shared" ref="BV19" si="299">SUM(BV15:BV18)</f>
        <v>576060.51211277628</v>
      </c>
      <c r="BW19" s="10">
        <f t="shared" ref="BW19" si="300">SUM(BW15:BW18)</f>
        <v>577428.45032558532</v>
      </c>
      <c r="BX19" s="10">
        <f t="shared" ref="BX19" si="301">SUM(BX15:BX18)</f>
        <v>578799.80838392652</v>
      </c>
      <c r="BY19" s="10">
        <f t="shared" ref="BY19" si="302">SUM(BY15:BY18)</f>
        <v>580174.5948374134</v>
      </c>
      <c r="BZ19" s="10">
        <f t="shared" ref="BZ19" si="303">SUM(BZ15:BZ18)</f>
        <v>581552.81825703382</v>
      </c>
      <c r="CA19" s="10">
        <f t="shared" ref="CA19" si="304">SUM(CA15:CA18)</f>
        <v>582934.48723520373</v>
      </c>
      <c r="CB19" s="10">
        <f t="shared" ref="CB19" si="305">SUM(CB15:CB18)</f>
        <v>584319.61038581887</v>
      </c>
      <c r="CC19" s="10">
        <f t="shared" ref="CC19" si="306">SUM(CC15:CC18)</f>
        <v>585708.19634431042</v>
      </c>
      <c r="CD19" s="10">
        <f t="shared" ref="CD19" si="307">SUM(CD15:CD18)</f>
        <v>587100.2537676983</v>
      </c>
      <c r="CE19" s="10">
        <f t="shared" ref="CE19" si="308">SUM(CE15:CE18)</f>
        <v>588495.79133464466</v>
      </c>
      <c r="CF19" s="10">
        <f t="shared" ref="CF19" si="309">SUM(CF15:CF18)</f>
        <v>589894.81774550851</v>
      </c>
      <c r="CG19" s="10">
        <f t="shared" ref="CG19" si="310">SUM(CG15:CG18)</f>
        <v>591297.34172239935</v>
      </c>
      <c r="CH19" s="10">
        <f t="shared" ref="CH19" si="311">SUM(CH15:CH18)</f>
        <v>592703.37200923241</v>
      </c>
      <c r="CI19" s="10">
        <f t="shared" ref="CI19" si="312">SUM(CI15:CI18)</f>
        <v>594112.91737178259</v>
      </c>
      <c r="CJ19" s="10">
        <f t="shared" ref="CJ19" si="313">SUM(CJ15:CJ18)</f>
        <v>595525.98659773928</v>
      </c>
      <c r="CK19" s="10">
        <f t="shared" ref="CK19" si="314">SUM(CK15:CK18)</f>
        <v>596942.58849676058</v>
      </c>
      <c r="CL19" s="10">
        <f t="shared" ref="CL19" si="315">SUM(CL15:CL18)</f>
        <v>598362.73190052959</v>
      </c>
      <c r="CM19" s="10">
        <f t="shared" ref="CM19" si="316">SUM(CM15:CM18)</f>
        <v>599786.425662808</v>
      </c>
      <c r="CN19" s="10">
        <f t="shared" ref="CN19" si="317">SUM(CN15:CN18)</f>
        <v>601213.67865949217</v>
      </c>
      <c r="CO19" s="10">
        <f t="shared" ref="CO19" si="318">SUM(CO15:CO18)</f>
        <v>602644.49978866801</v>
      </c>
      <c r="CP19" s="10">
        <f t="shared" ref="CP19" si="319">SUM(CP15:CP18)</f>
        <v>604078.89797066676</v>
      </c>
      <c r="CQ19" s="10">
        <f t="shared" ref="CQ19" si="320">SUM(CQ15:CQ18)</f>
        <v>605516.88214812067</v>
      </c>
      <c r="CR19" s="10">
        <f t="shared" ref="CR19" si="321">SUM(CR15:CR18)</f>
        <v>606958.4612860179</v>
      </c>
      <c r="CS19" s="10">
        <f t="shared" ref="CS19" si="322">SUM(CS15:CS18)</f>
        <v>608403.64437176019</v>
      </c>
      <c r="CT19" s="10">
        <f t="shared" ref="CT19" si="323">SUM(CT15:CT18)</f>
        <v>609852.44041521649</v>
      </c>
      <c r="CU19" s="10">
        <f t="shared" ref="CU19" si="324">SUM(CU15:CU18)</f>
        <v>611304.85844878166</v>
      </c>
      <c r="CV19" s="10">
        <f t="shared" ref="CV19" si="325">SUM(CV15:CV18)</f>
        <v>612760.90752743068</v>
      </c>
      <c r="CW19" s="10">
        <f t="shared" ref="CW19" si="326">SUM(CW15:CW18)</f>
        <v>614220.59672877647</v>
      </c>
      <c r="CX19" s="10">
        <f t="shared" ref="CX19" si="327">SUM(CX15:CX18)</f>
        <v>615683.93515312555</v>
      </c>
      <c r="CY19" s="10">
        <f t="shared" ref="CY19" si="328">SUM(CY15:CY18)</f>
        <v>617150.93192353542</v>
      </c>
      <c r="CZ19" s="10">
        <f t="shared" ref="CZ19" si="329">SUM(CZ15:CZ18)</f>
        <v>618621.59618587152</v>
      </c>
      <c r="DA19" s="10">
        <f t="shared" ref="DA19" si="330">SUM(DA15:DA18)</f>
        <v>620095.93710886326</v>
      </c>
      <c r="DB19" s="10">
        <f t="shared" ref="DB19" si="331">SUM(DB15:DB18)</f>
        <v>621573.96388416248</v>
      </c>
      <c r="DC19" s="10">
        <f t="shared" ref="DC19" si="332">SUM(DC15:DC18)</f>
        <v>623055.6857264</v>
      </c>
      <c r="DD19" s="10">
        <f t="shared" ref="DD19" si="333">SUM(DD15:DD18)</f>
        <v>624541.11187324312</v>
      </c>
      <c r="DE19" s="10">
        <f t="shared" ref="DE19" si="334">SUM(DE15:DE18)</f>
        <v>626030.2515854534</v>
      </c>
      <c r="DF19" s="10">
        <f t="shared" ref="DF19" si="335">SUM(DF15:DF18)</f>
        <v>627523.11414694402</v>
      </c>
      <c r="DG19" s="10">
        <f t="shared" ref="DG19" si="336">SUM(DG15:DG18)</f>
        <v>629019.70886483858</v>
      </c>
      <c r="DH19" s="10">
        <f t="shared" ref="DH19" si="337">SUM(DH15:DH18)</f>
        <v>630520.0450695277</v>
      </c>
      <c r="DI19" s="10">
        <f t="shared" ref="DI19" si="338">SUM(DI15:DI18)</f>
        <v>632024.13211472856</v>
      </c>
      <c r="DJ19" s="10">
        <f t="shared" ref="DJ19" si="339">SUM(DJ15:DJ18)</f>
        <v>633531.97937754251</v>
      </c>
      <c r="DK19" s="10">
        <f t="shared" ref="DK19" si="340">SUM(DK15:DK18)</f>
        <v>635043.5962585134</v>
      </c>
      <c r="DL19" s="10">
        <f t="shared" ref="DL19" si="341">SUM(DL15:DL18)</f>
        <v>636558.9921816868</v>
      </c>
      <c r="DM19" s="10">
        <f t="shared" ref="DM19" si="342">SUM(DM15:DM18)</f>
        <v>638078.17659466807</v>
      </c>
      <c r="DN19" s="10">
        <f t="shared" ref="DN19" si="343">SUM(DN15:DN18)</f>
        <v>639601.15896868194</v>
      </c>
      <c r="DO19" s="10">
        <f t="shared" ref="DO19" si="344">SUM(DO15:DO18)</f>
        <v>641127.94879863074</v>
      </c>
      <c r="DP19" s="10">
        <f t="shared" ref="DP19" si="345">SUM(DP15:DP18)</f>
        <v>642658.55560315435</v>
      </c>
      <c r="DQ19" s="10">
        <f t="shared" ref="DQ19" si="346">SUM(DQ15:DQ18)</f>
        <v>644192.98892468936</v>
      </c>
      <c r="DR19" s="10">
        <f t="shared" ref="DR19" si="347">SUM(DR15:DR18)</f>
        <v>645731.25832952815</v>
      </c>
      <c r="DS19" s="10">
        <f t="shared" ref="DS19" si="348">SUM(DS15:DS18)</f>
        <v>647273.37340787915</v>
      </c>
      <c r="DT19" s="10">
        <f t="shared" ref="DT19" si="349">SUM(DT15:DT18)</f>
        <v>648819.34377392591</v>
      </c>
      <c r="DU19" s="10">
        <f t="shared" ref="DU19" si="350">SUM(DU15:DU18)</f>
        <v>650369.17906588793</v>
      </c>
      <c r="DV19" s="10">
        <f t="shared" ref="DV19" si="351">SUM(DV15:DV18)</f>
        <v>651922.88894607965</v>
      </c>
      <c r="DW19" s="10">
        <f t="shared" ref="DW19" si="352">SUM(DW15:DW18)</f>
        <v>653480.48310097202</v>
      </c>
      <c r="DX19" s="10">
        <f t="shared" ref="DX19" si="353">SUM(DX15:DX18)</f>
        <v>655041.97124125168</v>
      </c>
      <c r="DY19" s="10">
        <f t="shared" ref="DY19" si="354">SUM(DY15:DY18)</f>
        <v>656607.36310188181</v>
      </c>
      <c r="DZ19" s="10">
        <f t="shared" ref="DZ19" si="355">SUM(DZ15:DZ18)</f>
        <v>658176.66844216373</v>
      </c>
      <c r="EA19" s="10">
        <f t="shared" ref="EA19" si="356">SUM(EA15:EA18)</f>
        <v>659749.89704579627</v>
      </c>
      <c r="EB19" s="10">
        <f t="shared" ref="EB19" si="357">SUM(EB15:EB18)</f>
        <v>661327.05872093793</v>
      </c>
      <c r="EC19" s="10">
        <f t="shared" ref="EC19" si="358">SUM(EC15:EC18)</f>
        <v>662908.16330026742</v>
      </c>
      <c r="ED19" s="10">
        <f t="shared" ref="ED19" si="359">SUM(ED15:ED18)</f>
        <v>664493.22064104513</v>
      </c>
      <c r="EE19" s="10">
        <f t="shared" ref="EE19" si="360">SUM(EE15:EE18)</f>
        <v>666082.24062517483</v>
      </c>
      <c r="EF19" s="10">
        <f t="shared" ref="EF19" si="361">SUM(EF15:EF18)</f>
        <v>667675.2331592649</v>
      </c>
      <c r="EG19" s="10">
        <f t="shared" ref="EG19" si="362">SUM(EG15:EG18)</f>
        <v>669272.20817469014</v>
      </c>
      <c r="EH19" s="10">
        <f t="shared" ref="EH19" si="363">SUM(EH15:EH18)</f>
        <v>670873.17562765384</v>
      </c>
      <c r="EI19" s="10">
        <f t="shared" ref="EI19" si="364">SUM(EI15:EI18)</f>
        <v>672478.14549925015</v>
      </c>
      <c r="EJ19" s="10">
        <f t="shared" ref="EJ19" si="365">SUM(EJ15:EJ18)</f>
        <v>674087.12779552548</v>
      </c>
      <c r="EK19" s="10">
        <f t="shared" ref="EK19:EX19" si="366">SUM(EK15:EK18)</f>
        <v>675700.13254754152</v>
      </c>
      <c r="EM19" s="10">
        <f t="shared" si="366"/>
        <v>0</v>
      </c>
      <c r="EN19" s="10">
        <f t="shared" si="366"/>
        <v>5636685.3841834553</v>
      </c>
      <c r="EO19" s="10">
        <f t="shared" si="366"/>
        <v>5961650.7622725656</v>
      </c>
      <c r="EP19" s="10">
        <f t="shared" si="366"/>
        <v>6342508.1531603625</v>
      </c>
      <c r="EQ19" s="10">
        <f t="shared" si="366"/>
        <v>6554244.848744208</v>
      </c>
      <c r="ER19" s="10">
        <f t="shared" si="366"/>
        <v>6743055.6158297202</v>
      </c>
      <c r="ES19" s="10">
        <f t="shared" si="366"/>
        <v>6937609.2430717116</v>
      </c>
      <c r="ET19" s="10">
        <f t="shared" si="366"/>
        <v>7138080.4050572645</v>
      </c>
      <c r="EU19" s="10">
        <f t="shared" si="366"/>
        <v>7344649.0892681666</v>
      </c>
      <c r="EV19" s="10">
        <f t="shared" si="366"/>
        <v>7557500.7576777097</v>
      </c>
      <c r="EW19" s="10">
        <f t="shared" si="366"/>
        <v>7776826.5132625643</v>
      </c>
      <c r="EX19" s="10">
        <f t="shared" si="366"/>
        <v>8002823.2715793103</v>
      </c>
    </row>
    <row r="20" spans="2:154" x14ac:dyDescent="0.3">
      <c r="B20" s="42" t="s">
        <v>121</v>
      </c>
      <c r="E20" s="84">
        <f>E15/$C$6/12</f>
        <v>2025.3721333333335</v>
      </c>
      <c r="F20" s="84">
        <f>F15/$C$6/12</f>
        <v>2053.8001333333336</v>
      </c>
      <c r="J20" s="43">
        <f>J15/$C$6</f>
        <v>2053.8001333333336</v>
      </c>
      <c r="K20" s="43">
        <f t="shared" ref="K20:L20" si="367">K15/$C$6</f>
        <v>2053.8001333333336</v>
      </c>
      <c r="L20" s="43">
        <f t="shared" si="367"/>
        <v>2059.0084666666671</v>
      </c>
      <c r="M20" s="43">
        <f t="shared" ref="M20:BX20" si="368">M15/$C$6</f>
        <v>2064.2168000000001</v>
      </c>
      <c r="N20" s="43">
        <f t="shared" si="368"/>
        <v>2069.4251333333336</v>
      </c>
      <c r="O20" s="43">
        <f t="shared" si="368"/>
        <v>2074.6334666666671</v>
      </c>
      <c r="P20" s="43">
        <f t="shared" si="368"/>
        <v>2079.8418000000006</v>
      </c>
      <c r="Q20" s="43">
        <f t="shared" si="368"/>
        <v>2085.0501333333336</v>
      </c>
      <c r="R20" s="43">
        <f t="shared" si="368"/>
        <v>2090.2584666666667</v>
      </c>
      <c r="S20" s="43">
        <f t="shared" si="368"/>
        <v>2095.4668000000001</v>
      </c>
      <c r="T20" s="43">
        <f t="shared" si="368"/>
        <v>2100.6751333333336</v>
      </c>
      <c r="U20" s="43">
        <f t="shared" si="368"/>
        <v>2105.8834666666667</v>
      </c>
      <c r="V20" s="43">
        <f t="shared" si="368"/>
        <v>2116.2263003333337</v>
      </c>
      <c r="W20" s="43">
        <f t="shared" si="368"/>
        <v>2126.5819702508334</v>
      </c>
      <c r="X20" s="43">
        <f t="shared" si="368"/>
        <v>2136.950508509794</v>
      </c>
      <c r="Y20" s="43">
        <f t="shared" si="368"/>
        <v>2147.3319472810681</v>
      </c>
      <c r="Z20" s="43">
        <f t="shared" si="368"/>
        <v>2157.7263188159372</v>
      </c>
      <c r="AA20" s="43">
        <f t="shared" si="368"/>
        <v>2168.1336554463105</v>
      </c>
      <c r="AB20" s="43">
        <f t="shared" si="368"/>
        <v>2178.5539895849261</v>
      </c>
      <c r="AC20" s="43">
        <f t="shared" si="368"/>
        <v>2188.9873537255553</v>
      </c>
      <c r="AD20" s="43">
        <f t="shared" si="368"/>
        <v>2199.4337804432021</v>
      </c>
      <c r="AE20" s="43">
        <f t="shared" si="368"/>
        <v>2209.89330239431</v>
      </c>
      <c r="AF20" s="43">
        <f t="shared" si="368"/>
        <v>2220.3659523169626</v>
      </c>
      <c r="AG20" s="43">
        <f t="shared" si="368"/>
        <v>2230.8517630310885</v>
      </c>
      <c r="AH20" s="43">
        <f t="shared" si="368"/>
        <v>2243.1143244634141</v>
      </c>
      <c r="AI20" s="43">
        <f t="shared" si="368"/>
        <v>2255.400399989403</v>
      </c>
      <c r="AJ20" s="43">
        <f t="shared" si="368"/>
        <v>2262.5017346560339</v>
      </c>
      <c r="AK20" s="43">
        <f t="shared" si="368"/>
        <v>2269.6267404382211</v>
      </c>
      <c r="AL20" s="43">
        <f t="shared" si="368"/>
        <v>2276.7754962396821</v>
      </c>
      <c r="AM20" s="43">
        <f t="shared" si="368"/>
        <v>2283.9480812271481</v>
      </c>
      <c r="AN20" s="43">
        <f t="shared" si="368"/>
        <v>2291.1445748312385</v>
      </c>
      <c r="AO20" s="43">
        <f t="shared" si="368"/>
        <v>2298.3650567473428</v>
      </c>
      <c r="AP20" s="43">
        <f t="shared" si="368"/>
        <v>2305.6096069365008</v>
      </c>
      <c r="AQ20" s="43">
        <f t="shared" si="368"/>
        <v>2312.8783056262896</v>
      </c>
      <c r="AR20" s="43">
        <f t="shared" si="368"/>
        <v>2320.1712333117102</v>
      </c>
      <c r="AS20" s="43">
        <f t="shared" si="368"/>
        <v>2327.4884707560827</v>
      </c>
      <c r="AT20" s="43">
        <f t="shared" si="368"/>
        <v>2332.9946919329732</v>
      </c>
      <c r="AU20" s="43">
        <f t="shared" si="368"/>
        <v>2338.5146786628052</v>
      </c>
      <c r="AV20" s="43">
        <f t="shared" si="368"/>
        <v>2344.0484653594626</v>
      </c>
      <c r="AW20" s="43">
        <f t="shared" si="368"/>
        <v>2349.5960865228608</v>
      </c>
      <c r="AX20" s="43">
        <f t="shared" si="368"/>
        <v>2355.1575767391678</v>
      </c>
      <c r="AY20" s="43">
        <f t="shared" si="368"/>
        <v>2360.732970681016</v>
      </c>
      <c r="AZ20" s="43">
        <f t="shared" si="368"/>
        <v>2366.3223031077187</v>
      </c>
      <c r="BA20" s="43">
        <f t="shared" si="368"/>
        <v>2371.9256088654874</v>
      </c>
      <c r="BB20" s="43">
        <f t="shared" si="368"/>
        <v>2377.5429228876515</v>
      </c>
      <c r="BC20" s="43">
        <f t="shared" si="368"/>
        <v>2383.1742801948703</v>
      </c>
      <c r="BD20" s="43">
        <f t="shared" si="368"/>
        <v>2388.8197158953571</v>
      </c>
      <c r="BE20" s="43">
        <f t="shared" si="368"/>
        <v>2394.4792651850953</v>
      </c>
      <c r="BF20" s="43">
        <f t="shared" si="368"/>
        <v>2400.1529633480577</v>
      </c>
      <c r="BG20" s="43">
        <f t="shared" si="368"/>
        <v>2405.8408457564278</v>
      </c>
      <c r="BH20" s="43">
        <f t="shared" si="368"/>
        <v>2411.5429478708188</v>
      </c>
      <c r="BI20" s="43">
        <f t="shared" si="368"/>
        <v>2417.2593052404959</v>
      </c>
      <c r="BJ20" s="43">
        <f t="shared" si="368"/>
        <v>2422.989953503597</v>
      </c>
      <c r="BK20" s="43">
        <f t="shared" si="368"/>
        <v>2428.7349283873559</v>
      </c>
      <c r="BL20" s="43">
        <f t="shared" si="368"/>
        <v>2434.4942657083243</v>
      </c>
      <c r="BM20" s="43">
        <f t="shared" si="368"/>
        <v>2440.2680013725949</v>
      </c>
      <c r="BN20" s="43">
        <f t="shared" si="368"/>
        <v>2446.0561713760262</v>
      </c>
      <c r="BO20" s="43">
        <f t="shared" si="368"/>
        <v>2451.8588118044663</v>
      </c>
      <c r="BP20" s="43">
        <f t="shared" si="368"/>
        <v>2457.6759588339778</v>
      </c>
      <c r="BQ20" s="43">
        <f t="shared" si="368"/>
        <v>2463.5076487310621</v>
      </c>
      <c r="BR20" s="43">
        <f t="shared" si="368"/>
        <v>2469.3539178528899</v>
      </c>
      <c r="BS20" s="43">
        <f t="shared" si="368"/>
        <v>2475.2148026475215</v>
      </c>
      <c r="BT20" s="43">
        <f t="shared" si="368"/>
        <v>2481.0903396541403</v>
      </c>
      <c r="BU20" s="43">
        <f t="shared" si="368"/>
        <v>2486.9805655032756</v>
      </c>
      <c r="BV20" s="43">
        <f t="shared" si="368"/>
        <v>2492.8855169170342</v>
      </c>
      <c r="BW20" s="43">
        <f t="shared" si="368"/>
        <v>2498.8052307093267</v>
      </c>
      <c r="BX20" s="43">
        <f t="shared" si="368"/>
        <v>2504.7397437861</v>
      </c>
      <c r="BY20" s="43">
        <f t="shared" ref="BY20:EJ20" si="369">BY15/$C$6</f>
        <v>2510.6890931455646</v>
      </c>
      <c r="BZ20" s="43">
        <f t="shared" si="369"/>
        <v>2516.6533158784282</v>
      </c>
      <c r="CA20" s="43">
        <f t="shared" si="369"/>
        <v>2522.6324491681244</v>
      </c>
      <c r="CB20" s="43">
        <f t="shared" si="369"/>
        <v>2528.6265302910447</v>
      </c>
      <c r="CC20" s="43">
        <f t="shared" si="369"/>
        <v>2534.6355966167721</v>
      </c>
      <c r="CD20" s="43">
        <f t="shared" si="369"/>
        <v>2540.6596856083138</v>
      </c>
      <c r="CE20" s="43">
        <f t="shared" si="369"/>
        <v>2546.6988348223344</v>
      </c>
      <c r="CF20" s="43">
        <f t="shared" si="369"/>
        <v>2552.7530819093899</v>
      </c>
      <c r="CG20" s="43">
        <f t="shared" si="369"/>
        <v>2558.8224646141634</v>
      </c>
      <c r="CH20" s="43">
        <f t="shared" si="369"/>
        <v>2564.9070207756986</v>
      </c>
      <c r="CI20" s="43">
        <f t="shared" si="369"/>
        <v>2571.0067883276379</v>
      </c>
      <c r="CJ20" s="43">
        <f t="shared" si="369"/>
        <v>2577.1218052984568</v>
      </c>
      <c r="CK20" s="43">
        <f t="shared" si="369"/>
        <v>2583.2521098117027</v>
      </c>
      <c r="CL20" s="43">
        <f t="shared" si="369"/>
        <v>2589.3977400862318</v>
      </c>
      <c r="CM20" s="43">
        <f t="shared" si="369"/>
        <v>2595.5587344364471</v>
      </c>
      <c r="CN20" s="43">
        <f t="shared" si="369"/>
        <v>2601.7351312725382</v>
      </c>
      <c r="CO20" s="43">
        <f t="shared" si="369"/>
        <v>2607.9269691007194</v>
      </c>
      <c r="CP20" s="43">
        <f t="shared" si="369"/>
        <v>2614.134286523471</v>
      </c>
      <c r="CQ20" s="43">
        <f t="shared" si="369"/>
        <v>2620.3571222397795</v>
      </c>
      <c r="CR20" s="43">
        <f t="shared" si="369"/>
        <v>2626.5955150453788</v>
      </c>
      <c r="CS20" s="43">
        <f t="shared" si="369"/>
        <v>2632.849503832992</v>
      </c>
      <c r="CT20" s="43">
        <f t="shared" si="369"/>
        <v>2639.1191275925744</v>
      </c>
      <c r="CU20" s="43">
        <f t="shared" si="369"/>
        <v>2645.4044254115556</v>
      </c>
      <c r="CV20" s="43">
        <f t="shared" si="369"/>
        <v>2651.7054364750843</v>
      </c>
      <c r="CW20" s="43">
        <f t="shared" si="369"/>
        <v>2658.022200066272</v>
      </c>
      <c r="CX20" s="43">
        <f t="shared" si="369"/>
        <v>2664.3547555664377</v>
      </c>
      <c r="CY20" s="43">
        <f t="shared" si="369"/>
        <v>2670.7031424553538</v>
      </c>
      <c r="CZ20" s="43">
        <f t="shared" si="369"/>
        <v>2677.0674003114923</v>
      </c>
      <c r="DA20" s="43">
        <f t="shared" si="369"/>
        <v>2683.4475688122707</v>
      </c>
      <c r="DB20" s="43">
        <f t="shared" si="369"/>
        <v>2689.8436877343011</v>
      </c>
      <c r="DC20" s="43">
        <f t="shared" si="369"/>
        <v>2696.2557969536365</v>
      </c>
      <c r="DD20" s="43">
        <f t="shared" si="369"/>
        <v>2702.6839364460207</v>
      </c>
      <c r="DE20" s="43">
        <f t="shared" si="369"/>
        <v>2709.1281462871357</v>
      </c>
      <c r="DF20" s="43">
        <f t="shared" si="369"/>
        <v>2715.5884666528527</v>
      </c>
      <c r="DG20" s="43">
        <f t="shared" si="369"/>
        <v>2722.0649378194853</v>
      </c>
      <c r="DH20" s="43">
        <f t="shared" si="369"/>
        <v>2728.5576001640338</v>
      </c>
      <c r="DI20" s="43">
        <f t="shared" si="369"/>
        <v>2735.0664941644436</v>
      </c>
      <c r="DJ20" s="43">
        <f t="shared" si="369"/>
        <v>2741.5916603998544</v>
      </c>
      <c r="DK20" s="43">
        <f t="shared" si="369"/>
        <v>2748.1331395508537</v>
      </c>
      <c r="DL20" s="43">
        <f t="shared" si="369"/>
        <v>2754.6909723997305</v>
      </c>
      <c r="DM20" s="43">
        <f t="shared" si="369"/>
        <v>2761.2651998307297</v>
      </c>
      <c r="DN20" s="43">
        <f t="shared" si="369"/>
        <v>2767.8558628303063</v>
      </c>
      <c r="DO20" s="43">
        <f t="shared" si="369"/>
        <v>2774.4630024873818</v>
      </c>
      <c r="DP20" s="43">
        <f t="shared" si="369"/>
        <v>2781.0866599936003</v>
      </c>
      <c r="DQ20" s="43">
        <f t="shared" si="369"/>
        <v>2787.7268766435841</v>
      </c>
      <c r="DR20" s="43">
        <f t="shared" si="369"/>
        <v>2794.3836938351928</v>
      </c>
      <c r="DS20" s="43">
        <f t="shared" si="369"/>
        <v>2801.0571530697807</v>
      </c>
      <c r="DT20" s="43">
        <f t="shared" si="369"/>
        <v>2807.7472959524553</v>
      </c>
      <c r="DU20" s="43">
        <f t="shared" si="369"/>
        <v>2814.4541641923361</v>
      </c>
      <c r="DV20" s="43">
        <f t="shared" si="369"/>
        <v>2821.1777996028168</v>
      </c>
      <c r="DW20" s="43">
        <f t="shared" si="369"/>
        <v>2827.9182441018238</v>
      </c>
      <c r="DX20" s="43">
        <f t="shared" si="369"/>
        <v>2834.6755397120783</v>
      </c>
      <c r="DY20" s="43">
        <f t="shared" si="369"/>
        <v>2841.4497285613584</v>
      </c>
      <c r="DZ20" s="43">
        <f t="shared" si="369"/>
        <v>2848.2408528827618</v>
      </c>
      <c r="EA20" s="43">
        <f t="shared" si="369"/>
        <v>2855.0489550149687</v>
      </c>
      <c r="EB20" s="43">
        <f t="shared" si="369"/>
        <v>2861.8740774025059</v>
      </c>
      <c r="EC20" s="43">
        <f t="shared" si="369"/>
        <v>2868.7162625960123</v>
      </c>
      <c r="ED20" s="43">
        <f t="shared" si="369"/>
        <v>2875.5755532525022</v>
      </c>
      <c r="EE20" s="43">
        <f t="shared" si="369"/>
        <v>2882.4519921356332</v>
      </c>
      <c r="EF20" s="43">
        <f t="shared" si="369"/>
        <v>2889.3456221159718</v>
      </c>
      <c r="EG20" s="43">
        <f t="shared" si="369"/>
        <v>2896.2564861712617</v>
      </c>
      <c r="EH20" s="43">
        <f t="shared" si="369"/>
        <v>2903.1846273866895</v>
      </c>
      <c r="EI20" s="43">
        <f t="shared" si="369"/>
        <v>2910.1300889551567</v>
      </c>
      <c r="EJ20" s="43">
        <f t="shared" si="369"/>
        <v>2917.0929141775446</v>
      </c>
      <c r="EK20" s="43">
        <f t="shared" ref="EK20" si="370">EK15/$C$6</f>
        <v>2924.0731464629885</v>
      </c>
      <c r="EN20" s="116">
        <f>EN15/$C$6/12</f>
        <v>2077.6716611111115</v>
      </c>
      <c r="EO20" s="116">
        <f t="shared" ref="EO20:EX20" si="371">EO15/$C$6/12</f>
        <v>2173.4197368444434</v>
      </c>
      <c r="EP20" s="116">
        <f t="shared" si="371"/>
        <v>2287.2520021019218</v>
      </c>
      <c r="EQ20" s="116">
        <f t="shared" si="371"/>
        <v>2363.6090471695393</v>
      </c>
      <c r="ER20" s="116">
        <f t="shared" si="371"/>
        <v>2431.6984834944337</v>
      </c>
      <c r="ES20" s="116">
        <f t="shared" si="371"/>
        <v>2501.8589251808512</v>
      </c>
      <c r="ET20" s="116">
        <f t="shared" si="371"/>
        <v>2574.1533638386368</v>
      </c>
      <c r="EU20" s="116">
        <f t="shared" si="371"/>
        <v>2648.6467070277217</v>
      </c>
      <c r="EV20" s="116">
        <f t="shared" si="371"/>
        <v>2725.40583653359</v>
      </c>
      <c r="EW20" s="116">
        <f t="shared" si="371"/>
        <v>2804.4996684152266</v>
      </c>
      <c r="EX20" s="116">
        <f t="shared" si="371"/>
        <v>2885.9992148794995</v>
      </c>
    </row>
    <row r="21" spans="2:154" x14ac:dyDescent="0.3">
      <c r="B21" s="113" t="s">
        <v>152</v>
      </c>
      <c r="E21" s="114">
        <f>E20/'Inputs &amp; Drivers'!$I$10</f>
        <v>2.2014914492753626</v>
      </c>
      <c r="F21" s="114">
        <f>F20/'Inputs &amp; Drivers'!$I$10</f>
        <v>2.2323914492753625</v>
      </c>
      <c r="J21" s="114">
        <f>J20/'Inputs &amp; Drivers'!$I$10</f>
        <v>2.2323914492753625</v>
      </c>
      <c r="K21" s="114">
        <f>K20/'Inputs &amp; Drivers'!$I$10</f>
        <v>2.2323914492753625</v>
      </c>
      <c r="L21" s="114">
        <f>L20/'Inputs &amp; Drivers'!$I$10</f>
        <v>2.2380526811594206</v>
      </c>
      <c r="M21" s="114">
        <f>M20/'Inputs &amp; Drivers'!$I$10</f>
        <v>2.2437139130434782</v>
      </c>
      <c r="N21" s="114">
        <f>N20/'Inputs &amp; Drivers'!$I$10</f>
        <v>2.2493751449275368</v>
      </c>
      <c r="O21" s="114">
        <f>O20/'Inputs &amp; Drivers'!$I$10</f>
        <v>2.2550363768115949</v>
      </c>
      <c r="P21" s="114">
        <f>P20/'Inputs &amp; Drivers'!$I$10</f>
        <v>2.2606976086956529</v>
      </c>
      <c r="Q21" s="114">
        <f>Q20/'Inputs &amp; Drivers'!$I$10</f>
        <v>2.2663588405797106</v>
      </c>
      <c r="R21" s="114">
        <f>R20/'Inputs &amp; Drivers'!$I$10</f>
        <v>2.2720200724637682</v>
      </c>
      <c r="S21" s="114">
        <f>S20/'Inputs &amp; Drivers'!$I$10</f>
        <v>2.2776813043478263</v>
      </c>
      <c r="T21" s="114">
        <f>T20/'Inputs &amp; Drivers'!$I$10</f>
        <v>2.2833425362318844</v>
      </c>
      <c r="U21" s="114">
        <f>U20/'Inputs &amp; Drivers'!$I$10</f>
        <v>2.2890037681159421</v>
      </c>
      <c r="V21" s="114">
        <f>V20/'Inputs &amp; Drivers'!$I$10</f>
        <v>2.300245978623189</v>
      </c>
      <c r="W21" s="114">
        <f>W20/'Inputs &amp; Drivers'!$I$10</f>
        <v>2.3115021415769927</v>
      </c>
      <c r="X21" s="114">
        <f>X20/'Inputs &amp; Drivers'!$I$10</f>
        <v>2.3227722918584717</v>
      </c>
      <c r="Y21" s="114">
        <f>Y20/'Inputs &amp; Drivers'!$I$10</f>
        <v>2.3340564644359434</v>
      </c>
      <c r="Z21" s="114">
        <f>Z20/'Inputs &amp; Drivers'!$I$10</f>
        <v>2.3453546943651493</v>
      </c>
      <c r="AA21" s="114">
        <f>AA20/'Inputs &amp; Drivers'!$I$10</f>
        <v>2.3566670167894679</v>
      </c>
      <c r="AB21" s="114">
        <f>AB20/'Inputs &amp; Drivers'!$I$10</f>
        <v>2.367993466940137</v>
      </c>
      <c r="AC21" s="114">
        <f>AC20/'Inputs &amp; Drivers'!$I$10</f>
        <v>2.3793340801364731</v>
      </c>
      <c r="AD21" s="114">
        <f>AD20/'Inputs &amp; Drivers'!$I$10</f>
        <v>2.3906888917860893</v>
      </c>
      <c r="AE21" s="114">
        <f>AE20/'Inputs &amp; Drivers'!$I$10</f>
        <v>2.4020579373851194</v>
      </c>
      <c r="AF21" s="114">
        <f>AF20/'Inputs &amp; Drivers'!$I$10</f>
        <v>2.4134412525184374</v>
      </c>
      <c r="AG21" s="114">
        <f>AG20/'Inputs &amp; Drivers'!$I$10</f>
        <v>2.4248388728598789</v>
      </c>
      <c r="AH21" s="114">
        <f>AH20/'Inputs &amp; Drivers'!$I$10</f>
        <v>2.438167743981972</v>
      </c>
      <c r="AI21" s="114">
        <f>AI20/'Inputs &amp; Drivers'!$I$10</f>
        <v>2.4515221739015249</v>
      </c>
      <c r="AJ21" s="114">
        <f>AJ20/'Inputs &amp; Drivers'!$I$10</f>
        <v>2.4592410159304716</v>
      </c>
      <c r="AK21" s="114">
        <f>AK20/'Inputs &amp; Drivers'!$I$10</f>
        <v>2.4669855874328488</v>
      </c>
      <c r="AL21" s="114">
        <f>AL20/'Inputs &amp; Drivers'!$I$10</f>
        <v>2.4747559741735676</v>
      </c>
      <c r="AM21" s="114">
        <f>AM20/'Inputs &amp; Drivers'!$I$10</f>
        <v>2.4825522622034217</v>
      </c>
      <c r="AN21" s="114">
        <f>AN20/'Inputs &amp; Drivers'!$I$10</f>
        <v>2.4903745378600419</v>
      </c>
      <c r="AO21" s="114">
        <f>AO20/'Inputs &amp; Drivers'!$I$10</f>
        <v>2.498222887768851</v>
      </c>
      <c r="AP21" s="114">
        <f>AP20/'Inputs &amp; Drivers'!$I$10</f>
        <v>2.5060973988440227</v>
      </c>
      <c r="AQ21" s="114">
        <f>AQ20/'Inputs &amp; Drivers'!$I$10</f>
        <v>2.5139981582894451</v>
      </c>
      <c r="AR21" s="114">
        <f>AR20/'Inputs &amp; Drivers'!$I$10</f>
        <v>2.5219252535996852</v>
      </c>
      <c r="AS21" s="114">
        <f>AS20/'Inputs &amp; Drivers'!$I$10</f>
        <v>2.5298787725609593</v>
      </c>
      <c r="AT21" s="114">
        <f>AT20/'Inputs &amp; Drivers'!$I$10</f>
        <v>2.5358637955793188</v>
      </c>
      <c r="AU21" s="114">
        <f>AU20/'Inputs &amp; Drivers'!$I$10</f>
        <v>2.5418637811552229</v>
      </c>
      <c r="AV21" s="114">
        <f>AV20/'Inputs &amp; Drivers'!$I$10</f>
        <v>2.5478787666950682</v>
      </c>
      <c r="AW21" s="114">
        <f>AW20/'Inputs &amp; Drivers'!$I$10</f>
        <v>2.5539087896987618</v>
      </c>
      <c r="AX21" s="114">
        <f>AX20/'Inputs &amp; Drivers'!$I$10</f>
        <v>2.5599538877599648</v>
      </c>
      <c r="AY21" s="114">
        <f>AY20/'Inputs &amp; Drivers'!$I$10</f>
        <v>2.5660140985663218</v>
      </c>
      <c r="AZ21" s="114">
        <f>AZ20/'Inputs &amp; Drivers'!$I$10</f>
        <v>2.5720894598996944</v>
      </c>
      <c r="BA21" s="114">
        <f>BA20/'Inputs &amp; Drivers'!$I$10</f>
        <v>2.5781800096363994</v>
      </c>
      <c r="BB21" s="114">
        <f>BB20/'Inputs &amp; Drivers'!$I$10</f>
        <v>2.5842857857474471</v>
      </c>
      <c r="BC21" s="114">
        <f>BC20/'Inputs &amp; Drivers'!$I$10</f>
        <v>2.5904068262987723</v>
      </c>
      <c r="BD21" s="114">
        <f>BD20/'Inputs &amp; Drivers'!$I$10</f>
        <v>2.5965431694514751</v>
      </c>
      <c r="BE21" s="114">
        <f>BE20/'Inputs &amp; Drivers'!$I$10</f>
        <v>2.6026948534620602</v>
      </c>
      <c r="BF21" s="114">
        <f>BF20/'Inputs &amp; Drivers'!$I$10</f>
        <v>2.6088619166826716</v>
      </c>
      <c r="BG21" s="114">
        <f>BG20/'Inputs &amp; Drivers'!$I$10</f>
        <v>2.6150443975613347</v>
      </c>
      <c r="BH21" s="114">
        <f>BH20/'Inputs &amp; Drivers'!$I$10</f>
        <v>2.6212423346421945</v>
      </c>
      <c r="BI21" s="114">
        <f>BI20/'Inputs &amp; Drivers'!$I$10</f>
        <v>2.6274557665657565</v>
      </c>
      <c r="BJ21" s="114">
        <f>BJ20/'Inputs &amp; Drivers'!$I$10</f>
        <v>2.6336847320691272</v>
      </c>
      <c r="BK21" s="114">
        <f>BK20/'Inputs &amp; Drivers'!$I$10</f>
        <v>2.6399292699862564</v>
      </c>
      <c r="BL21" s="114">
        <f>BL20/'Inputs &amp; Drivers'!$I$10</f>
        <v>2.6461894192481785</v>
      </c>
      <c r="BM21" s="114">
        <f>BM20/'Inputs &amp; Drivers'!$I$10</f>
        <v>2.6524652188832554</v>
      </c>
      <c r="BN21" s="114">
        <f>BN20/'Inputs &amp; Drivers'!$I$10</f>
        <v>2.6587567080174197</v>
      </c>
      <c r="BO21" s="114">
        <f>BO20/'Inputs &amp; Drivers'!$I$10</f>
        <v>2.6650639258744198</v>
      </c>
      <c r="BP21" s="114">
        <f>BP20/'Inputs &amp; Drivers'!$I$10</f>
        <v>2.6713869117760627</v>
      </c>
      <c r="BQ21" s="114">
        <f>BQ20/'Inputs &amp; Drivers'!$I$10</f>
        <v>2.6777257051424588</v>
      </c>
      <c r="BR21" s="114">
        <f>BR20/'Inputs &amp; Drivers'!$I$10</f>
        <v>2.6840803454922715</v>
      </c>
      <c r="BS21" s="114">
        <f>BS20/'Inputs &amp; Drivers'!$I$10</f>
        <v>2.6904508724429581</v>
      </c>
      <c r="BT21" s="114">
        <f>BT20/'Inputs &amp; Drivers'!$I$10</f>
        <v>2.6968373257110221</v>
      </c>
      <c r="BU21" s="114">
        <f>BU20/'Inputs &amp; Drivers'!$I$10</f>
        <v>2.7032397451122558</v>
      </c>
      <c r="BV21" s="114">
        <f>BV20/'Inputs &amp; Drivers'!$I$10</f>
        <v>2.7096581705619935</v>
      </c>
      <c r="BW21" s="114">
        <f>BW20/'Inputs &amp; Drivers'!$I$10</f>
        <v>2.7160926420753553</v>
      </c>
      <c r="BX21" s="114">
        <f>BX20/'Inputs &amp; Drivers'!$I$10</f>
        <v>2.7225431997674998</v>
      </c>
      <c r="BY21" s="114">
        <f>BY20/'Inputs &amp; Drivers'!$I$10</f>
        <v>2.7290098838538746</v>
      </c>
      <c r="BZ21" s="114">
        <f>BZ20/'Inputs &amp; Drivers'!$I$10</f>
        <v>2.7354927346504656</v>
      </c>
      <c r="CA21" s="114">
        <f>CA20/'Inputs &amp; Drivers'!$I$10</f>
        <v>2.7419917925740482</v>
      </c>
      <c r="CB21" s="114">
        <f>CB20/'Inputs &amp; Drivers'!$I$10</f>
        <v>2.74850709814244</v>
      </c>
      <c r="CC21" s="114">
        <f>CC20/'Inputs &amp; Drivers'!$I$10</f>
        <v>2.7550386919747525</v>
      </c>
      <c r="CD21" s="114">
        <f>CD20/'Inputs &amp; Drivers'!$I$10</f>
        <v>2.7615866147916455</v>
      </c>
      <c r="CE21" s="114">
        <f>CE20/'Inputs &amp; Drivers'!$I$10</f>
        <v>2.7681509074155808</v>
      </c>
      <c r="CF21" s="114">
        <f>CF20/'Inputs &amp; Drivers'!$I$10</f>
        <v>2.774731610771076</v>
      </c>
      <c r="CG21" s="114">
        <f>CG20/'Inputs &amp; Drivers'!$I$10</f>
        <v>2.7813287658849601</v>
      </c>
      <c r="CH21" s="114">
        <f>CH20/'Inputs &amp; Drivers'!$I$10</f>
        <v>2.7879424138866291</v>
      </c>
      <c r="CI21" s="114">
        <f>CI20/'Inputs &amp; Drivers'!$I$10</f>
        <v>2.7945725960083019</v>
      </c>
      <c r="CJ21" s="114">
        <f>CJ20/'Inputs &amp; Drivers'!$I$10</f>
        <v>2.801219353585279</v>
      </c>
      <c r="CK21" s="114">
        <f>CK20/'Inputs &amp; Drivers'!$I$10</f>
        <v>2.8078827280561987</v>
      </c>
      <c r="CL21" s="114">
        <f>CL20/'Inputs &amp; Drivers'!$I$10</f>
        <v>2.8145627609632955</v>
      </c>
      <c r="CM21" s="114">
        <f>CM20/'Inputs &amp; Drivers'!$I$10</f>
        <v>2.8212594939526601</v>
      </c>
      <c r="CN21" s="114">
        <f>CN20/'Inputs &amp; Drivers'!$I$10</f>
        <v>2.8279729687744979</v>
      </c>
      <c r="CO21" s="114">
        <f>CO20/'Inputs &amp; Drivers'!$I$10</f>
        <v>2.8347032272833905</v>
      </c>
      <c r="CP21" s="114">
        <f>CP20/'Inputs &amp; Drivers'!$I$10</f>
        <v>2.8414503114385554</v>
      </c>
      <c r="CQ21" s="114">
        <f>CQ20/'Inputs &amp; Drivers'!$I$10</f>
        <v>2.8482142633041083</v>
      </c>
      <c r="CR21" s="114">
        <f>CR20/'Inputs &amp; Drivers'!$I$10</f>
        <v>2.8549951250493248</v>
      </c>
      <c r="CS21" s="114">
        <f>CS20/'Inputs &amp; Drivers'!$I$10</f>
        <v>2.8617929389489043</v>
      </c>
      <c r="CT21" s="114">
        <f>CT20/'Inputs &amp; Drivers'!$I$10</f>
        <v>2.868607747383233</v>
      </c>
      <c r="CU21" s="114">
        <f>CU20/'Inputs &amp; Drivers'!$I$10</f>
        <v>2.8754395928386476</v>
      </c>
      <c r="CV21" s="114">
        <f>CV20/'Inputs &amp; Drivers'!$I$10</f>
        <v>2.8822885179077002</v>
      </c>
      <c r="CW21" s="114">
        <f>CW20/'Inputs &amp; Drivers'!$I$10</f>
        <v>2.8891545652894259</v>
      </c>
      <c r="CX21" s="114">
        <f>CX20/'Inputs &amp; Drivers'!$I$10</f>
        <v>2.8960377777896062</v>
      </c>
      <c r="CY21" s="114">
        <f>CY20/'Inputs &amp; Drivers'!$I$10</f>
        <v>2.9029381983210367</v>
      </c>
      <c r="CZ21" s="114">
        <f>CZ20/'Inputs &amp; Drivers'!$I$10</f>
        <v>2.909855869903796</v>
      </c>
      <c r="DA21" s="114">
        <f>DA20/'Inputs &amp; Drivers'!$I$10</f>
        <v>2.9167908356655117</v>
      </c>
      <c r="DB21" s="114">
        <f>DB20/'Inputs &amp; Drivers'!$I$10</f>
        <v>2.9237431388416315</v>
      </c>
      <c r="DC21" s="114">
        <f>DC20/'Inputs &amp; Drivers'!$I$10</f>
        <v>2.9307128227756918</v>
      </c>
      <c r="DD21" s="114">
        <f>DD20/'Inputs &amp; Drivers'!$I$10</f>
        <v>2.9376999309195875</v>
      </c>
      <c r="DE21" s="114">
        <f>DE20/'Inputs &amp; Drivers'!$I$10</f>
        <v>2.9447045068338431</v>
      </c>
      <c r="DF21" s="114">
        <f>DF20/'Inputs &amp; Drivers'!$I$10</f>
        <v>2.9517265941878832</v>
      </c>
      <c r="DG21" s="114">
        <f>DG20/'Inputs &amp; Drivers'!$I$10</f>
        <v>2.9587662367603103</v>
      </c>
      <c r="DH21" s="114">
        <f>DH20/'Inputs &amp; Drivers'!$I$10</f>
        <v>2.9658234784391673</v>
      </c>
      <c r="DI21" s="114">
        <f>DI20/'Inputs &amp; Drivers'!$I$10</f>
        <v>2.9728983632222215</v>
      </c>
      <c r="DJ21" s="114">
        <f>DJ20/'Inputs &amp; Drivers'!$I$10</f>
        <v>2.9799909352172329</v>
      </c>
      <c r="DK21" s="114">
        <f>DK20/'Inputs &amp; Drivers'!$I$10</f>
        <v>2.9871012386422322</v>
      </c>
      <c r="DL21" s="114">
        <f>DL20/'Inputs &amp; Drivers'!$I$10</f>
        <v>2.9942293178257939</v>
      </c>
      <c r="DM21" s="114">
        <f>DM20/'Inputs &amp; Drivers'!$I$10</f>
        <v>3.0013752172073147</v>
      </c>
      <c r="DN21" s="114">
        <f>DN20/'Inputs &amp; Drivers'!$I$10</f>
        <v>3.0085389813372894</v>
      </c>
      <c r="DO21" s="114">
        <f>DO20/'Inputs &amp; Drivers'!$I$10</f>
        <v>3.015720654877589</v>
      </c>
      <c r="DP21" s="114">
        <f>DP20/'Inputs &amp; Drivers'!$I$10</f>
        <v>3.0229202826017394</v>
      </c>
      <c r="DQ21" s="114">
        <f>DQ20/'Inputs &amp; Drivers'!$I$10</f>
        <v>3.0301379093951999</v>
      </c>
      <c r="DR21" s="114">
        <f>DR20/'Inputs &amp; Drivers'!$I$10</f>
        <v>3.0373735802556445</v>
      </c>
      <c r="DS21" s="114">
        <f>DS20/'Inputs &amp; Drivers'!$I$10</f>
        <v>3.04462734029324</v>
      </c>
      <c r="DT21" s="114">
        <f>DT20/'Inputs &amp; Drivers'!$I$10</f>
        <v>3.0518992347309295</v>
      </c>
      <c r="DU21" s="114">
        <f>DU20/'Inputs &amp; Drivers'!$I$10</f>
        <v>3.0591893089047133</v>
      </c>
      <c r="DV21" s="114">
        <f>DV20/'Inputs &amp; Drivers'!$I$10</f>
        <v>3.0664976082639313</v>
      </c>
      <c r="DW21" s="114">
        <f>DW20/'Inputs &amp; Drivers'!$I$10</f>
        <v>3.0738241783715474</v>
      </c>
      <c r="DX21" s="114">
        <f>DX20/'Inputs &amp; Drivers'!$I$10</f>
        <v>3.081169064904433</v>
      </c>
      <c r="DY21" s="114">
        <f>DY20/'Inputs &amp; Drivers'!$I$10</f>
        <v>3.0885323136536504</v>
      </c>
      <c r="DZ21" s="114">
        <f>DZ20/'Inputs &amp; Drivers'!$I$10</f>
        <v>3.0959139705247409</v>
      </c>
      <c r="EA21" s="114">
        <f>EA20/'Inputs &amp; Drivers'!$I$10</f>
        <v>3.1033140815380094</v>
      </c>
      <c r="EB21" s="114">
        <f>EB20/'Inputs &amp; Drivers'!$I$10</f>
        <v>3.1107326928288108</v>
      </c>
      <c r="EC21" s="114">
        <f>EC20/'Inputs &amp; Drivers'!$I$10</f>
        <v>3.1181698506478392</v>
      </c>
      <c r="ED21" s="114">
        <f>ED20/'Inputs &amp; Drivers'!$I$10</f>
        <v>3.1256256013614157</v>
      </c>
      <c r="EE21" s="114">
        <f>EE20/'Inputs &amp; Drivers'!$I$10</f>
        <v>3.1330999914517754</v>
      </c>
      <c r="EF21" s="114">
        <f>EF20/'Inputs &amp; Drivers'!$I$10</f>
        <v>3.1405930675173606</v>
      </c>
      <c r="EG21" s="114">
        <f>EG20/'Inputs &amp; Drivers'!$I$10</f>
        <v>3.1481048762731105</v>
      </c>
      <c r="EH21" s="114">
        <f>EH20/'Inputs &amp; Drivers'!$I$10</f>
        <v>3.1556354645507496</v>
      </c>
      <c r="EI21" s="114">
        <f>EI20/'Inputs &amp; Drivers'!$I$10</f>
        <v>3.1631848792990835</v>
      </c>
      <c r="EJ21" s="114">
        <f>EJ20/'Inputs &amp; Drivers'!$I$10</f>
        <v>3.1707531675842877</v>
      </c>
      <c r="EK21" s="114">
        <f>EK20/'Inputs &amp; Drivers'!$I$10</f>
        <v>3.1783403765902047</v>
      </c>
      <c r="EN21" s="114">
        <f>EN20/'Inputs &amp; Drivers'!$I$10</f>
        <v>2.2583387620772952</v>
      </c>
      <c r="EO21" s="114">
        <f>EO20/'Inputs &amp; Drivers'!$I$10</f>
        <v>2.3624127574396123</v>
      </c>
      <c r="EP21" s="114">
        <f>EP20/'Inputs &amp; Drivers'!$I$10</f>
        <v>2.4861434805455671</v>
      </c>
      <c r="EQ21" s="114">
        <f>EQ20/'Inputs &amp; Drivers'!$I$10</f>
        <v>2.5691402686625429</v>
      </c>
      <c r="ER21" s="114">
        <f>ER20/'Inputs &amp; Drivers'!$I$10</f>
        <v>2.6431505255374281</v>
      </c>
      <c r="ES21" s="114">
        <f>ES20/'Inputs &amp; Drivers'!$I$10</f>
        <v>2.7194118751965775</v>
      </c>
      <c r="ET21" s="114">
        <f>ET20/'Inputs &amp; Drivers'!$I$10</f>
        <v>2.7979927867811267</v>
      </c>
      <c r="EU21" s="114">
        <f>EU20/'Inputs &amp; Drivers'!$I$10</f>
        <v>2.8789638119866541</v>
      </c>
      <c r="EV21" s="114">
        <f>EV20/'Inputs &amp; Drivers'!$I$10</f>
        <v>2.9623976484060761</v>
      </c>
      <c r="EW21" s="114">
        <f>EW20/'Inputs &amp; Drivers'!$I$10</f>
        <v>3.0483692047991595</v>
      </c>
      <c r="EX21" s="114">
        <f>EX20/'Inputs &amp; Drivers'!$I$10</f>
        <v>3.1369556683472819</v>
      </c>
    </row>
    <row r="22" spans="2:154" x14ac:dyDescent="0.3">
      <c r="B22" s="113" t="s">
        <v>153</v>
      </c>
      <c r="E22" s="85">
        <f>E16/E15+1</f>
        <v>0.9</v>
      </c>
      <c r="F22" s="85">
        <f>F16/F15+1</f>
        <v>0.9</v>
      </c>
      <c r="J22" s="44">
        <f>J16/J15+1</f>
        <v>0.91</v>
      </c>
      <c r="K22" s="44">
        <f t="shared" ref="K22:L22" si="372">K16/K15+1</f>
        <v>0.91</v>
      </c>
      <c r="L22" s="44">
        <f t="shared" si="372"/>
        <v>0.91</v>
      </c>
      <c r="M22" s="44">
        <f t="shared" ref="M22:BX22" si="373">M16/M15+1</f>
        <v>0.91</v>
      </c>
      <c r="N22" s="44">
        <f t="shared" si="373"/>
        <v>0.91</v>
      </c>
      <c r="O22" s="44">
        <f t="shared" si="373"/>
        <v>0.91</v>
      </c>
      <c r="P22" s="44">
        <f t="shared" si="373"/>
        <v>0.91</v>
      </c>
      <c r="Q22" s="44">
        <f t="shared" si="373"/>
        <v>0.91</v>
      </c>
      <c r="R22" s="44">
        <f t="shared" si="373"/>
        <v>0.91</v>
      </c>
      <c r="S22" s="44">
        <f t="shared" si="373"/>
        <v>0.91</v>
      </c>
      <c r="T22" s="44">
        <f t="shared" si="373"/>
        <v>0.91</v>
      </c>
      <c r="U22" s="44">
        <f t="shared" si="373"/>
        <v>0.91</v>
      </c>
      <c r="V22" s="44">
        <f t="shared" si="373"/>
        <v>0.92</v>
      </c>
      <c r="W22" s="44">
        <f t="shared" si="373"/>
        <v>0.92</v>
      </c>
      <c r="X22" s="44">
        <f t="shared" si="373"/>
        <v>0.92</v>
      </c>
      <c r="Y22" s="44">
        <f t="shared" si="373"/>
        <v>0.92</v>
      </c>
      <c r="Z22" s="44">
        <f t="shared" si="373"/>
        <v>0.92</v>
      </c>
      <c r="AA22" s="44">
        <f t="shared" si="373"/>
        <v>0.92</v>
      </c>
      <c r="AB22" s="44">
        <f t="shared" si="373"/>
        <v>0.92</v>
      </c>
      <c r="AC22" s="44">
        <f t="shared" si="373"/>
        <v>0.92</v>
      </c>
      <c r="AD22" s="44">
        <f t="shared" si="373"/>
        <v>0.92</v>
      </c>
      <c r="AE22" s="44">
        <f t="shared" si="373"/>
        <v>0.92</v>
      </c>
      <c r="AF22" s="44">
        <f t="shared" si="373"/>
        <v>0.92</v>
      </c>
      <c r="AG22" s="44">
        <f t="shared" si="373"/>
        <v>0.92</v>
      </c>
      <c r="AH22" s="44">
        <f t="shared" si="373"/>
        <v>0.93</v>
      </c>
      <c r="AI22" s="44">
        <f t="shared" si="373"/>
        <v>0.93</v>
      </c>
      <c r="AJ22" s="44">
        <f t="shared" si="373"/>
        <v>0.93</v>
      </c>
      <c r="AK22" s="44">
        <f t="shared" si="373"/>
        <v>0.93</v>
      </c>
      <c r="AL22" s="44">
        <f t="shared" si="373"/>
        <v>0.93</v>
      </c>
      <c r="AM22" s="44">
        <f t="shared" si="373"/>
        <v>0.93</v>
      </c>
      <c r="AN22" s="44">
        <f t="shared" si="373"/>
        <v>0.93</v>
      </c>
      <c r="AO22" s="44">
        <f t="shared" si="373"/>
        <v>0.93</v>
      </c>
      <c r="AP22" s="44">
        <f t="shared" si="373"/>
        <v>0.93</v>
      </c>
      <c r="AQ22" s="44">
        <f t="shared" si="373"/>
        <v>0.93</v>
      </c>
      <c r="AR22" s="44">
        <f t="shared" si="373"/>
        <v>0.93</v>
      </c>
      <c r="AS22" s="44">
        <f t="shared" si="373"/>
        <v>0.93</v>
      </c>
      <c r="AT22" s="44">
        <f t="shared" si="373"/>
        <v>0.93</v>
      </c>
      <c r="AU22" s="44">
        <f t="shared" si="373"/>
        <v>0.93</v>
      </c>
      <c r="AV22" s="44">
        <f t="shared" si="373"/>
        <v>0.93</v>
      </c>
      <c r="AW22" s="44">
        <f t="shared" si="373"/>
        <v>0.93</v>
      </c>
      <c r="AX22" s="44">
        <f t="shared" si="373"/>
        <v>0.93</v>
      </c>
      <c r="AY22" s="44">
        <f t="shared" si="373"/>
        <v>0.93</v>
      </c>
      <c r="AZ22" s="44">
        <f t="shared" si="373"/>
        <v>0.93</v>
      </c>
      <c r="BA22" s="44">
        <f t="shared" si="373"/>
        <v>0.93</v>
      </c>
      <c r="BB22" s="44">
        <f t="shared" si="373"/>
        <v>0.93</v>
      </c>
      <c r="BC22" s="44">
        <f t="shared" si="373"/>
        <v>0.93</v>
      </c>
      <c r="BD22" s="44">
        <f t="shared" si="373"/>
        <v>0.93</v>
      </c>
      <c r="BE22" s="44">
        <f t="shared" si="373"/>
        <v>0.93</v>
      </c>
      <c r="BF22" s="44">
        <f t="shared" si="373"/>
        <v>0.93</v>
      </c>
      <c r="BG22" s="44">
        <f t="shared" si="373"/>
        <v>0.93</v>
      </c>
      <c r="BH22" s="44">
        <f t="shared" si="373"/>
        <v>0.93</v>
      </c>
      <c r="BI22" s="44">
        <f t="shared" si="373"/>
        <v>0.93</v>
      </c>
      <c r="BJ22" s="44">
        <f t="shared" si="373"/>
        <v>0.93</v>
      </c>
      <c r="BK22" s="44">
        <f t="shared" si="373"/>
        <v>0.93</v>
      </c>
      <c r="BL22" s="44">
        <f t="shared" si="373"/>
        <v>0.93</v>
      </c>
      <c r="BM22" s="44">
        <f t="shared" si="373"/>
        <v>0.93</v>
      </c>
      <c r="BN22" s="44">
        <f t="shared" si="373"/>
        <v>0.93</v>
      </c>
      <c r="BO22" s="44">
        <f t="shared" si="373"/>
        <v>0.93</v>
      </c>
      <c r="BP22" s="44">
        <f t="shared" si="373"/>
        <v>0.93</v>
      </c>
      <c r="BQ22" s="44">
        <f t="shared" si="373"/>
        <v>0.93</v>
      </c>
      <c r="BR22" s="44">
        <f t="shared" si="373"/>
        <v>0.93</v>
      </c>
      <c r="BS22" s="44">
        <f t="shared" si="373"/>
        <v>0.93</v>
      </c>
      <c r="BT22" s="44">
        <f t="shared" si="373"/>
        <v>0.93</v>
      </c>
      <c r="BU22" s="44">
        <f t="shared" si="373"/>
        <v>0.93</v>
      </c>
      <c r="BV22" s="44">
        <f t="shared" si="373"/>
        <v>0.93</v>
      </c>
      <c r="BW22" s="44">
        <f t="shared" si="373"/>
        <v>0.93</v>
      </c>
      <c r="BX22" s="44">
        <f t="shared" si="373"/>
        <v>0.93</v>
      </c>
      <c r="BY22" s="44">
        <f t="shared" ref="BY22:EJ22" si="374">BY16/BY15+1</f>
        <v>0.93</v>
      </c>
      <c r="BZ22" s="44">
        <f t="shared" si="374"/>
        <v>0.93</v>
      </c>
      <c r="CA22" s="44">
        <f t="shared" si="374"/>
        <v>0.93</v>
      </c>
      <c r="CB22" s="44">
        <f t="shared" si="374"/>
        <v>0.93</v>
      </c>
      <c r="CC22" s="44">
        <f t="shared" si="374"/>
        <v>0.93</v>
      </c>
      <c r="CD22" s="44">
        <f t="shared" si="374"/>
        <v>0.93</v>
      </c>
      <c r="CE22" s="44">
        <f t="shared" si="374"/>
        <v>0.93</v>
      </c>
      <c r="CF22" s="44">
        <f t="shared" si="374"/>
        <v>0.93</v>
      </c>
      <c r="CG22" s="44">
        <f t="shared" si="374"/>
        <v>0.93</v>
      </c>
      <c r="CH22" s="44">
        <f t="shared" si="374"/>
        <v>0.93</v>
      </c>
      <c r="CI22" s="44">
        <f t="shared" si="374"/>
        <v>0.93</v>
      </c>
      <c r="CJ22" s="44">
        <f t="shared" si="374"/>
        <v>0.93</v>
      </c>
      <c r="CK22" s="44">
        <f t="shared" si="374"/>
        <v>0.93</v>
      </c>
      <c r="CL22" s="44">
        <f t="shared" si="374"/>
        <v>0.93</v>
      </c>
      <c r="CM22" s="44">
        <f t="shared" si="374"/>
        <v>0.93</v>
      </c>
      <c r="CN22" s="44">
        <f t="shared" si="374"/>
        <v>0.93</v>
      </c>
      <c r="CO22" s="44">
        <f t="shared" si="374"/>
        <v>0.93</v>
      </c>
      <c r="CP22" s="44">
        <f t="shared" si="374"/>
        <v>0.93</v>
      </c>
      <c r="CQ22" s="44">
        <f t="shared" si="374"/>
        <v>0.93</v>
      </c>
      <c r="CR22" s="44">
        <f t="shared" si="374"/>
        <v>0.93</v>
      </c>
      <c r="CS22" s="44">
        <f t="shared" si="374"/>
        <v>0.93</v>
      </c>
      <c r="CT22" s="44">
        <f t="shared" si="374"/>
        <v>0.93</v>
      </c>
      <c r="CU22" s="44">
        <f t="shared" si="374"/>
        <v>0.93</v>
      </c>
      <c r="CV22" s="44">
        <f t="shared" si="374"/>
        <v>0.93</v>
      </c>
      <c r="CW22" s="44">
        <f t="shared" si="374"/>
        <v>0.93</v>
      </c>
      <c r="CX22" s="44">
        <f t="shared" si="374"/>
        <v>0.93</v>
      </c>
      <c r="CY22" s="44">
        <f t="shared" si="374"/>
        <v>0.93</v>
      </c>
      <c r="CZ22" s="44">
        <f t="shared" si="374"/>
        <v>0.93</v>
      </c>
      <c r="DA22" s="44">
        <f t="shared" si="374"/>
        <v>0.93</v>
      </c>
      <c r="DB22" s="44">
        <f t="shared" si="374"/>
        <v>0.93</v>
      </c>
      <c r="DC22" s="44">
        <f t="shared" si="374"/>
        <v>0.93</v>
      </c>
      <c r="DD22" s="44">
        <f t="shared" si="374"/>
        <v>0.93</v>
      </c>
      <c r="DE22" s="44">
        <f t="shared" si="374"/>
        <v>0.93</v>
      </c>
      <c r="DF22" s="44">
        <f t="shared" si="374"/>
        <v>0.93</v>
      </c>
      <c r="DG22" s="44">
        <f t="shared" si="374"/>
        <v>0.93</v>
      </c>
      <c r="DH22" s="44">
        <f t="shared" si="374"/>
        <v>0.93</v>
      </c>
      <c r="DI22" s="44">
        <f t="shared" si="374"/>
        <v>0.93</v>
      </c>
      <c r="DJ22" s="44">
        <f t="shared" si="374"/>
        <v>0.93</v>
      </c>
      <c r="DK22" s="44">
        <f t="shared" si="374"/>
        <v>0.93</v>
      </c>
      <c r="DL22" s="44">
        <f t="shared" si="374"/>
        <v>0.93</v>
      </c>
      <c r="DM22" s="44">
        <f t="shared" si="374"/>
        <v>0.93</v>
      </c>
      <c r="DN22" s="44">
        <f t="shared" si="374"/>
        <v>0.93</v>
      </c>
      <c r="DO22" s="44">
        <f t="shared" si="374"/>
        <v>0.93</v>
      </c>
      <c r="DP22" s="44">
        <f t="shared" si="374"/>
        <v>0.93</v>
      </c>
      <c r="DQ22" s="44">
        <f t="shared" si="374"/>
        <v>0.93</v>
      </c>
      <c r="DR22" s="44">
        <f t="shared" si="374"/>
        <v>0.93</v>
      </c>
      <c r="DS22" s="44">
        <f t="shared" si="374"/>
        <v>0.93</v>
      </c>
      <c r="DT22" s="44">
        <f t="shared" si="374"/>
        <v>0.93</v>
      </c>
      <c r="DU22" s="44">
        <f t="shared" si="374"/>
        <v>0.93</v>
      </c>
      <c r="DV22" s="44">
        <f t="shared" si="374"/>
        <v>0.93</v>
      </c>
      <c r="DW22" s="44">
        <f t="shared" si="374"/>
        <v>0.93</v>
      </c>
      <c r="DX22" s="44">
        <f t="shared" si="374"/>
        <v>0.93</v>
      </c>
      <c r="DY22" s="44">
        <f t="shared" si="374"/>
        <v>0.93</v>
      </c>
      <c r="DZ22" s="44">
        <f t="shared" si="374"/>
        <v>0.93</v>
      </c>
      <c r="EA22" s="44">
        <f t="shared" si="374"/>
        <v>0.93</v>
      </c>
      <c r="EB22" s="44">
        <f t="shared" si="374"/>
        <v>0.93</v>
      </c>
      <c r="EC22" s="44">
        <f t="shared" si="374"/>
        <v>0.93</v>
      </c>
      <c r="ED22" s="44">
        <f t="shared" si="374"/>
        <v>0.93</v>
      </c>
      <c r="EE22" s="44">
        <f t="shared" si="374"/>
        <v>0.93</v>
      </c>
      <c r="EF22" s="44">
        <f t="shared" si="374"/>
        <v>0.93</v>
      </c>
      <c r="EG22" s="44">
        <f t="shared" si="374"/>
        <v>0.93</v>
      </c>
      <c r="EH22" s="44">
        <f t="shared" si="374"/>
        <v>0.93</v>
      </c>
      <c r="EI22" s="44">
        <f t="shared" si="374"/>
        <v>0.93</v>
      </c>
      <c r="EJ22" s="44">
        <f t="shared" si="374"/>
        <v>0.93</v>
      </c>
      <c r="EK22" s="44">
        <f t="shared" ref="EK22" si="375">EK16/EK15+1</f>
        <v>0.93</v>
      </c>
      <c r="EM22" s="44"/>
      <c r="EN22" s="115">
        <f t="shared" ref="EN22:EX22" si="376">EN16/EN15+1</f>
        <v>0.91</v>
      </c>
      <c r="EO22" s="115">
        <f t="shared" si="376"/>
        <v>0.92</v>
      </c>
      <c r="EP22" s="115">
        <f t="shared" si="376"/>
        <v>0.93</v>
      </c>
      <c r="EQ22" s="115">
        <f t="shared" si="376"/>
        <v>0.93</v>
      </c>
      <c r="ER22" s="115">
        <f t="shared" si="376"/>
        <v>0.93</v>
      </c>
      <c r="ES22" s="115">
        <f t="shared" si="376"/>
        <v>0.93</v>
      </c>
      <c r="ET22" s="115">
        <f t="shared" si="376"/>
        <v>0.93</v>
      </c>
      <c r="EU22" s="115">
        <f t="shared" si="376"/>
        <v>0.93</v>
      </c>
      <c r="EV22" s="115">
        <f t="shared" si="376"/>
        <v>0.93</v>
      </c>
      <c r="EW22" s="115">
        <f t="shared" si="376"/>
        <v>0.93</v>
      </c>
      <c r="EX22" s="115">
        <f t="shared" si="376"/>
        <v>0.93</v>
      </c>
    </row>
    <row r="23" spans="2:154" x14ac:dyDescent="0.3">
      <c r="B23" s="113" t="s">
        <v>154</v>
      </c>
      <c r="E23" s="85">
        <f>E19/E15</f>
        <v>0.9</v>
      </c>
      <c r="F23" s="85">
        <f>F19/F15</f>
        <v>0.8943272636525943</v>
      </c>
      <c r="J23" s="85">
        <f>J19/J15</f>
        <v>0.9043272636525943</v>
      </c>
      <c r="K23" s="85">
        <f t="shared" ref="K23:BV23" si="377">K19/K15</f>
        <v>0.9043272636525943</v>
      </c>
      <c r="L23" s="85">
        <f t="shared" si="377"/>
        <v>0.90432726365259442</v>
      </c>
      <c r="M23" s="85">
        <f t="shared" si="377"/>
        <v>0.90432726365259442</v>
      </c>
      <c r="N23" s="85">
        <f t="shared" si="377"/>
        <v>0.90432726365259419</v>
      </c>
      <c r="O23" s="85">
        <f t="shared" si="377"/>
        <v>0.90432726365259442</v>
      </c>
      <c r="P23" s="85">
        <f t="shared" si="377"/>
        <v>0.90432726365259442</v>
      </c>
      <c r="Q23" s="85">
        <f t="shared" si="377"/>
        <v>0.9043272636525943</v>
      </c>
      <c r="R23" s="85">
        <f t="shared" si="377"/>
        <v>0.9043272636525943</v>
      </c>
      <c r="S23" s="85">
        <f t="shared" si="377"/>
        <v>0.90432726365259442</v>
      </c>
      <c r="T23" s="85">
        <f t="shared" si="377"/>
        <v>0.90432726365259419</v>
      </c>
      <c r="U23" s="85">
        <f t="shared" si="377"/>
        <v>0.9043272636525943</v>
      </c>
      <c r="V23" s="85">
        <f t="shared" si="377"/>
        <v>0.91432726365259431</v>
      </c>
      <c r="W23" s="85">
        <f t="shared" si="377"/>
        <v>0.91432726365259431</v>
      </c>
      <c r="X23" s="85">
        <f t="shared" si="377"/>
        <v>0.91432726365259442</v>
      </c>
      <c r="Y23" s="85">
        <f t="shared" si="377"/>
        <v>0.91432726365259442</v>
      </c>
      <c r="Z23" s="85">
        <f t="shared" si="377"/>
        <v>0.91432726365259431</v>
      </c>
      <c r="AA23" s="85">
        <f t="shared" si="377"/>
        <v>0.91432726365259454</v>
      </c>
      <c r="AB23" s="85">
        <f t="shared" si="377"/>
        <v>0.91432726365259442</v>
      </c>
      <c r="AC23" s="85">
        <f t="shared" si="377"/>
        <v>0.91432726365259442</v>
      </c>
      <c r="AD23" s="85">
        <f t="shared" si="377"/>
        <v>0.91432726365259431</v>
      </c>
      <c r="AE23" s="85">
        <f t="shared" si="377"/>
        <v>0.91432726365259431</v>
      </c>
      <c r="AF23" s="85">
        <f t="shared" si="377"/>
        <v>0.91432726365259431</v>
      </c>
      <c r="AG23" s="85">
        <f t="shared" si="377"/>
        <v>0.91432726365259431</v>
      </c>
      <c r="AH23" s="85">
        <f t="shared" si="377"/>
        <v>0.92432726365259443</v>
      </c>
      <c r="AI23" s="85">
        <f t="shared" si="377"/>
        <v>0.92432726365259421</v>
      </c>
      <c r="AJ23" s="85">
        <f t="shared" si="377"/>
        <v>0.92432726365259454</v>
      </c>
      <c r="AK23" s="85">
        <f t="shared" si="377"/>
        <v>0.92432726365259443</v>
      </c>
      <c r="AL23" s="85">
        <f t="shared" si="377"/>
        <v>0.92432726365259432</v>
      </c>
      <c r="AM23" s="85">
        <f t="shared" si="377"/>
        <v>0.92432726365259454</v>
      </c>
      <c r="AN23" s="85">
        <f t="shared" si="377"/>
        <v>0.92432726365259421</v>
      </c>
      <c r="AO23" s="85">
        <f t="shared" si="377"/>
        <v>0.92432726365259443</v>
      </c>
      <c r="AP23" s="85">
        <f t="shared" si="377"/>
        <v>0.92432726365259421</v>
      </c>
      <c r="AQ23" s="85">
        <f t="shared" si="377"/>
        <v>0.92432726365259432</v>
      </c>
      <c r="AR23" s="85">
        <f t="shared" si="377"/>
        <v>0.92432726365259432</v>
      </c>
      <c r="AS23" s="85">
        <f t="shared" si="377"/>
        <v>0.92432726365259432</v>
      </c>
      <c r="AT23" s="85">
        <f t="shared" si="377"/>
        <v>0.92432726365259421</v>
      </c>
      <c r="AU23" s="85">
        <f t="shared" si="377"/>
        <v>0.92432726365259432</v>
      </c>
      <c r="AV23" s="85">
        <f t="shared" si="377"/>
        <v>0.92432726365259421</v>
      </c>
      <c r="AW23" s="85">
        <f t="shared" si="377"/>
        <v>0.92432726365259454</v>
      </c>
      <c r="AX23" s="85">
        <f t="shared" si="377"/>
        <v>0.92432726365259432</v>
      </c>
      <c r="AY23" s="85">
        <f t="shared" si="377"/>
        <v>0.92432726365259421</v>
      </c>
      <c r="AZ23" s="85">
        <f t="shared" si="377"/>
        <v>0.92432726365259432</v>
      </c>
      <c r="BA23" s="85">
        <f t="shared" si="377"/>
        <v>0.92432726365259443</v>
      </c>
      <c r="BB23" s="85">
        <f t="shared" si="377"/>
        <v>0.92432726365259432</v>
      </c>
      <c r="BC23" s="85">
        <f t="shared" si="377"/>
        <v>0.92432726365259421</v>
      </c>
      <c r="BD23" s="85">
        <f t="shared" si="377"/>
        <v>0.92432726365259421</v>
      </c>
      <c r="BE23" s="85">
        <f t="shared" si="377"/>
        <v>0.92432726365259432</v>
      </c>
      <c r="BF23" s="85">
        <f t="shared" si="377"/>
        <v>0.92432726365259432</v>
      </c>
      <c r="BG23" s="85">
        <f t="shared" si="377"/>
        <v>0.92432726365259432</v>
      </c>
      <c r="BH23" s="85">
        <f t="shared" si="377"/>
        <v>0.92432726365259443</v>
      </c>
      <c r="BI23" s="85">
        <f t="shared" si="377"/>
        <v>0.92432726365259432</v>
      </c>
      <c r="BJ23" s="85">
        <f t="shared" si="377"/>
        <v>0.92432726365259421</v>
      </c>
      <c r="BK23" s="85">
        <f t="shared" si="377"/>
        <v>0.92432726365259421</v>
      </c>
      <c r="BL23" s="85">
        <f t="shared" si="377"/>
        <v>0.92432726365259454</v>
      </c>
      <c r="BM23" s="85">
        <f t="shared" si="377"/>
        <v>0.92432726365259432</v>
      </c>
      <c r="BN23" s="85">
        <f t="shared" si="377"/>
        <v>0.92432726365259432</v>
      </c>
      <c r="BO23" s="85">
        <f t="shared" si="377"/>
        <v>0.92432726365259443</v>
      </c>
      <c r="BP23" s="85">
        <f t="shared" si="377"/>
        <v>0.92432726365259432</v>
      </c>
      <c r="BQ23" s="85">
        <f t="shared" si="377"/>
        <v>0.92432726365259421</v>
      </c>
      <c r="BR23" s="85">
        <f t="shared" si="377"/>
        <v>0.92432726365259432</v>
      </c>
      <c r="BS23" s="85">
        <f t="shared" si="377"/>
        <v>0.92432726365259421</v>
      </c>
      <c r="BT23" s="85">
        <f t="shared" si="377"/>
        <v>0.92432726365259421</v>
      </c>
      <c r="BU23" s="85">
        <f t="shared" si="377"/>
        <v>0.92432726365259432</v>
      </c>
      <c r="BV23" s="85">
        <f t="shared" si="377"/>
        <v>0.92432726365259432</v>
      </c>
      <c r="BW23" s="85">
        <f t="shared" ref="BW23:EH23" si="378">BW19/BW15</f>
        <v>0.92432726365259432</v>
      </c>
      <c r="BX23" s="85">
        <f t="shared" si="378"/>
        <v>0.92432726365259443</v>
      </c>
      <c r="BY23" s="85">
        <f t="shared" si="378"/>
        <v>0.92432726365259443</v>
      </c>
      <c r="BZ23" s="85">
        <f t="shared" si="378"/>
        <v>0.92432726365259421</v>
      </c>
      <c r="CA23" s="85">
        <f t="shared" si="378"/>
        <v>0.92432726365259454</v>
      </c>
      <c r="CB23" s="85">
        <f t="shared" si="378"/>
        <v>0.92432726365259443</v>
      </c>
      <c r="CC23" s="85">
        <f t="shared" si="378"/>
        <v>0.92432726365259432</v>
      </c>
      <c r="CD23" s="85">
        <f t="shared" si="378"/>
        <v>0.92432726365259432</v>
      </c>
      <c r="CE23" s="85">
        <f t="shared" si="378"/>
        <v>0.92432726365259432</v>
      </c>
      <c r="CF23" s="85">
        <f t="shared" si="378"/>
        <v>0.92432726365259454</v>
      </c>
      <c r="CG23" s="85">
        <f t="shared" si="378"/>
        <v>0.92432726365259443</v>
      </c>
      <c r="CH23" s="85">
        <f t="shared" si="378"/>
        <v>0.92432726365259443</v>
      </c>
      <c r="CI23" s="85">
        <f t="shared" si="378"/>
        <v>0.92432726365259432</v>
      </c>
      <c r="CJ23" s="85">
        <f t="shared" si="378"/>
        <v>0.92432726365259454</v>
      </c>
      <c r="CK23" s="85">
        <f t="shared" si="378"/>
        <v>0.92432726365259432</v>
      </c>
      <c r="CL23" s="85">
        <f t="shared" si="378"/>
        <v>0.92432726365259432</v>
      </c>
      <c r="CM23" s="85">
        <f t="shared" si="378"/>
        <v>0.92432726365259432</v>
      </c>
      <c r="CN23" s="85">
        <f t="shared" si="378"/>
        <v>0.92432726365259443</v>
      </c>
      <c r="CO23" s="85">
        <f t="shared" si="378"/>
        <v>0.92432726365259443</v>
      </c>
      <c r="CP23" s="85">
        <f t="shared" si="378"/>
        <v>0.92432726365259432</v>
      </c>
      <c r="CQ23" s="85">
        <f t="shared" si="378"/>
        <v>0.92432726365259454</v>
      </c>
      <c r="CR23" s="85">
        <f t="shared" si="378"/>
        <v>0.92432726365259432</v>
      </c>
      <c r="CS23" s="85">
        <f t="shared" si="378"/>
        <v>0.92432726365259454</v>
      </c>
      <c r="CT23" s="85">
        <f t="shared" si="378"/>
        <v>0.92432726365259421</v>
      </c>
      <c r="CU23" s="85">
        <f t="shared" si="378"/>
        <v>0.92432726365259432</v>
      </c>
      <c r="CV23" s="85">
        <f t="shared" si="378"/>
        <v>0.92432726365259432</v>
      </c>
      <c r="CW23" s="85">
        <f t="shared" si="378"/>
        <v>0.92432726365259432</v>
      </c>
      <c r="CX23" s="85">
        <f t="shared" si="378"/>
        <v>0.92432726365259432</v>
      </c>
      <c r="CY23" s="85">
        <f t="shared" si="378"/>
        <v>0.92432726365259421</v>
      </c>
      <c r="CZ23" s="85">
        <f t="shared" si="378"/>
        <v>0.92432726365259432</v>
      </c>
      <c r="DA23" s="85">
        <f t="shared" si="378"/>
        <v>0.92432726365259432</v>
      </c>
      <c r="DB23" s="85">
        <f t="shared" si="378"/>
        <v>0.92432726365259432</v>
      </c>
      <c r="DC23" s="85">
        <f t="shared" si="378"/>
        <v>0.92432726365259432</v>
      </c>
      <c r="DD23" s="85">
        <f t="shared" si="378"/>
        <v>0.92432726365259432</v>
      </c>
      <c r="DE23" s="85">
        <f t="shared" si="378"/>
        <v>0.92432726365259432</v>
      </c>
      <c r="DF23" s="85">
        <f t="shared" si="378"/>
        <v>0.92432726365259432</v>
      </c>
      <c r="DG23" s="85">
        <f t="shared" si="378"/>
        <v>0.92432726365259443</v>
      </c>
      <c r="DH23" s="85">
        <f t="shared" si="378"/>
        <v>0.92432726365259421</v>
      </c>
      <c r="DI23" s="85">
        <f t="shared" si="378"/>
        <v>0.92432726365259421</v>
      </c>
      <c r="DJ23" s="85">
        <f t="shared" si="378"/>
        <v>0.92432726365259443</v>
      </c>
      <c r="DK23" s="85">
        <f t="shared" si="378"/>
        <v>0.92432726365259432</v>
      </c>
      <c r="DL23" s="85">
        <f t="shared" si="378"/>
        <v>0.92432726365259432</v>
      </c>
      <c r="DM23" s="85">
        <f t="shared" si="378"/>
        <v>0.92432726365259432</v>
      </c>
      <c r="DN23" s="85">
        <f t="shared" si="378"/>
        <v>0.92432726365259443</v>
      </c>
      <c r="DO23" s="85">
        <f t="shared" si="378"/>
        <v>0.92432726365259443</v>
      </c>
      <c r="DP23" s="85">
        <f t="shared" si="378"/>
        <v>0.92432726365259432</v>
      </c>
      <c r="DQ23" s="85">
        <f t="shared" si="378"/>
        <v>0.92432726365259432</v>
      </c>
      <c r="DR23" s="85">
        <f t="shared" si="378"/>
        <v>0.92432726365259432</v>
      </c>
      <c r="DS23" s="85">
        <f t="shared" si="378"/>
        <v>0.92432726365259443</v>
      </c>
      <c r="DT23" s="85">
        <f t="shared" si="378"/>
        <v>0.92432726365259432</v>
      </c>
      <c r="DU23" s="85">
        <f t="shared" si="378"/>
        <v>0.92432726365259443</v>
      </c>
      <c r="DV23" s="85">
        <f t="shared" si="378"/>
        <v>0.92432726365259421</v>
      </c>
      <c r="DW23" s="85">
        <f t="shared" si="378"/>
        <v>0.92432726365259432</v>
      </c>
      <c r="DX23" s="85">
        <f t="shared" si="378"/>
        <v>0.92432726365259443</v>
      </c>
      <c r="DY23" s="85">
        <f t="shared" si="378"/>
        <v>0.92432726365259421</v>
      </c>
      <c r="DZ23" s="85">
        <f t="shared" si="378"/>
        <v>0.92432726365259432</v>
      </c>
      <c r="EA23" s="85">
        <f t="shared" si="378"/>
        <v>0.92432726365259432</v>
      </c>
      <c r="EB23" s="85">
        <f t="shared" si="378"/>
        <v>0.92432726365259443</v>
      </c>
      <c r="EC23" s="85">
        <f t="shared" si="378"/>
        <v>0.92432726365259454</v>
      </c>
      <c r="ED23" s="85">
        <f t="shared" si="378"/>
        <v>0.92432726365259432</v>
      </c>
      <c r="EE23" s="85">
        <f t="shared" si="378"/>
        <v>0.92432726365259432</v>
      </c>
      <c r="EF23" s="85">
        <f t="shared" si="378"/>
        <v>0.92432726365259443</v>
      </c>
      <c r="EG23" s="85">
        <f t="shared" si="378"/>
        <v>0.92432726365259443</v>
      </c>
      <c r="EH23" s="85">
        <f t="shared" si="378"/>
        <v>0.92432726365259432</v>
      </c>
      <c r="EI23" s="85">
        <f t="shared" ref="EI23:EK23" si="379">EI19/EI15</f>
        <v>0.92432726365259432</v>
      </c>
      <c r="EJ23" s="85">
        <f t="shared" si="379"/>
        <v>0.92432726365259432</v>
      </c>
      <c r="EK23" s="85">
        <f t="shared" si="379"/>
        <v>0.92432726365259443</v>
      </c>
      <c r="EM23" s="44"/>
      <c r="EN23" s="85">
        <f t="shared" ref="EN23:EX23" si="380">EN19/EN15</f>
        <v>0.9043272636525943</v>
      </c>
      <c r="EO23" s="85">
        <f t="shared" si="380"/>
        <v>0.91432726365259442</v>
      </c>
      <c r="EP23" s="85">
        <f t="shared" si="380"/>
        <v>0.92432726365259443</v>
      </c>
      <c r="EQ23" s="85">
        <f t="shared" si="380"/>
        <v>0.92432726365259443</v>
      </c>
      <c r="ER23" s="85">
        <f t="shared" si="380"/>
        <v>0.92432726365259432</v>
      </c>
      <c r="ES23" s="85">
        <f t="shared" si="380"/>
        <v>0.92432726365259432</v>
      </c>
      <c r="ET23" s="85">
        <f t="shared" si="380"/>
        <v>0.92432726365259432</v>
      </c>
      <c r="EU23" s="85">
        <f t="shared" si="380"/>
        <v>0.92432726365259432</v>
      </c>
      <c r="EV23" s="85">
        <f t="shared" si="380"/>
        <v>0.92432726365259443</v>
      </c>
      <c r="EW23" s="85">
        <f t="shared" si="380"/>
        <v>0.92432726365259443</v>
      </c>
      <c r="EX23" s="85">
        <f t="shared" si="380"/>
        <v>0.92432726365259432</v>
      </c>
    </row>
    <row r="24" spans="2:154" x14ac:dyDescent="0.3">
      <c r="E24" s="23"/>
      <c r="F24" s="23"/>
    </row>
    <row r="25" spans="2:154" x14ac:dyDescent="0.3">
      <c r="B25" s="1" t="s">
        <v>17</v>
      </c>
      <c r="E25" s="70">
        <f>SUM('Historical Financials'!M20:O20)*4</f>
        <v>106184</v>
      </c>
      <c r="F25" s="70">
        <f>SUM('Historical Financials'!D20:O20)</f>
        <v>99715.74</v>
      </c>
      <c r="J25" s="70">
        <f>'Inputs &amp; Drivers'!E43/12</f>
        <v>8309.6450000000004</v>
      </c>
      <c r="K25" s="7">
        <f>(1+INDEX('Inputs &amp; Drivers'!$J$52:$J$62,MATCH(Model!K$4,'Inputs &amp; Drivers'!$B$52:$B$62,0))*(K$4&lt;&gt;J$4))*J25</f>
        <v>8309.6450000000004</v>
      </c>
      <c r="L25" s="7">
        <f>(1+INDEX('Inputs &amp; Drivers'!$J$52:$J$62,MATCH(Model!L$4,'Inputs &amp; Drivers'!$B$52:$B$62,0))*(L$4&lt;&gt;K$4))*K25</f>
        <v>8309.6450000000004</v>
      </c>
      <c r="M25" s="7">
        <f>(1+INDEX('Inputs &amp; Drivers'!$J$52:$J$62,MATCH(Model!M$4,'Inputs &amp; Drivers'!$B$52:$B$62,0))*(M$4&lt;&gt;L$4))*L25</f>
        <v>8309.6450000000004</v>
      </c>
      <c r="N25" s="7">
        <f>(1+INDEX('Inputs &amp; Drivers'!$J$52:$J$62,MATCH(Model!N$4,'Inputs &amp; Drivers'!$B$52:$B$62,0))*(N$4&lt;&gt;M$4))*M25</f>
        <v>8309.6450000000004</v>
      </c>
      <c r="O25" s="7">
        <f>(1+INDEX('Inputs &amp; Drivers'!$J$52:$J$62,MATCH(Model!O$4,'Inputs &amp; Drivers'!$B$52:$B$62,0))*(O$4&lt;&gt;N$4))*N25</f>
        <v>8309.6450000000004</v>
      </c>
      <c r="P25" s="7">
        <f>(1+INDEX('Inputs &amp; Drivers'!$J$52:$J$62,MATCH(Model!P$4,'Inputs &amp; Drivers'!$B$52:$B$62,0))*(P$4&lt;&gt;O$4))*O25</f>
        <v>8309.6450000000004</v>
      </c>
      <c r="Q25" s="7">
        <f>(1+INDEX('Inputs &amp; Drivers'!$J$52:$J$62,MATCH(Model!Q$4,'Inputs &amp; Drivers'!$B$52:$B$62,0))*(Q$4&lt;&gt;P$4))*P25</f>
        <v>8309.6450000000004</v>
      </c>
      <c r="R25" s="7">
        <f>(1+INDEX('Inputs &amp; Drivers'!$J$52:$J$62,MATCH(Model!R$4,'Inputs &amp; Drivers'!$B$52:$B$62,0))*(R$4&lt;&gt;Q$4))*Q25</f>
        <v>8309.6450000000004</v>
      </c>
      <c r="S25" s="7">
        <f>(1+INDEX('Inputs &amp; Drivers'!$J$52:$J$62,MATCH(Model!S$4,'Inputs &amp; Drivers'!$B$52:$B$62,0))*(S$4&lt;&gt;R$4))*R25</f>
        <v>8309.6450000000004</v>
      </c>
      <c r="T25" s="7">
        <f>(1+INDEX('Inputs &amp; Drivers'!$J$52:$J$62,MATCH(Model!T$4,'Inputs &amp; Drivers'!$B$52:$B$62,0))*(T$4&lt;&gt;S$4))*S25</f>
        <v>8309.6450000000004</v>
      </c>
      <c r="U25" s="7">
        <f>(1+INDEX('Inputs &amp; Drivers'!$J$52:$J$62,MATCH(Model!U$4,'Inputs &amp; Drivers'!$B$52:$B$62,0))*(U$4&lt;&gt;T$4))*T25</f>
        <v>8309.6450000000004</v>
      </c>
      <c r="V25" s="7">
        <f>(1+INDEX('Inputs &amp; Drivers'!$J$52:$J$62,MATCH(Model!V$4,'Inputs &amp; Drivers'!$B$52:$B$62,0))*(V$4&lt;&gt;U$4))*U25</f>
        <v>8558.9343500000014</v>
      </c>
      <c r="W25" s="7">
        <f>(1+INDEX('Inputs &amp; Drivers'!$J$52:$J$62,MATCH(Model!W$4,'Inputs &amp; Drivers'!$B$52:$B$62,0))*(W$4&lt;&gt;V$4))*V25</f>
        <v>8558.9343500000014</v>
      </c>
      <c r="X25" s="7">
        <f>(1+INDEX('Inputs &amp; Drivers'!$J$52:$J$62,MATCH(Model!X$4,'Inputs &amp; Drivers'!$B$52:$B$62,0))*(X$4&lt;&gt;W$4))*W25</f>
        <v>8558.9343500000014</v>
      </c>
      <c r="Y25" s="7">
        <f>(1+INDEX('Inputs &amp; Drivers'!$J$52:$J$62,MATCH(Model!Y$4,'Inputs &amp; Drivers'!$B$52:$B$62,0))*(Y$4&lt;&gt;X$4))*X25</f>
        <v>8558.9343500000014</v>
      </c>
      <c r="Z25" s="7">
        <f>(1+INDEX('Inputs &amp; Drivers'!$J$52:$J$62,MATCH(Model!Z$4,'Inputs &amp; Drivers'!$B$52:$B$62,0))*(Z$4&lt;&gt;Y$4))*Y25</f>
        <v>8558.9343500000014</v>
      </c>
      <c r="AA25" s="7">
        <f>(1+INDEX('Inputs &amp; Drivers'!$J$52:$J$62,MATCH(Model!AA$4,'Inputs &amp; Drivers'!$B$52:$B$62,0))*(AA$4&lt;&gt;Z$4))*Z25</f>
        <v>8558.9343500000014</v>
      </c>
      <c r="AB25" s="7">
        <f>(1+INDEX('Inputs &amp; Drivers'!$J$52:$J$62,MATCH(Model!AB$4,'Inputs &amp; Drivers'!$B$52:$B$62,0))*(AB$4&lt;&gt;AA$4))*AA25</f>
        <v>8558.9343500000014</v>
      </c>
      <c r="AC25" s="7">
        <f>(1+INDEX('Inputs &amp; Drivers'!$J$52:$J$62,MATCH(Model!AC$4,'Inputs &amp; Drivers'!$B$52:$B$62,0))*(AC$4&lt;&gt;AB$4))*AB25</f>
        <v>8558.9343500000014</v>
      </c>
      <c r="AD25" s="7">
        <f>(1+INDEX('Inputs &amp; Drivers'!$J$52:$J$62,MATCH(Model!AD$4,'Inputs &amp; Drivers'!$B$52:$B$62,0))*(AD$4&lt;&gt;AC$4))*AC25</f>
        <v>8558.9343500000014</v>
      </c>
      <c r="AE25" s="7">
        <f>(1+INDEX('Inputs &amp; Drivers'!$J$52:$J$62,MATCH(Model!AE$4,'Inputs &amp; Drivers'!$B$52:$B$62,0))*(AE$4&lt;&gt;AD$4))*AD25</f>
        <v>8558.9343500000014</v>
      </c>
      <c r="AF25" s="7">
        <f>(1+INDEX('Inputs &amp; Drivers'!$J$52:$J$62,MATCH(Model!AF$4,'Inputs &amp; Drivers'!$B$52:$B$62,0))*(AF$4&lt;&gt;AE$4))*AE25</f>
        <v>8558.9343500000014</v>
      </c>
      <c r="AG25" s="7">
        <f>(1+INDEX('Inputs &amp; Drivers'!$J$52:$J$62,MATCH(Model!AG$4,'Inputs &amp; Drivers'!$B$52:$B$62,0))*(AG$4&lt;&gt;AF$4))*AF25</f>
        <v>8558.9343500000014</v>
      </c>
      <c r="AH25" s="7">
        <f>(1+INDEX('Inputs &amp; Drivers'!$J$52:$J$62,MATCH(Model!AH$4,'Inputs &amp; Drivers'!$B$52:$B$62,0))*(AH$4&lt;&gt;AG$4))*AG25</f>
        <v>8815.7023805000008</v>
      </c>
      <c r="AI25" s="7">
        <f>(1+INDEX('Inputs &amp; Drivers'!$J$52:$J$62,MATCH(Model!AI$4,'Inputs &amp; Drivers'!$B$52:$B$62,0))*(AI$4&lt;&gt;AH$4))*AH25</f>
        <v>8815.7023805000008</v>
      </c>
      <c r="AJ25" s="7">
        <f>(1+INDEX('Inputs &amp; Drivers'!$J$52:$J$62,MATCH(Model!AJ$4,'Inputs &amp; Drivers'!$B$52:$B$62,0))*(AJ$4&lt;&gt;AI$4))*AI25</f>
        <v>8815.7023805000008</v>
      </c>
      <c r="AK25" s="7">
        <f>(1+INDEX('Inputs &amp; Drivers'!$J$52:$J$62,MATCH(Model!AK$4,'Inputs &amp; Drivers'!$B$52:$B$62,0))*(AK$4&lt;&gt;AJ$4))*AJ25</f>
        <v>8815.7023805000008</v>
      </c>
      <c r="AL25" s="7">
        <f>(1+INDEX('Inputs &amp; Drivers'!$J$52:$J$62,MATCH(Model!AL$4,'Inputs &amp; Drivers'!$B$52:$B$62,0))*(AL$4&lt;&gt;AK$4))*AK25</f>
        <v>8815.7023805000008</v>
      </c>
      <c r="AM25" s="7">
        <f>(1+INDEX('Inputs &amp; Drivers'!$J$52:$J$62,MATCH(Model!AM$4,'Inputs &amp; Drivers'!$B$52:$B$62,0))*(AM$4&lt;&gt;AL$4))*AL25</f>
        <v>8815.7023805000008</v>
      </c>
      <c r="AN25" s="7">
        <f>(1+INDEX('Inputs &amp; Drivers'!$J$52:$J$62,MATCH(Model!AN$4,'Inputs &amp; Drivers'!$B$52:$B$62,0))*(AN$4&lt;&gt;AM$4))*AM25</f>
        <v>8815.7023805000008</v>
      </c>
      <c r="AO25" s="7">
        <f>(1+INDEX('Inputs &amp; Drivers'!$J$52:$J$62,MATCH(Model!AO$4,'Inputs &amp; Drivers'!$B$52:$B$62,0))*(AO$4&lt;&gt;AN$4))*AN25</f>
        <v>8815.7023805000008</v>
      </c>
      <c r="AP25" s="7">
        <f>(1+INDEX('Inputs &amp; Drivers'!$J$52:$J$62,MATCH(Model!AP$4,'Inputs &amp; Drivers'!$B$52:$B$62,0))*(AP$4&lt;&gt;AO$4))*AO25</f>
        <v>8815.7023805000008</v>
      </c>
      <c r="AQ25" s="7">
        <f>(1+INDEX('Inputs &amp; Drivers'!$J$52:$J$62,MATCH(Model!AQ$4,'Inputs &amp; Drivers'!$B$52:$B$62,0))*(AQ$4&lt;&gt;AP$4))*AP25</f>
        <v>8815.7023805000008</v>
      </c>
      <c r="AR25" s="7">
        <f>(1+INDEX('Inputs &amp; Drivers'!$J$52:$J$62,MATCH(Model!AR$4,'Inputs &amp; Drivers'!$B$52:$B$62,0))*(AR$4&lt;&gt;AQ$4))*AQ25</f>
        <v>8815.7023805000008</v>
      </c>
      <c r="AS25" s="7">
        <f>(1+INDEX('Inputs &amp; Drivers'!$J$52:$J$62,MATCH(Model!AS$4,'Inputs &amp; Drivers'!$B$52:$B$62,0))*(AS$4&lt;&gt;AR$4))*AR25</f>
        <v>8815.7023805000008</v>
      </c>
      <c r="AT25" s="7">
        <f>(1+INDEX('Inputs &amp; Drivers'!$J$52:$J$62,MATCH(Model!AT$4,'Inputs &amp; Drivers'!$B$52:$B$62,0))*(AT$4&lt;&gt;AS$4))*AS25</f>
        <v>9080.1734519150014</v>
      </c>
      <c r="AU25" s="7">
        <f>(1+INDEX('Inputs &amp; Drivers'!$J$52:$J$62,MATCH(Model!AU$4,'Inputs &amp; Drivers'!$B$52:$B$62,0))*(AU$4&lt;&gt;AT$4))*AT25</f>
        <v>9080.1734519150014</v>
      </c>
      <c r="AV25" s="7">
        <f>(1+INDEX('Inputs &amp; Drivers'!$J$52:$J$62,MATCH(Model!AV$4,'Inputs &amp; Drivers'!$B$52:$B$62,0))*(AV$4&lt;&gt;AU$4))*AU25</f>
        <v>9080.1734519150014</v>
      </c>
      <c r="AW25" s="7">
        <f>(1+INDEX('Inputs &amp; Drivers'!$J$52:$J$62,MATCH(Model!AW$4,'Inputs &amp; Drivers'!$B$52:$B$62,0))*(AW$4&lt;&gt;AV$4))*AV25</f>
        <v>9080.1734519150014</v>
      </c>
      <c r="AX25" s="7">
        <f>(1+INDEX('Inputs &amp; Drivers'!$J$52:$J$62,MATCH(Model!AX$4,'Inputs &amp; Drivers'!$B$52:$B$62,0))*(AX$4&lt;&gt;AW$4))*AW25</f>
        <v>9080.1734519150014</v>
      </c>
      <c r="AY25" s="7">
        <f>(1+INDEX('Inputs &amp; Drivers'!$J$52:$J$62,MATCH(Model!AY$4,'Inputs &amp; Drivers'!$B$52:$B$62,0))*(AY$4&lt;&gt;AX$4))*AX25</f>
        <v>9080.1734519150014</v>
      </c>
      <c r="AZ25" s="7">
        <f>(1+INDEX('Inputs &amp; Drivers'!$J$52:$J$62,MATCH(Model!AZ$4,'Inputs &amp; Drivers'!$B$52:$B$62,0))*(AZ$4&lt;&gt;AY$4))*AY25</f>
        <v>9080.1734519150014</v>
      </c>
      <c r="BA25" s="7">
        <f>(1+INDEX('Inputs &amp; Drivers'!$J$52:$J$62,MATCH(Model!BA$4,'Inputs &amp; Drivers'!$B$52:$B$62,0))*(BA$4&lt;&gt;AZ$4))*AZ25</f>
        <v>9080.1734519150014</v>
      </c>
      <c r="BB25" s="7">
        <f>(1+INDEX('Inputs &amp; Drivers'!$J$52:$J$62,MATCH(Model!BB$4,'Inputs &amp; Drivers'!$B$52:$B$62,0))*(BB$4&lt;&gt;BA$4))*BA25</f>
        <v>9080.1734519150014</v>
      </c>
      <c r="BC25" s="7">
        <f>(1+INDEX('Inputs &amp; Drivers'!$J$52:$J$62,MATCH(Model!BC$4,'Inputs &amp; Drivers'!$B$52:$B$62,0))*(BC$4&lt;&gt;BB$4))*BB25</f>
        <v>9080.1734519150014</v>
      </c>
      <c r="BD25" s="7">
        <f>(1+INDEX('Inputs &amp; Drivers'!$J$52:$J$62,MATCH(Model!BD$4,'Inputs &amp; Drivers'!$B$52:$B$62,0))*(BD$4&lt;&gt;BC$4))*BC25</f>
        <v>9080.1734519150014</v>
      </c>
      <c r="BE25" s="7">
        <f>(1+INDEX('Inputs &amp; Drivers'!$J$52:$J$62,MATCH(Model!BE$4,'Inputs &amp; Drivers'!$B$52:$B$62,0))*(BE$4&lt;&gt;BD$4))*BD25</f>
        <v>9080.1734519150014</v>
      </c>
      <c r="BF25" s="7">
        <f>(1+INDEX('Inputs &amp; Drivers'!$J$52:$J$62,MATCH(Model!BF$4,'Inputs &amp; Drivers'!$B$52:$B$62,0))*(BF$4&lt;&gt;BE$4))*BE25</f>
        <v>9352.5786554724509</v>
      </c>
      <c r="BG25" s="7">
        <f>(1+INDEX('Inputs &amp; Drivers'!$J$52:$J$62,MATCH(Model!BG$4,'Inputs &amp; Drivers'!$B$52:$B$62,0))*(BG$4&lt;&gt;BF$4))*BF25</f>
        <v>9352.5786554724509</v>
      </c>
      <c r="BH25" s="7">
        <f>(1+INDEX('Inputs &amp; Drivers'!$J$52:$J$62,MATCH(Model!BH$4,'Inputs &amp; Drivers'!$B$52:$B$62,0))*(BH$4&lt;&gt;BG$4))*BG25</f>
        <v>9352.5786554724509</v>
      </c>
      <c r="BI25" s="7">
        <f>(1+INDEX('Inputs &amp; Drivers'!$J$52:$J$62,MATCH(Model!BI$4,'Inputs &amp; Drivers'!$B$52:$B$62,0))*(BI$4&lt;&gt;BH$4))*BH25</f>
        <v>9352.5786554724509</v>
      </c>
      <c r="BJ25" s="7">
        <f>(1+INDEX('Inputs &amp; Drivers'!$J$52:$J$62,MATCH(Model!BJ$4,'Inputs &amp; Drivers'!$B$52:$B$62,0))*(BJ$4&lt;&gt;BI$4))*BI25</f>
        <v>9352.5786554724509</v>
      </c>
      <c r="BK25" s="7">
        <f>(1+INDEX('Inputs &amp; Drivers'!$J$52:$J$62,MATCH(Model!BK$4,'Inputs &amp; Drivers'!$B$52:$B$62,0))*(BK$4&lt;&gt;BJ$4))*BJ25</f>
        <v>9352.5786554724509</v>
      </c>
      <c r="BL25" s="7">
        <f>(1+INDEX('Inputs &amp; Drivers'!$J$52:$J$62,MATCH(Model!BL$4,'Inputs &amp; Drivers'!$B$52:$B$62,0))*(BL$4&lt;&gt;BK$4))*BK25</f>
        <v>9352.5786554724509</v>
      </c>
      <c r="BM25" s="7">
        <f>(1+INDEX('Inputs &amp; Drivers'!$J$52:$J$62,MATCH(Model!BM$4,'Inputs &amp; Drivers'!$B$52:$B$62,0))*(BM$4&lt;&gt;BL$4))*BL25</f>
        <v>9352.5786554724509</v>
      </c>
      <c r="BN25" s="7">
        <f>(1+INDEX('Inputs &amp; Drivers'!$J$52:$J$62,MATCH(Model!BN$4,'Inputs &amp; Drivers'!$B$52:$B$62,0))*(BN$4&lt;&gt;BM$4))*BM25</f>
        <v>9352.5786554724509</v>
      </c>
      <c r="BO25" s="7">
        <f>(1+INDEX('Inputs &amp; Drivers'!$J$52:$J$62,MATCH(Model!BO$4,'Inputs &amp; Drivers'!$B$52:$B$62,0))*(BO$4&lt;&gt;BN$4))*BN25</f>
        <v>9352.5786554724509</v>
      </c>
      <c r="BP25" s="7">
        <f>(1+INDEX('Inputs &amp; Drivers'!$J$52:$J$62,MATCH(Model!BP$4,'Inputs &amp; Drivers'!$B$52:$B$62,0))*(BP$4&lt;&gt;BO$4))*BO25</f>
        <v>9352.5786554724509</v>
      </c>
      <c r="BQ25" s="7">
        <f>(1+INDEX('Inputs &amp; Drivers'!$J$52:$J$62,MATCH(Model!BQ$4,'Inputs &amp; Drivers'!$B$52:$B$62,0))*(BQ$4&lt;&gt;BP$4))*BP25</f>
        <v>9352.5786554724509</v>
      </c>
      <c r="BR25" s="7">
        <f>(1+INDEX('Inputs &amp; Drivers'!$J$52:$J$62,MATCH(Model!BR$4,'Inputs &amp; Drivers'!$B$52:$B$62,0))*(BR$4&lt;&gt;BQ$4))*BQ25</f>
        <v>9633.1560151366248</v>
      </c>
      <c r="BS25" s="7">
        <f>(1+INDEX('Inputs &amp; Drivers'!$J$52:$J$62,MATCH(Model!BS$4,'Inputs &amp; Drivers'!$B$52:$B$62,0))*(BS$4&lt;&gt;BR$4))*BR25</f>
        <v>9633.1560151366248</v>
      </c>
      <c r="BT25" s="7">
        <f>(1+INDEX('Inputs &amp; Drivers'!$J$52:$J$62,MATCH(Model!BT$4,'Inputs &amp; Drivers'!$B$52:$B$62,0))*(BT$4&lt;&gt;BS$4))*BS25</f>
        <v>9633.1560151366248</v>
      </c>
      <c r="BU25" s="7">
        <f>(1+INDEX('Inputs &amp; Drivers'!$J$52:$J$62,MATCH(Model!BU$4,'Inputs &amp; Drivers'!$B$52:$B$62,0))*(BU$4&lt;&gt;BT$4))*BT25</f>
        <v>9633.1560151366248</v>
      </c>
      <c r="BV25" s="7">
        <f>(1+INDEX('Inputs &amp; Drivers'!$J$52:$J$62,MATCH(Model!BV$4,'Inputs &amp; Drivers'!$B$52:$B$62,0))*(BV$4&lt;&gt;BU$4))*BU25</f>
        <v>9633.1560151366248</v>
      </c>
      <c r="BW25" s="7">
        <f>(1+INDEX('Inputs &amp; Drivers'!$J$52:$J$62,MATCH(Model!BW$4,'Inputs &amp; Drivers'!$B$52:$B$62,0))*(BW$4&lt;&gt;BV$4))*BV25</f>
        <v>9633.1560151366248</v>
      </c>
      <c r="BX25" s="7">
        <f>(1+INDEX('Inputs &amp; Drivers'!$J$52:$J$62,MATCH(Model!BX$4,'Inputs &amp; Drivers'!$B$52:$B$62,0))*(BX$4&lt;&gt;BW$4))*BW25</f>
        <v>9633.1560151366248</v>
      </c>
      <c r="BY25" s="7">
        <f>(1+INDEX('Inputs &amp; Drivers'!$J$52:$J$62,MATCH(Model!BY$4,'Inputs &amp; Drivers'!$B$52:$B$62,0))*(BY$4&lt;&gt;BX$4))*BX25</f>
        <v>9633.1560151366248</v>
      </c>
      <c r="BZ25" s="7">
        <f>(1+INDEX('Inputs &amp; Drivers'!$J$52:$J$62,MATCH(Model!BZ$4,'Inputs &amp; Drivers'!$B$52:$B$62,0))*(BZ$4&lt;&gt;BY$4))*BY25</f>
        <v>9633.1560151366248</v>
      </c>
      <c r="CA25" s="7">
        <f>(1+INDEX('Inputs &amp; Drivers'!$J$52:$J$62,MATCH(Model!CA$4,'Inputs &amp; Drivers'!$B$52:$B$62,0))*(CA$4&lt;&gt;BZ$4))*BZ25</f>
        <v>9633.1560151366248</v>
      </c>
      <c r="CB25" s="7">
        <f>(1+INDEX('Inputs &amp; Drivers'!$J$52:$J$62,MATCH(Model!CB$4,'Inputs &amp; Drivers'!$B$52:$B$62,0))*(CB$4&lt;&gt;CA$4))*CA25</f>
        <v>9633.1560151366248</v>
      </c>
      <c r="CC25" s="7">
        <f>(1+INDEX('Inputs &amp; Drivers'!$J$52:$J$62,MATCH(Model!CC$4,'Inputs &amp; Drivers'!$B$52:$B$62,0))*(CC$4&lt;&gt;CB$4))*CB25</f>
        <v>9633.1560151366248</v>
      </c>
      <c r="CD25" s="7">
        <f>(1+INDEX('Inputs &amp; Drivers'!$J$52:$J$62,MATCH(Model!CD$4,'Inputs &amp; Drivers'!$B$52:$B$62,0))*(CD$4&lt;&gt;CC$4))*CC25</f>
        <v>9922.1506955907244</v>
      </c>
      <c r="CE25" s="7">
        <f>(1+INDEX('Inputs &amp; Drivers'!$J$52:$J$62,MATCH(Model!CE$4,'Inputs &amp; Drivers'!$B$52:$B$62,0))*(CE$4&lt;&gt;CD$4))*CD25</f>
        <v>9922.1506955907244</v>
      </c>
      <c r="CF25" s="7">
        <f>(1+INDEX('Inputs &amp; Drivers'!$J$52:$J$62,MATCH(Model!CF$4,'Inputs &amp; Drivers'!$B$52:$B$62,0))*(CF$4&lt;&gt;CE$4))*CE25</f>
        <v>9922.1506955907244</v>
      </c>
      <c r="CG25" s="7">
        <f>(1+INDEX('Inputs &amp; Drivers'!$J$52:$J$62,MATCH(Model!CG$4,'Inputs &amp; Drivers'!$B$52:$B$62,0))*(CG$4&lt;&gt;CF$4))*CF25</f>
        <v>9922.1506955907244</v>
      </c>
      <c r="CH25" s="7">
        <f>(1+INDEX('Inputs &amp; Drivers'!$J$52:$J$62,MATCH(Model!CH$4,'Inputs &amp; Drivers'!$B$52:$B$62,0))*(CH$4&lt;&gt;CG$4))*CG25</f>
        <v>9922.1506955907244</v>
      </c>
      <c r="CI25" s="7">
        <f>(1+INDEX('Inputs &amp; Drivers'!$J$52:$J$62,MATCH(Model!CI$4,'Inputs &amp; Drivers'!$B$52:$B$62,0))*(CI$4&lt;&gt;CH$4))*CH25</f>
        <v>9922.1506955907244</v>
      </c>
      <c r="CJ25" s="7">
        <f>(1+INDEX('Inputs &amp; Drivers'!$J$52:$J$62,MATCH(Model!CJ$4,'Inputs &amp; Drivers'!$B$52:$B$62,0))*(CJ$4&lt;&gt;CI$4))*CI25</f>
        <v>9922.1506955907244</v>
      </c>
      <c r="CK25" s="7">
        <f>(1+INDEX('Inputs &amp; Drivers'!$J$52:$J$62,MATCH(Model!CK$4,'Inputs &amp; Drivers'!$B$52:$B$62,0))*(CK$4&lt;&gt;CJ$4))*CJ25</f>
        <v>9922.1506955907244</v>
      </c>
      <c r="CL25" s="7">
        <f>(1+INDEX('Inputs &amp; Drivers'!$J$52:$J$62,MATCH(Model!CL$4,'Inputs &amp; Drivers'!$B$52:$B$62,0))*(CL$4&lt;&gt;CK$4))*CK25</f>
        <v>9922.1506955907244</v>
      </c>
      <c r="CM25" s="7">
        <f>(1+INDEX('Inputs &amp; Drivers'!$J$52:$J$62,MATCH(Model!CM$4,'Inputs &amp; Drivers'!$B$52:$B$62,0))*(CM$4&lt;&gt;CL$4))*CL25</f>
        <v>9922.1506955907244</v>
      </c>
      <c r="CN25" s="7">
        <f>(1+INDEX('Inputs &amp; Drivers'!$J$52:$J$62,MATCH(Model!CN$4,'Inputs &amp; Drivers'!$B$52:$B$62,0))*(CN$4&lt;&gt;CM$4))*CM25</f>
        <v>9922.1506955907244</v>
      </c>
      <c r="CO25" s="7">
        <f>(1+INDEX('Inputs &amp; Drivers'!$J$52:$J$62,MATCH(Model!CO$4,'Inputs &amp; Drivers'!$B$52:$B$62,0))*(CO$4&lt;&gt;CN$4))*CN25</f>
        <v>9922.1506955907244</v>
      </c>
      <c r="CP25" s="7">
        <f>(1+INDEX('Inputs &amp; Drivers'!$J$52:$J$62,MATCH(Model!CP$4,'Inputs &amp; Drivers'!$B$52:$B$62,0))*(CP$4&lt;&gt;CO$4))*CO25</f>
        <v>10219.815216458446</v>
      </c>
      <c r="CQ25" s="7">
        <f>(1+INDEX('Inputs &amp; Drivers'!$J$52:$J$62,MATCH(Model!CQ$4,'Inputs &amp; Drivers'!$B$52:$B$62,0))*(CQ$4&lt;&gt;CP$4))*CP25</f>
        <v>10219.815216458446</v>
      </c>
      <c r="CR25" s="7">
        <f>(1+INDEX('Inputs &amp; Drivers'!$J$52:$J$62,MATCH(Model!CR$4,'Inputs &amp; Drivers'!$B$52:$B$62,0))*(CR$4&lt;&gt;CQ$4))*CQ25</f>
        <v>10219.815216458446</v>
      </c>
      <c r="CS25" s="7">
        <f>(1+INDEX('Inputs &amp; Drivers'!$J$52:$J$62,MATCH(Model!CS$4,'Inputs &amp; Drivers'!$B$52:$B$62,0))*(CS$4&lt;&gt;CR$4))*CR25</f>
        <v>10219.815216458446</v>
      </c>
      <c r="CT25" s="7">
        <f>(1+INDEX('Inputs &amp; Drivers'!$J$52:$J$62,MATCH(Model!CT$4,'Inputs &amp; Drivers'!$B$52:$B$62,0))*(CT$4&lt;&gt;CS$4))*CS25</f>
        <v>10219.815216458446</v>
      </c>
      <c r="CU25" s="7">
        <f>(1+INDEX('Inputs &amp; Drivers'!$J$52:$J$62,MATCH(Model!CU$4,'Inputs &amp; Drivers'!$B$52:$B$62,0))*(CU$4&lt;&gt;CT$4))*CT25</f>
        <v>10219.815216458446</v>
      </c>
      <c r="CV25" s="7">
        <f>(1+INDEX('Inputs &amp; Drivers'!$J$52:$J$62,MATCH(Model!CV$4,'Inputs &amp; Drivers'!$B$52:$B$62,0))*(CV$4&lt;&gt;CU$4))*CU25</f>
        <v>10219.815216458446</v>
      </c>
      <c r="CW25" s="7">
        <f>(1+INDEX('Inputs &amp; Drivers'!$J$52:$J$62,MATCH(Model!CW$4,'Inputs &amp; Drivers'!$B$52:$B$62,0))*(CW$4&lt;&gt;CV$4))*CV25</f>
        <v>10219.815216458446</v>
      </c>
      <c r="CX25" s="7">
        <f>(1+INDEX('Inputs &amp; Drivers'!$J$52:$J$62,MATCH(Model!CX$4,'Inputs &amp; Drivers'!$B$52:$B$62,0))*(CX$4&lt;&gt;CW$4))*CW25</f>
        <v>10219.815216458446</v>
      </c>
      <c r="CY25" s="7">
        <f>(1+INDEX('Inputs &amp; Drivers'!$J$52:$J$62,MATCH(Model!CY$4,'Inputs &amp; Drivers'!$B$52:$B$62,0))*(CY$4&lt;&gt;CX$4))*CX25</f>
        <v>10219.815216458446</v>
      </c>
      <c r="CZ25" s="7">
        <f>(1+INDEX('Inputs &amp; Drivers'!$J$52:$J$62,MATCH(Model!CZ$4,'Inputs &amp; Drivers'!$B$52:$B$62,0))*(CZ$4&lt;&gt;CY$4))*CY25</f>
        <v>10219.815216458446</v>
      </c>
      <c r="DA25" s="7">
        <f>(1+INDEX('Inputs &amp; Drivers'!$J$52:$J$62,MATCH(Model!DA$4,'Inputs &amp; Drivers'!$B$52:$B$62,0))*(DA$4&lt;&gt;CZ$4))*CZ25</f>
        <v>10219.815216458446</v>
      </c>
      <c r="DB25" s="7">
        <f>(1+INDEX('Inputs &amp; Drivers'!$J$52:$J$62,MATCH(Model!DB$4,'Inputs &amp; Drivers'!$B$52:$B$62,0))*(DB$4&lt;&gt;DA$4))*DA25</f>
        <v>10526.409672952201</v>
      </c>
      <c r="DC25" s="7">
        <f>(1+INDEX('Inputs &amp; Drivers'!$J$52:$J$62,MATCH(Model!DC$4,'Inputs &amp; Drivers'!$B$52:$B$62,0))*(DC$4&lt;&gt;DB$4))*DB25</f>
        <v>10526.409672952201</v>
      </c>
      <c r="DD25" s="7">
        <f>(1+INDEX('Inputs &amp; Drivers'!$J$52:$J$62,MATCH(Model!DD$4,'Inputs &amp; Drivers'!$B$52:$B$62,0))*(DD$4&lt;&gt;DC$4))*DC25</f>
        <v>10526.409672952201</v>
      </c>
      <c r="DE25" s="7">
        <f>(1+INDEX('Inputs &amp; Drivers'!$J$52:$J$62,MATCH(Model!DE$4,'Inputs &amp; Drivers'!$B$52:$B$62,0))*(DE$4&lt;&gt;DD$4))*DD25</f>
        <v>10526.409672952201</v>
      </c>
      <c r="DF25" s="7">
        <f>(1+INDEX('Inputs &amp; Drivers'!$J$52:$J$62,MATCH(Model!DF$4,'Inputs &amp; Drivers'!$B$52:$B$62,0))*(DF$4&lt;&gt;DE$4))*DE25</f>
        <v>10526.409672952201</v>
      </c>
      <c r="DG25" s="7">
        <f>(1+INDEX('Inputs &amp; Drivers'!$J$52:$J$62,MATCH(Model!DG$4,'Inputs &amp; Drivers'!$B$52:$B$62,0))*(DG$4&lt;&gt;DF$4))*DF25</f>
        <v>10526.409672952201</v>
      </c>
      <c r="DH25" s="7">
        <f>(1+INDEX('Inputs &amp; Drivers'!$J$52:$J$62,MATCH(Model!DH$4,'Inputs &amp; Drivers'!$B$52:$B$62,0))*(DH$4&lt;&gt;DG$4))*DG25</f>
        <v>10526.409672952201</v>
      </c>
      <c r="DI25" s="7">
        <f>(1+INDEX('Inputs &amp; Drivers'!$J$52:$J$62,MATCH(Model!DI$4,'Inputs &amp; Drivers'!$B$52:$B$62,0))*(DI$4&lt;&gt;DH$4))*DH25</f>
        <v>10526.409672952201</v>
      </c>
      <c r="DJ25" s="7">
        <f>(1+INDEX('Inputs &amp; Drivers'!$J$52:$J$62,MATCH(Model!DJ$4,'Inputs &amp; Drivers'!$B$52:$B$62,0))*(DJ$4&lt;&gt;DI$4))*DI25</f>
        <v>10526.409672952201</v>
      </c>
      <c r="DK25" s="7">
        <f>(1+INDEX('Inputs &amp; Drivers'!$J$52:$J$62,MATCH(Model!DK$4,'Inputs &amp; Drivers'!$B$52:$B$62,0))*(DK$4&lt;&gt;DJ$4))*DJ25</f>
        <v>10526.409672952201</v>
      </c>
      <c r="DL25" s="7">
        <f>(1+INDEX('Inputs &amp; Drivers'!$J$52:$J$62,MATCH(Model!DL$4,'Inputs &amp; Drivers'!$B$52:$B$62,0))*(DL$4&lt;&gt;DK$4))*DK25</f>
        <v>10526.409672952201</v>
      </c>
      <c r="DM25" s="7">
        <f>(1+INDEX('Inputs &amp; Drivers'!$J$52:$J$62,MATCH(Model!DM$4,'Inputs &amp; Drivers'!$B$52:$B$62,0))*(DM$4&lt;&gt;DL$4))*DL25</f>
        <v>10526.409672952201</v>
      </c>
      <c r="DN25" s="7">
        <f>(1+INDEX('Inputs &amp; Drivers'!$J$52:$J$62,MATCH(Model!DN$4,'Inputs &amp; Drivers'!$B$52:$B$62,0))*(DN$4&lt;&gt;DM$4))*DM25</f>
        <v>10842.201963140767</v>
      </c>
      <c r="DO25" s="7">
        <f>(1+INDEX('Inputs &amp; Drivers'!$J$52:$J$62,MATCH(Model!DO$4,'Inputs &amp; Drivers'!$B$52:$B$62,0))*(DO$4&lt;&gt;DN$4))*DN25</f>
        <v>10842.201963140767</v>
      </c>
      <c r="DP25" s="7">
        <f>(1+INDEX('Inputs &amp; Drivers'!$J$52:$J$62,MATCH(Model!DP$4,'Inputs &amp; Drivers'!$B$52:$B$62,0))*(DP$4&lt;&gt;DO$4))*DO25</f>
        <v>10842.201963140767</v>
      </c>
      <c r="DQ25" s="7">
        <f>(1+INDEX('Inputs &amp; Drivers'!$J$52:$J$62,MATCH(Model!DQ$4,'Inputs &amp; Drivers'!$B$52:$B$62,0))*(DQ$4&lt;&gt;DP$4))*DP25</f>
        <v>10842.201963140767</v>
      </c>
      <c r="DR25" s="7">
        <f>(1+INDEX('Inputs &amp; Drivers'!$J$52:$J$62,MATCH(Model!DR$4,'Inputs &amp; Drivers'!$B$52:$B$62,0))*(DR$4&lt;&gt;DQ$4))*DQ25</f>
        <v>10842.201963140767</v>
      </c>
      <c r="DS25" s="7">
        <f>(1+INDEX('Inputs &amp; Drivers'!$J$52:$J$62,MATCH(Model!DS$4,'Inputs &amp; Drivers'!$B$52:$B$62,0))*(DS$4&lt;&gt;DR$4))*DR25</f>
        <v>10842.201963140767</v>
      </c>
      <c r="DT25" s="7">
        <f>(1+INDEX('Inputs &amp; Drivers'!$J$52:$J$62,MATCH(Model!DT$4,'Inputs &amp; Drivers'!$B$52:$B$62,0))*(DT$4&lt;&gt;DS$4))*DS25</f>
        <v>10842.201963140767</v>
      </c>
      <c r="DU25" s="7">
        <f>(1+INDEX('Inputs &amp; Drivers'!$J$52:$J$62,MATCH(Model!DU$4,'Inputs &amp; Drivers'!$B$52:$B$62,0))*(DU$4&lt;&gt;DT$4))*DT25</f>
        <v>10842.201963140767</v>
      </c>
      <c r="DV25" s="7">
        <f>(1+INDEX('Inputs &amp; Drivers'!$J$52:$J$62,MATCH(Model!DV$4,'Inputs &amp; Drivers'!$B$52:$B$62,0))*(DV$4&lt;&gt;DU$4))*DU25</f>
        <v>10842.201963140767</v>
      </c>
      <c r="DW25" s="7">
        <f>(1+INDEX('Inputs &amp; Drivers'!$J$52:$J$62,MATCH(Model!DW$4,'Inputs &amp; Drivers'!$B$52:$B$62,0))*(DW$4&lt;&gt;DV$4))*DV25</f>
        <v>10842.201963140767</v>
      </c>
      <c r="DX25" s="7">
        <f>(1+INDEX('Inputs &amp; Drivers'!$J$52:$J$62,MATCH(Model!DX$4,'Inputs &amp; Drivers'!$B$52:$B$62,0))*(DX$4&lt;&gt;DW$4))*DW25</f>
        <v>10842.201963140767</v>
      </c>
      <c r="DY25" s="7">
        <f>(1+INDEX('Inputs &amp; Drivers'!$J$52:$J$62,MATCH(Model!DY$4,'Inputs &amp; Drivers'!$B$52:$B$62,0))*(DY$4&lt;&gt;DX$4))*DX25</f>
        <v>10842.201963140767</v>
      </c>
      <c r="DZ25" s="7">
        <f>(1+INDEX('Inputs &amp; Drivers'!$J$52:$J$62,MATCH(Model!DZ$4,'Inputs &amp; Drivers'!$B$52:$B$62,0))*(DZ$4&lt;&gt;DY$4))*DY25</f>
        <v>11167.468022034991</v>
      </c>
      <c r="EA25" s="7">
        <f>(1+INDEX('Inputs &amp; Drivers'!$J$52:$J$62,MATCH(Model!EA$4,'Inputs &amp; Drivers'!$B$52:$B$62,0))*(EA$4&lt;&gt;DZ$4))*DZ25</f>
        <v>11167.468022034991</v>
      </c>
      <c r="EB25" s="7">
        <f>(1+INDEX('Inputs &amp; Drivers'!$J$52:$J$62,MATCH(Model!EB$4,'Inputs &amp; Drivers'!$B$52:$B$62,0))*(EB$4&lt;&gt;EA$4))*EA25</f>
        <v>11167.468022034991</v>
      </c>
      <c r="EC25" s="7">
        <f>(1+INDEX('Inputs &amp; Drivers'!$J$52:$J$62,MATCH(Model!EC$4,'Inputs &amp; Drivers'!$B$52:$B$62,0))*(EC$4&lt;&gt;EB$4))*EB25</f>
        <v>11167.468022034991</v>
      </c>
      <c r="ED25" s="7">
        <f>(1+INDEX('Inputs &amp; Drivers'!$J$52:$J$62,MATCH(Model!ED$4,'Inputs &amp; Drivers'!$B$52:$B$62,0))*(ED$4&lt;&gt;EC$4))*EC25</f>
        <v>11167.468022034991</v>
      </c>
      <c r="EE25" s="7">
        <f>(1+INDEX('Inputs &amp; Drivers'!$J$52:$J$62,MATCH(Model!EE$4,'Inputs &amp; Drivers'!$B$52:$B$62,0))*(EE$4&lt;&gt;ED$4))*ED25</f>
        <v>11167.468022034991</v>
      </c>
      <c r="EF25" s="7">
        <f>(1+INDEX('Inputs &amp; Drivers'!$J$52:$J$62,MATCH(Model!EF$4,'Inputs &amp; Drivers'!$B$52:$B$62,0))*(EF$4&lt;&gt;EE$4))*EE25</f>
        <v>11167.468022034991</v>
      </c>
      <c r="EG25" s="7">
        <f>(1+INDEX('Inputs &amp; Drivers'!$J$52:$J$62,MATCH(Model!EG$4,'Inputs &amp; Drivers'!$B$52:$B$62,0))*(EG$4&lt;&gt;EF$4))*EF25</f>
        <v>11167.468022034991</v>
      </c>
      <c r="EH25" s="7">
        <f>(1+INDEX('Inputs &amp; Drivers'!$J$52:$J$62,MATCH(Model!EH$4,'Inputs &amp; Drivers'!$B$52:$B$62,0))*(EH$4&lt;&gt;EG$4))*EG25</f>
        <v>11167.468022034991</v>
      </c>
      <c r="EI25" s="7">
        <f>(1+INDEX('Inputs &amp; Drivers'!$J$52:$J$62,MATCH(Model!EI$4,'Inputs &amp; Drivers'!$B$52:$B$62,0))*(EI$4&lt;&gt;EH$4))*EH25</f>
        <v>11167.468022034991</v>
      </c>
      <c r="EJ25" s="7">
        <f>(1+INDEX('Inputs &amp; Drivers'!$J$52:$J$62,MATCH(Model!EJ$4,'Inputs &amp; Drivers'!$B$52:$B$62,0))*(EJ$4&lt;&gt;EI$4))*EI25</f>
        <v>11167.468022034991</v>
      </c>
      <c r="EK25" s="7">
        <f>(1+INDEX('Inputs &amp; Drivers'!$J$52:$J$62,MATCH(Model!EK$4,'Inputs &amp; Drivers'!$B$52:$B$62,0))*(EK$4&lt;&gt;EJ$4))*EJ25</f>
        <v>11167.468022034991</v>
      </c>
      <c r="EM25" s="109">
        <f t="shared" ref="EM25:EX26" si="381">SUMIF($I$4:$EK$4,EM$5,$I25:$EK25)</f>
        <v>0</v>
      </c>
      <c r="EN25" s="109">
        <f t="shared" si="381"/>
        <v>99715.740000000034</v>
      </c>
      <c r="EO25" s="109">
        <f t="shared" si="381"/>
        <v>102707.21219999999</v>
      </c>
      <c r="EP25" s="109">
        <f t="shared" si="381"/>
        <v>105788.42856600003</v>
      </c>
      <c r="EQ25" s="109">
        <f t="shared" si="381"/>
        <v>108962.08142298005</v>
      </c>
      <c r="ER25" s="109">
        <f t="shared" si="381"/>
        <v>112230.94386566938</v>
      </c>
      <c r="ES25" s="109">
        <f t="shared" si="381"/>
        <v>115597.87218163953</v>
      </c>
      <c r="ET25" s="109">
        <f t="shared" si="381"/>
        <v>119065.80834708869</v>
      </c>
      <c r="EU25" s="109">
        <f t="shared" si="381"/>
        <v>122637.78259750135</v>
      </c>
      <c r="EV25" s="109">
        <f t="shared" si="381"/>
        <v>126316.9160754264</v>
      </c>
      <c r="EW25" s="109">
        <f t="shared" si="381"/>
        <v>130106.42355768924</v>
      </c>
      <c r="EX25" s="109">
        <f t="shared" si="381"/>
        <v>134009.61626441992</v>
      </c>
    </row>
    <row r="26" spans="2:154" x14ac:dyDescent="0.3">
      <c r="B26" s="1" t="s">
        <v>19</v>
      </c>
      <c r="E26" s="70">
        <f>SUM('Historical Financials'!M21:O22)*4</f>
        <v>271812</v>
      </c>
      <c r="F26" s="70">
        <f>SUM('Historical Financials'!D21:O22)</f>
        <v>263945</v>
      </c>
      <c r="J26" s="70">
        <f>'Inputs &amp; Drivers'!E44/12</f>
        <v>21995.416666666668</v>
      </c>
      <c r="K26" s="7">
        <f>(1+INDEX('Inputs &amp; Drivers'!$J$52:$J$62,MATCH(Model!K$4,'Inputs &amp; Drivers'!$B$52:$B$62,0))*(K$4&lt;&gt;J$4))*J26</f>
        <v>21995.416666666668</v>
      </c>
      <c r="L26" s="7">
        <f>(1+INDEX('Inputs &amp; Drivers'!$J$52:$J$62,MATCH(Model!L$4,'Inputs &amp; Drivers'!$B$52:$B$62,0))*(L$4&lt;&gt;K$4))*K26</f>
        <v>21995.416666666668</v>
      </c>
      <c r="M26" s="7">
        <f>(1+INDEX('Inputs &amp; Drivers'!$J$52:$J$62,MATCH(Model!M$4,'Inputs &amp; Drivers'!$B$52:$B$62,0))*(M$4&lt;&gt;L$4))*L26</f>
        <v>21995.416666666668</v>
      </c>
      <c r="N26" s="7">
        <f>(1+INDEX('Inputs &amp; Drivers'!$J$52:$J$62,MATCH(Model!N$4,'Inputs &amp; Drivers'!$B$52:$B$62,0))*(N$4&lt;&gt;M$4))*M26</f>
        <v>21995.416666666668</v>
      </c>
      <c r="O26" s="7">
        <f>(1+INDEX('Inputs &amp; Drivers'!$J$52:$J$62,MATCH(Model!O$4,'Inputs &amp; Drivers'!$B$52:$B$62,0))*(O$4&lt;&gt;N$4))*N26</f>
        <v>21995.416666666668</v>
      </c>
      <c r="P26" s="7">
        <f>(1+INDEX('Inputs &amp; Drivers'!$J$52:$J$62,MATCH(Model!P$4,'Inputs &amp; Drivers'!$B$52:$B$62,0))*(P$4&lt;&gt;O$4))*O26</f>
        <v>21995.416666666668</v>
      </c>
      <c r="Q26" s="7">
        <f>(1+INDEX('Inputs &amp; Drivers'!$J$52:$J$62,MATCH(Model!Q$4,'Inputs &amp; Drivers'!$B$52:$B$62,0))*(Q$4&lt;&gt;P$4))*P26</f>
        <v>21995.416666666668</v>
      </c>
      <c r="R26" s="7">
        <f>(1+INDEX('Inputs &amp; Drivers'!$J$52:$J$62,MATCH(Model!R$4,'Inputs &amp; Drivers'!$B$52:$B$62,0))*(R$4&lt;&gt;Q$4))*Q26</f>
        <v>21995.416666666668</v>
      </c>
      <c r="S26" s="7">
        <f>(1+INDEX('Inputs &amp; Drivers'!$J$52:$J$62,MATCH(Model!S$4,'Inputs &amp; Drivers'!$B$52:$B$62,0))*(S$4&lt;&gt;R$4))*R26</f>
        <v>21995.416666666668</v>
      </c>
      <c r="T26" s="7">
        <f>(1+INDEX('Inputs &amp; Drivers'!$J$52:$J$62,MATCH(Model!T$4,'Inputs &amp; Drivers'!$B$52:$B$62,0))*(T$4&lt;&gt;S$4))*S26</f>
        <v>21995.416666666668</v>
      </c>
      <c r="U26" s="7">
        <f>(1+INDEX('Inputs &amp; Drivers'!$J$52:$J$62,MATCH(Model!U$4,'Inputs &amp; Drivers'!$B$52:$B$62,0))*(U$4&lt;&gt;T$4))*T26</f>
        <v>21995.416666666668</v>
      </c>
      <c r="V26" s="7">
        <f>(1+INDEX('Inputs &amp; Drivers'!$J$52:$J$62,MATCH(Model!V$4,'Inputs &amp; Drivers'!$B$52:$B$62,0))*(V$4&lt;&gt;U$4))*U26</f>
        <v>22655.279166666667</v>
      </c>
      <c r="W26" s="7">
        <f>(1+INDEX('Inputs &amp; Drivers'!$J$52:$J$62,MATCH(Model!W$4,'Inputs &amp; Drivers'!$B$52:$B$62,0))*(W$4&lt;&gt;V$4))*V26</f>
        <v>22655.279166666667</v>
      </c>
      <c r="X26" s="7">
        <f>(1+INDEX('Inputs &amp; Drivers'!$J$52:$J$62,MATCH(Model!X$4,'Inputs &amp; Drivers'!$B$52:$B$62,0))*(X$4&lt;&gt;W$4))*W26</f>
        <v>22655.279166666667</v>
      </c>
      <c r="Y26" s="7">
        <f>(1+INDEX('Inputs &amp; Drivers'!$J$52:$J$62,MATCH(Model!Y$4,'Inputs &amp; Drivers'!$B$52:$B$62,0))*(Y$4&lt;&gt;X$4))*X26</f>
        <v>22655.279166666667</v>
      </c>
      <c r="Z26" s="7">
        <f>(1+INDEX('Inputs &amp; Drivers'!$J$52:$J$62,MATCH(Model!Z$4,'Inputs &amp; Drivers'!$B$52:$B$62,0))*(Z$4&lt;&gt;Y$4))*Y26</f>
        <v>22655.279166666667</v>
      </c>
      <c r="AA26" s="7">
        <f>(1+INDEX('Inputs &amp; Drivers'!$J$52:$J$62,MATCH(Model!AA$4,'Inputs &amp; Drivers'!$B$52:$B$62,0))*(AA$4&lt;&gt;Z$4))*Z26</f>
        <v>22655.279166666667</v>
      </c>
      <c r="AB26" s="7">
        <f>(1+INDEX('Inputs &amp; Drivers'!$J$52:$J$62,MATCH(Model!AB$4,'Inputs &amp; Drivers'!$B$52:$B$62,0))*(AB$4&lt;&gt;AA$4))*AA26</f>
        <v>22655.279166666667</v>
      </c>
      <c r="AC26" s="7">
        <f>(1+INDEX('Inputs &amp; Drivers'!$J$52:$J$62,MATCH(Model!AC$4,'Inputs &amp; Drivers'!$B$52:$B$62,0))*(AC$4&lt;&gt;AB$4))*AB26</f>
        <v>22655.279166666667</v>
      </c>
      <c r="AD26" s="7">
        <f>(1+INDEX('Inputs &amp; Drivers'!$J$52:$J$62,MATCH(Model!AD$4,'Inputs &amp; Drivers'!$B$52:$B$62,0))*(AD$4&lt;&gt;AC$4))*AC26</f>
        <v>22655.279166666667</v>
      </c>
      <c r="AE26" s="7">
        <f>(1+INDEX('Inputs &amp; Drivers'!$J$52:$J$62,MATCH(Model!AE$4,'Inputs &amp; Drivers'!$B$52:$B$62,0))*(AE$4&lt;&gt;AD$4))*AD26</f>
        <v>22655.279166666667</v>
      </c>
      <c r="AF26" s="7">
        <f>(1+INDEX('Inputs &amp; Drivers'!$J$52:$J$62,MATCH(Model!AF$4,'Inputs &amp; Drivers'!$B$52:$B$62,0))*(AF$4&lt;&gt;AE$4))*AE26</f>
        <v>22655.279166666667</v>
      </c>
      <c r="AG26" s="7">
        <f>(1+INDEX('Inputs &amp; Drivers'!$J$52:$J$62,MATCH(Model!AG$4,'Inputs &amp; Drivers'!$B$52:$B$62,0))*(AG$4&lt;&gt;AF$4))*AF26</f>
        <v>22655.279166666667</v>
      </c>
      <c r="AH26" s="7">
        <f>(1+INDEX('Inputs &amp; Drivers'!$J$52:$J$62,MATCH(Model!AH$4,'Inputs &amp; Drivers'!$B$52:$B$62,0))*(AH$4&lt;&gt;AG$4))*AG26</f>
        <v>23334.937541666666</v>
      </c>
      <c r="AI26" s="7">
        <f>(1+INDEX('Inputs &amp; Drivers'!$J$52:$J$62,MATCH(Model!AI$4,'Inputs &amp; Drivers'!$B$52:$B$62,0))*(AI$4&lt;&gt;AH$4))*AH26</f>
        <v>23334.937541666666</v>
      </c>
      <c r="AJ26" s="7">
        <f>(1+INDEX('Inputs &amp; Drivers'!$J$52:$J$62,MATCH(Model!AJ$4,'Inputs &amp; Drivers'!$B$52:$B$62,0))*(AJ$4&lt;&gt;AI$4))*AI26</f>
        <v>23334.937541666666</v>
      </c>
      <c r="AK26" s="7">
        <f>(1+INDEX('Inputs &amp; Drivers'!$J$52:$J$62,MATCH(Model!AK$4,'Inputs &amp; Drivers'!$B$52:$B$62,0))*(AK$4&lt;&gt;AJ$4))*AJ26</f>
        <v>23334.937541666666</v>
      </c>
      <c r="AL26" s="7">
        <f>(1+INDEX('Inputs &amp; Drivers'!$J$52:$J$62,MATCH(Model!AL$4,'Inputs &amp; Drivers'!$B$52:$B$62,0))*(AL$4&lt;&gt;AK$4))*AK26</f>
        <v>23334.937541666666</v>
      </c>
      <c r="AM26" s="7">
        <f>(1+INDEX('Inputs &amp; Drivers'!$J$52:$J$62,MATCH(Model!AM$4,'Inputs &amp; Drivers'!$B$52:$B$62,0))*(AM$4&lt;&gt;AL$4))*AL26</f>
        <v>23334.937541666666</v>
      </c>
      <c r="AN26" s="7">
        <f>(1+INDEX('Inputs &amp; Drivers'!$J$52:$J$62,MATCH(Model!AN$4,'Inputs &amp; Drivers'!$B$52:$B$62,0))*(AN$4&lt;&gt;AM$4))*AM26</f>
        <v>23334.937541666666</v>
      </c>
      <c r="AO26" s="7">
        <f>(1+INDEX('Inputs &amp; Drivers'!$J$52:$J$62,MATCH(Model!AO$4,'Inputs &amp; Drivers'!$B$52:$B$62,0))*(AO$4&lt;&gt;AN$4))*AN26</f>
        <v>23334.937541666666</v>
      </c>
      <c r="AP26" s="7">
        <f>(1+INDEX('Inputs &amp; Drivers'!$J$52:$J$62,MATCH(Model!AP$4,'Inputs &amp; Drivers'!$B$52:$B$62,0))*(AP$4&lt;&gt;AO$4))*AO26</f>
        <v>23334.937541666666</v>
      </c>
      <c r="AQ26" s="7">
        <f>(1+INDEX('Inputs &amp; Drivers'!$J$52:$J$62,MATCH(Model!AQ$4,'Inputs &amp; Drivers'!$B$52:$B$62,0))*(AQ$4&lt;&gt;AP$4))*AP26</f>
        <v>23334.937541666666</v>
      </c>
      <c r="AR26" s="7">
        <f>(1+INDEX('Inputs &amp; Drivers'!$J$52:$J$62,MATCH(Model!AR$4,'Inputs &amp; Drivers'!$B$52:$B$62,0))*(AR$4&lt;&gt;AQ$4))*AQ26</f>
        <v>23334.937541666666</v>
      </c>
      <c r="AS26" s="7">
        <f>(1+INDEX('Inputs &amp; Drivers'!$J$52:$J$62,MATCH(Model!AS$4,'Inputs &amp; Drivers'!$B$52:$B$62,0))*(AS$4&lt;&gt;AR$4))*AR26</f>
        <v>23334.937541666666</v>
      </c>
      <c r="AT26" s="7">
        <f>(1+INDEX('Inputs &amp; Drivers'!$J$52:$J$62,MATCH(Model!AT$4,'Inputs &amp; Drivers'!$B$52:$B$62,0))*(AT$4&lt;&gt;AS$4))*AS26</f>
        <v>24034.985667916666</v>
      </c>
      <c r="AU26" s="7">
        <f>(1+INDEX('Inputs &amp; Drivers'!$J$52:$J$62,MATCH(Model!AU$4,'Inputs &amp; Drivers'!$B$52:$B$62,0))*(AU$4&lt;&gt;AT$4))*AT26</f>
        <v>24034.985667916666</v>
      </c>
      <c r="AV26" s="7">
        <f>(1+INDEX('Inputs &amp; Drivers'!$J$52:$J$62,MATCH(Model!AV$4,'Inputs &amp; Drivers'!$B$52:$B$62,0))*(AV$4&lt;&gt;AU$4))*AU26</f>
        <v>24034.985667916666</v>
      </c>
      <c r="AW26" s="7">
        <f>(1+INDEX('Inputs &amp; Drivers'!$J$52:$J$62,MATCH(Model!AW$4,'Inputs &amp; Drivers'!$B$52:$B$62,0))*(AW$4&lt;&gt;AV$4))*AV26</f>
        <v>24034.985667916666</v>
      </c>
      <c r="AX26" s="7">
        <f>(1+INDEX('Inputs &amp; Drivers'!$J$52:$J$62,MATCH(Model!AX$4,'Inputs &amp; Drivers'!$B$52:$B$62,0))*(AX$4&lt;&gt;AW$4))*AW26</f>
        <v>24034.985667916666</v>
      </c>
      <c r="AY26" s="7">
        <f>(1+INDEX('Inputs &amp; Drivers'!$J$52:$J$62,MATCH(Model!AY$4,'Inputs &amp; Drivers'!$B$52:$B$62,0))*(AY$4&lt;&gt;AX$4))*AX26</f>
        <v>24034.985667916666</v>
      </c>
      <c r="AZ26" s="7">
        <f>(1+INDEX('Inputs &amp; Drivers'!$J$52:$J$62,MATCH(Model!AZ$4,'Inputs &amp; Drivers'!$B$52:$B$62,0))*(AZ$4&lt;&gt;AY$4))*AY26</f>
        <v>24034.985667916666</v>
      </c>
      <c r="BA26" s="7">
        <f>(1+INDEX('Inputs &amp; Drivers'!$J$52:$J$62,MATCH(Model!BA$4,'Inputs &amp; Drivers'!$B$52:$B$62,0))*(BA$4&lt;&gt;AZ$4))*AZ26</f>
        <v>24034.985667916666</v>
      </c>
      <c r="BB26" s="7">
        <f>(1+INDEX('Inputs &amp; Drivers'!$J$52:$J$62,MATCH(Model!BB$4,'Inputs &amp; Drivers'!$B$52:$B$62,0))*(BB$4&lt;&gt;BA$4))*BA26</f>
        <v>24034.985667916666</v>
      </c>
      <c r="BC26" s="7">
        <f>(1+INDEX('Inputs &amp; Drivers'!$J$52:$J$62,MATCH(Model!BC$4,'Inputs &amp; Drivers'!$B$52:$B$62,0))*(BC$4&lt;&gt;BB$4))*BB26</f>
        <v>24034.985667916666</v>
      </c>
      <c r="BD26" s="7">
        <f>(1+INDEX('Inputs &amp; Drivers'!$J$52:$J$62,MATCH(Model!BD$4,'Inputs &amp; Drivers'!$B$52:$B$62,0))*(BD$4&lt;&gt;BC$4))*BC26</f>
        <v>24034.985667916666</v>
      </c>
      <c r="BE26" s="7">
        <f>(1+INDEX('Inputs &amp; Drivers'!$J$52:$J$62,MATCH(Model!BE$4,'Inputs &amp; Drivers'!$B$52:$B$62,0))*(BE$4&lt;&gt;BD$4))*BD26</f>
        <v>24034.985667916666</v>
      </c>
      <c r="BF26" s="7">
        <f>(1+INDEX('Inputs &amp; Drivers'!$J$52:$J$62,MATCH(Model!BF$4,'Inputs &amp; Drivers'!$B$52:$B$62,0))*(BF$4&lt;&gt;BE$4))*BE26</f>
        <v>24756.035237954165</v>
      </c>
      <c r="BG26" s="7">
        <f>(1+INDEX('Inputs &amp; Drivers'!$J$52:$J$62,MATCH(Model!BG$4,'Inputs &amp; Drivers'!$B$52:$B$62,0))*(BG$4&lt;&gt;BF$4))*BF26</f>
        <v>24756.035237954165</v>
      </c>
      <c r="BH26" s="7">
        <f>(1+INDEX('Inputs &amp; Drivers'!$J$52:$J$62,MATCH(Model!BH$4,'Inputs &amp; Drivers'!$B$52:$B$62,0))*(BH$4&lt;&gt;BG$4))*BG26</f>
        <v>24756.035237954165</v>
      </c>
      <c r="BI26" s="7">
        <f>(1+INDEX('Inputs &amp; Drivers'!$J$52:$J$62,MATCH(Model!BI$4,'Inputs &amp; Drivers'!$B$52:$B$62,0))*(BI$4&lt;&gt;BH$4))*BH26</f>
        <v>24756.035237954165</v>
      </c>
      <c r="BJ26" s="7">
        <f>(1+INDEX('Inputs &amp; Drivers'!$J$52:$J$62,MATCH(Model!BJ$4,'Inputs &amp; Drivers'!$B$52:$B$62,0))*(BJ$4&lt;&gt;BI$4))*BI26</f>
        <v>24756.035237954165</v>
      </c>
      <c r="BK26" s="7">
        <f>(1+INDEX('Inputs &amp; Drivers'!$J$52:$J$62,MATCH(Model!BK$4,'Inputs &amp; Drivers'!$B$52:$B$62,0))*(BK$4&lt;&gt;BJ$4))*BJ26</f>
        <v>24756.035237954165</v>
      </c>
      <c r="BL26" s="7">
        <f>(1+INDEX('Inputs &amp; Drivers'!$J$52:$J$62,MATCH(Model!BL$4,'Inputs &amp; Drivers'!$B$52:$B$62,0))*(BL$4&lt;&gt;BK$4))*BK26</f>
        <v>24756.035237954165</v>
      </c>
      <c r="BM26" s="7">
        <f>(1+INDEX('Inputs &amp; Drivers'!$J$52:$J$62,MATCH(Model!BM$4,'Inputs &amp; Drivers'!$B$52:$B$62,0))*(BM$4&lt;&gt;BL$4))*BL26</f>
        <v>24756.035237954165</v>
      </c>
      <c r="BN26" s="7">
        <f>(1+INDEX('Inputs &amp; Drivers'!$J$52:$J$62,MATCH(Model!BN$4,'Inputs &amp; Drivers'!$B$52:$B$62,0))*(BN$4&lt;&gt;BM$4))*BM26</f>
        <v>24756.035237954165</v>
      </c>
      <c r="BO26" s="7">
        <f>(1+INDEX('Inputs &amp; Drivers'!$J$52:$J$62,MATCH(Model!BO$4,'Inputs &amp; Drivers'!$B$52:$B$62,0))*(BO$4&lt;&gt;BN$4))*BN26</f>
        <v>24756.035237954165</v>
      </c>
      <c r="BP26" s="7">
        <f>(1+INDEX('Inputs &amp; Drivers'!$J$52:$J$62,MATCH(Model!BP$4,'Inputs &amp; Drivers'!$B$52:$B$62,0))*(BP$4&lt;&gt;BO$4))*BO26</f>
        <v>24756.035237954165</v>
      </c>
      <c r="BQ26" s="7">
        <f>(1+INDEX('Inputs &amp; Drivers'!$J$52:$J$62,MATCH(Model!BQ$4,'Inputs &amp; Drivers'!$B$52:$B$62,0))*(BQ$4&lt;&gt;BP$4))*BP26</f>
        <v>24756.035237954165</v>
      </c>
      <c r="BR26" s="7">
        <f>(1+INDEX('Inputs &amp; Drivers'!$J$52:$J$62,MATCH(Model!BR$4,'Inputs &amp; Drivers'!$B$52:$B$62,0))*(BR$4&lt;&gt;BQ$4))*BQ26</f>
        <v>25498.716295092792</v>
      </c>
      <c r="BS26" s="7">
        <f>(1+INDEX('Inputs &amp; Drivers'!$J$52:$J$62,MATCH(Model!BS$4,'Inputs &amp; Drivers'!$B$52:$B$62,0))*(BS$4&lt;&gt;BR$4))*BR26</f>
        <v>25498.716295092792</v>
      </c>
      <c r="BT26" s="7">
        <f>(1+INDEX('Inputs &amp; Drivers'!$J$52:$J$62,MATCH(Model!BT$4,'Inputs &amp; Drivers'!$B$52:$B$62,0))*(BT$4&lt;&gt;BS$4))*BS26</f>
        <v>25498.716295092792</v>
      </c>
      <c r="BU26" s="7">
        <f>(1+INDEX('Inputs &amp; Drivers'!$J$52:$J$62,MATCH(Model!BU$4,'Inputs &amp; Drivers'!$B$52:$B$62,0))*(BU$4&lt;&gt;BT$4))*BT26</f>
        <v>25498.716295092792</v>
      </c>
      <c r="BV26" s="7">
        <f>(1+INDEX('Inputs &amp; Drivers'!$J$52:$J$62,MATCH(Model!BV$4,'Inputs &amp; Drivers'!$B$52:$B$62,0))*(BV$4&lt;&gt;BU$4))*BU26</f>
        <v>25498.716295092792</v>
      </c>
      <c r="BW26" s="7">
        <f>(1+INDEX('Inputs &amp; Drivers'!$J$52:$J$62,MATCH(Model!BW$4,'Inputs &amp; Drivers'!$B$52:$B$62,0))*(BW$4&lt;&gt;BV$4))*BV26</f>
        <v>25498.716295092792</v>
      </c>
      <c r="BX26" s="7">
        <f>(1+INDEX('Inputs &amp; Drivers'!$J$52:$J$62,MATCH(Model!BX$4,'Inputs &amp; Drivers'!$B$52:$B$62,0))*(BX$4&lt;&gt;BW$4))*BW26</f>
        <v>25498.716295092792</v>
      </c>
      <c r="BY26" s="7">
        <f>(1+INDEX('Inputs &amp; Drivers'!$J$52:$J$62,MATCH(Model!BY$4,'Inputs &amp; Drivers'!$B$52:$B$62,0))*(BY$4&lt;&gt;BX$4))*BX26</f>
        <v>25498.716295092792</v>
      </c>
      <c r="BZ26" s="7">
        <f>(1+INDEX('Inputs &amp; Drivers'!$J$52:$J$62,MATCH(Model!BZ$4,'Inputs &amp; Drivers'!$B$52:$B$62,0))*(BZ$4&lt;&gt;BY$4))*BY26</f>
        <v>25498.716295092792</v>
      </c>
      <c r="CA26" s="7">
        <f>(1+INDEX('Inputs &amp; Drivers'!$J$52:$J$62,MATCH(Model!CA$4,'Inputs &amp; Drivers'!$B$52:$B$62,0))*(CA$4&lt;&gt;BZ$4))*BZ26</f>
        <v>25498.716295092792</v>
      </c>
      <c r="CB26" s="7">
        <f>(1+INDEX('Inputs &amp; Drivers'!$J$52:$J$62,MATCH(Model!CB$4,'Inputs &amp; Drivers'!$B$52:$B$62,0))*(CB$4&lt;&gt;CA$4))*CA26</f>
        <v>25498.716295092792</v>
      </c>
      <c r="CC26" s="7">
        <f>(1+INDEX('Inputs &amp; Drivers'!$J$52:$J$62,MATCH(Model!CC$4,'Inputs &amp; Drivers'!$B$52:$B$62,0))*(CC$4&lt;&gt;CB$4))*CB26</f>
        <v>25498.716295092792</v>
      </c>
      <c r="CD26" s="7">
        <f>(1+INDEX('Inputs &amp; Drivers'!$J$52:$J$62,MATCH(Model!CD$4,'Inputs &amp; Drivers'!$B$52:$B$62,0))*(CD$4&lt;&gt;CC$4))*CC26</f>
        <v>26263.677783945575</v>
      </c>
      <c r="CE26" s="7">
        <f>(1+INDEX('Inputs &amp; Drivers'!$J$52:$J$62,MATCH(Model!CE$4,'Inputs &amp; Drivers'!$B$52:$B$62,0))*(CE$4&lt;&gt;CD$4))*CD26</f>
        <v>26263.677783945575</v>
      </c>
      <c r="CF26" s="7">
        <f>(1+INDEX('Inputs &amp; Drivers'!$J$52:$J$62,MATCH(Model!CF$4,'Inputs &amp; Drivers'!$B$52:$B$62,0))*(CF$4&lt;&gt;CE$4))*CE26</f>
        <v>26263.677783945575</v>
      </c>
      <c r="CG26" s="7">
        <f>(1+INDEX('Inputs &amp; Drivers'!$J$52:$J$62,MATCH(Model!CG$4,'Inputs &amp; Drivers'!$B$52:$B$62,0))*(CG$4&lt;&gt;CF$4))*CF26</f>
        <v>26263.677783945575</v>
      </c>
      <c r="CH26" s="7">
        <f>(1+INDEX('Inputs &amp; Drivers'!$J$52:$J$62,MATCH(Model!CH$4,'Inputs &amp; Drivers'!$B$52:$B$62,0))*(CH$4&lt;&gt;CG$4))*CG26</f>
        <v>26263.677783945575</v>
      </c>
      <c r="CI26" s="7">
        <f>(1+INDEX('Inputs &amp; Drivers'!$J$52:$J$62,MATCH(Model!CI$4,'Inputs &amp; Drivers'!$B$52:$B$62,0))*(CI$4&lt;&gt;CH$4))*CH26</f>
        <v>26263.677783945575</v>
      </c>
      <c r="CJ26" s="7">
        <f>(1+INDEX('Inputs &amp; Drivers'!$J$52:$J$62,MATCH(Model!CJ$4,'Inputs &amp; Drivers'!$B$52:$B$62,0))*(CJ$4&lt;&gt;CI$4))*CI26</f>
        <v>26263.677783945575</v>
      </c>
      <c r="CK26" s="7">
        <f>(1+INDEX('Inputs &amp; Drivers'!$J$52:$J$62,MATCH(Model!CK$4,'Inputs &amp; Drivers'!$B$52:$B$62,0))*(CK$4&lt;&gt;CJ$4))*CJ26</f>
        <v>26263.677783945575</v>
      </c>
      <c r="CL26" s="7">
        <f>(1+INDEX('Inputs &amp; Drivers'!$J$52:$J$62,MATCH(Model!CL$4,'Inputs &amp; Drivers'!$B$52:$B$62,0))*(CL$4&lt;&gt;CK$4))*CK26</f>
        <v>26263.677783945575</v>
      </c>
      <c r="CM26" s="7">
        <f>(1+INDEX('Inputs &amp; Drivers'!$J$52:$J$62,MATCH(Model!CM$4,'Inputs &amp; Drivers'!$B$52:$B$62,0))*(CM$4&lt;&gt;CL$4))*CL26</f>
        <v>26263.677783945575</v>
      </c>
      <c r="CN26" s="7">
        <f>(1+INDEX('Inputs &amp; Drivers'!$J$52:$J$62,MATCH(Model!CN$4,'Inputs &amp; Drivers'!$B$52:$B$62,0))*(CN$4&lt;&gt;CM$4))*CM26</f>
        <v>26263.677783945575</v>
      </c>
      <c r="CO26" s="7">
        <f>(1+INDEX('Inputs &amp; Drivers'!$J$52:$J$62,MATCH(Model!CO$4,'Inputs &amp; Drivers'!$B$52:$B$62,0))*(CO$4&lt;&gt;CN$4))*CN26</f>
        <v>26263.677783945575</v>
      </c>
      <c r="CP26" s="7">
        <f>(1+INDEX('Inputs &amp; Drivers'!$J$52:$J$62,MATCH(Model!CP$4,'Inputs &amp; Drivers'!$B$52:$B$62,0))*(CP$4&lt;&gt;CO$4))*CO26</f>
        <v>27051.588117463943</v>
      </c>
      <c r="CQ26" s="7">
        <f>(1+INDEX('Inputs &amp; Drivers'!$J$52:$J$62,MATCH(Model!CQ$4,'Inputs &amp; Drivers'!$B$52:$B$62,0))*(CQ$4&lt;&gt;CP$4))*CP26</f>
        <v>27051.588117463943</v>
      </c>
      <c r="CR26" s="7">
        <f>(1+INDEX('Inputs &amp; Drivers'!$J$52:$J$62,MATCH(Model!CR$4,'Inputs &amp; Drivers'!$B$52:$B$62,0))*(CR$4&lt;&gt;CQ$4))*CQ26</f>
        <v>27051.588117463943</v>
      </c>
      <c r="CS26" s="7">
        <f>(1+INDEX('Inputs &amp; Drivers'!$J$52:$J$62,MATCH(Model!CS$4,'Inputs &amp; Drivers'!$B$52:$B$62,0))*(CS$4&lt;&gt;CR$4))*CR26</f>
        <v>27051.588117463943</v>
      </c>
      <c r="CT26" s="7">
        <f>(1+INDEX('Inputs &amp; Drivers'!$J$52:$J$62,MATCH(Model!CT$4,'Inputs &amp; Drivers'!$B$52:$B$62,0))*(CT$4&lt;&gt;CS$4))*CS26</f>
        <v>27051.588117463943</v>
      </c>
      <c r="CU26" s="7">
        <f>(1+INDEX('Inputs &amp; Drivers'!$J$52:$J$62,MATCH(Model!CU$4,'Inputs &amp; Drivers'!$B$52:$B$62,0))*(CU$4&lt;&gt;CT$4))*CT26</f>
        <v>27051.588117463943</v>
      </c>
      <c r="CV26" s="7">
        <f>(1+INDEX('Inputs &amp; Drivers'!$J$52:$J$62,MATCH(Model!CV$4,'Inputs &amp; Drivers'!$B$52:$B$62,0))*(CV$4&lt;&gt;CU$4))*CU26</f>
        <v>27051.588117463943</v>
      </c>
      <c r="CW26" s="7">
        <f>(1+INDEX('Inputs &amp; Drivers'!$J$52:$J$62,MATCH(Model!CW$4,'Inputs &amp; Drivers'!$B$52:$B$62,0))*(CW$4&lt;&gt;CV$4))*CV26</f>
        <v>27051.588117463943</v>
      </c>
      <c r="CX26" s="7">
        <f>(1+INDEX('Inputs &amp; Drivers'!$J$52:$J$62,MATCH(Model!CX$4,'Inputs &amp; Drivers'!$B$52:$B$62,0))*(CX$4&lt;&gt;CW$4))*CW26</f>
        <v>27051.588117463943</v>
      </c>
      <c r="CY26" s="7">
        <f>(1+INDEX('Inputs &amp; Drivers'!$J$52:$J$62,MATCH(Model!CY$4,'Inputs &amp; Drivers'!$B$52:$B$62,0))*(CY$4&lt;&gt;CX$4))*CX26</f>
        <v>27051.588117463943</v>
      </c>
      <c r="CZ26" s="7">
        <f>(1+INDEX('Inputs &amp; Drivers'!$J$52:$J$62,MATCH(Model!CZ$4,'Inputs &amp; Drivers'!$B$52:$B$62,0))*(CZ$4&lt;&gt;CY$4))*CY26</f>
        <v>27051.588117463943</v>
      </c>
      <c r="DA26" s="7">
        <f>(1+INDEX('Inputs &amp; Drivers'!$J$52:$J$62,MATCH(Model!DA$4,'Inputs &amp; Drivers'!$B$52:$B$62,0))*(DA$4&lt;&gt;CZ$4))*CZ26</f>
        <v>27051.588117463943</v>
      </c>
      <c r="DB26" s="7">
        <f>(1+INDEX('Inputs &amp; Drivers'!$J$52:$J$62,MATCH(Model!DB$4,'Inputs &amp; Drivers'!$B$52:$B$62,0))*(DB$4&lt;&gt;DA$4))*DA26</f>
        <v>27863.135760987861</v>
      </c>
      <c r="DC26" s="7">
        <f>(1+INDEX('Inputs &amp; Drivers'!$J$52:$J$62,MATCH(Model!DC$4,'Inputs &amp; Drivers'!$B$52:$B$62,0))*(DC$4&lt;&gt;DB$4))*DB26</f>
        <v>27863.135760987861</v>
      </c>
      <c r="DD26" s="7">
        <f>(1+INDEX('Inputs &amp; Drivers'!$J$52:$J$62,MATCH(Model!DD$4,'Inputs &amp; Drivers'!$B$52:$B$62,0))*(DD$4&lt;&gt;DC$4))*DC26</f>
        <v>27863.135760987861</v>
      </c>
      <c r="DE26" s="7">
        <f>(1+INDEX('Inputs &amp; Drivers'!$J$52:$J$62,MATCH(Model!DE$4,'Inputs &amp; Drivers'!$B$52:$B$62,0))*(DE$4&lt;&gt;DD$4))*DD26</f>
        <v>27863.135760987861</v>
      </c>
      <c r="DF26" s="7">
        <f>(1+INDEX('Inputs &amp; Drivers'!$J$52:$J$62,MATCH(Model!DF$4,'Inputs &amp; Drivers'!$B$52:$B$62,0))*(DF$4&lt;&gt;DE$4))*DE26</f>
        <v>27863.135760987861</v>
      </c>
      <c r="DG26" s="7">
        <f>(1+INDEX('Inputs &amp; Drivers'!$J$52:$J$62,MATCH(Model!DG$4,'Inputs &amp; Drivers'!$B$52:$B$62,0))*(DG$4&lt;&gt;DF$4))*DF26</f>
        <v>27863.135760987861</v>
      </c>
      <c r="DH26" s="7">
        <f>(1+INDEX('Inputs &amp; Drivers'!$J$52:$J$62,MATCH(Model!DH$4,'Inputs &amp; Drivers'!$B$52:$B$62,0))*(DH$4&lt;&gt;DG$4))*DG26</f>
        <v>27863.135760987861</v>
      </c>
      <c r="DI26" s="7">
        <f>(1+INDEX('Inputs &amp; Drivers'!$J$52:$J$62,MATCH(Model!DI$4,'Inputs &amp; Drivers'!$B$52:$B$62,0))*(DI$4&lt;&gt;DH$4))*DH26</f>
        <v>27863.135760987861</v>
      </c>
      <c r="DJ26" s="7">
        <f>(1+INDEX('Inputs &amp; Drivers'!$J$52:$J$62,MATCH(Model!DJ$4,'Inputs &amp; Drivers'!$B$52:$B$62,0))*(DJ$4&lt;&gt;DI$4))*DI26</f>
        <v>27863.135760987861</v>
      </c>
      <c r="DK26" s="7">
        <f>(1+INDEX('Inputs &amp; Drivers'!$J$52:$J$62,MATCH(Model!DK$4,'Inputs &amp; Drivers'!$B$52:$B$62,0))*(DK$4&lt;&gt;DJ$4))*DJ26</f>
        <v>27863.135760987861</v>
      </c>
      <c r="DL26" s="7">
        <f>(1+INDEX('Inputs &amp; Drivers'!$J$52:$J$62,MATCH(Model!DL$4,'Inputs &amp; Drivers'!$B$52:$B$62,0))*(DL$4&lt;&gt;DK$4))*DK26</f>
        <v>27863.135760987861</v>
      </c>
      <c r="DM26" s="7">
        <f>(1+INDEX('Inputs &amp; Drivers'!$J$52:$J$62,MATCH(Model!DM$4,'Inputs &amp; Drivers'!$B$52:$B$62,0))*(DM$4&lt;&gt;DL$4))*DL26</f>
        <v>27863.135760987861</v>
      </c>
      <c r="DN26" s="7">
        <f>(1+INDEX('Inputs &amp; Drivers'!$J$52:$J$62,MATCH(Model!DN$4,'Inputs &amp; Drivers'!$B$52:$B$62,0))*(DN$4&lt;&gt;DM$4))*DM26</f>
        <v>28699.029833817498</v>
      </c>
      <c r="DO26" s="7">
        <f>(1+INDEX('Inputs &amp; Drivers'!$J$52:$J$62,MATCH(Model!DO$4,'Inputs &amp; Drivers'!$B$52:$B$62,0))*(DO$4&lt;&gt;DN$4))*DN26</f>
        <v>28699.029833817498</v>
      </c>
      <c r="DP26" s="7">
        <f>(1+INDEX('Inputs &amp; Drivers'!$J$52:$J$62,MATCH(Model!DP$4,'Inputs &amp; Drivers'!$B$52:$B$62,0))*(DP$4&lt;&gt;DO$4))*DO26</f>
        <v>28699.029833817498</v>
      </c>
      <c r="DQ26" s="7">
        <f>(1+INDEX('Inputs &amp; Drivers'!$J$52:$J$62,MATCH(Model!DQ$4,'Inputs &amp; Drivers'!$B$52:$B$62,0))*(DQ$4&lt;&gt;DP$4))*DP26</f>
        <v>28699.029833817498</v>
      </c>
      <c r="DR26" s="7">
        <f>(1+INDEX('Inputs &amp; Drivers'!$J$52:$J$62,MATCH(Model!DR$4,'Inputs &amp; Drivers'!$B$52:$B$62,0))*(DR$4&lt;&gt;DQ$4))*DQ26</f>
        <v>28699.029833817498</v>
      </c>
      <c r="DS26" s="7">
        <f>(1+INDEX('Inputs &amp; Drivers'!$J$52:$J$62,MATCH(Model!DS$4,'Inputs &amp; Drivers'!$B$52:$B$62,0))*(DS$4&lt;&gt;DR$4))*DR26</f>
        <v>28699.029833817498</v>
      </c>
      <c r="DT26" s="7">
        <f>(1+INDEX('Inputs &amp; Drivers'!$J$52:$J$62,MATCH(Model!DT$4,'Inputs &amp; Drivers'!$B$52:$B$62,0))*(DT$4&lt;&gt;DS$4))*DS26</f>
        <v>28699.029833817498</v>
      </c>
      <c r="DU26" s="7">
        <f>(1+INDEX('Inputs &amp; Drivers'!$J$52:$J$62,MATCH(Model!DU$4,'Inputs &amp; Drivers'!$B$52:$B$62,0))*(DU$4&lt;&gt;DT$4))*DT26</f>
        <v>28699.029833817498</v>
      </c>
      <c r="DV26" s="7">
        <f>(1+INDEX('Inputs &amp; Drivers'!$J$52:$J$62,MATCH(Model!DV$4,'Inputs &amp; Drivers'!$B$52:$B$62,0))*(DV$4&lt;&gt;DU$4))*DU26</f>
        <v>28699.029833817498</v>
      </c>
      <c r="DW26" s="7">
        <f>(1+INDEX('Inputs &amp; Drivers'!$J$52:$J$62,MATCH(Model!DW$4,'Inputs &amp; Drivers'!$B$52:$B$62,0))*(DW$4&lt;&gt;DV$4))*DV26</f>
        <v>28699.029833817498</v>
      </c>
      <c r="DX26" s="7">
        <f>(1+INDEX('Inputs &amp; Drivers'!$J$52:$J$62,MATCH(Model!DX$4,'Inputs &amp; Drivers'!$B$52:$B$62,0))*(DX$4&lt;&gt;DW$4))*DW26</f>
        <v>28699.029833817498</v>
      </c>
      <c r="DY26" s="7">
        <f>(1+INDEX('Inputs &amp; Drivers'!$J$52:$J$62,MATCH(Model!DY$4,'Inputs &amp; Drivers'!$B$52:$B$62,0))*(DY$4&lt;&gt;DX$4))*DX26</f>
        <v>28699.029833817498</v>
      </c>
      <c r="DZ26" s="7">
        <f>(1+INDEX('Inputs &amp; Drivers'!$J$52:$J$62,MATCH(Model!DZ$4,'Inputs &amp; Drivers'!$B$52:$B$62,0))*(DZ$4&lt;&gt;DY$4))*DY26</f>
        <v>29560.000728832023</v>
      </c>
      <c r="EA26" s="7">
        <f>(1+INDEX('Inputs &amp; Drivers'!$J$52:$J$62,MATCH(Model!EA$4,'Inputs &amp; Drivers'!$B$52:$B$62,0))*(EA$4&lt;&gt;DZ$4))*DZ26</f>
        <v>29560.000728832023</v>
      </c>
      <c r="EB26" s="7">
        <f>(1+INDEX('Inputs &amp; Drivers'!$J$52:$J$62,MATCH(Model!EB$4,'Inputs &amp; Drivers'!$B$52:$B$62,0))*(EB$4&lt;&gt;EA$4))*EA26</f>
        <v>29560.000728832023</v>
      </c>
      <c r="EC26" s="7">
        <f>(1+INDEX('Inputs &amp; Drivers'!$J$52:$J$62,MATCH(Model!EC$4,'Inputs &amp; Drivers'!$B$52:$B$62,0))*(EC$4&lt;&gt;EB$4))*EB26</f>
        <v>29560.000728832023</v>
      </c>
      <c r="ED26" s="7">
        <f>(1+INDEX('Inputs &amp; Drivers'!$J$52:$J$62,MATCH(Model!ED$4,'Inputs &amp; Drivers'!$B$52:$B$62,0))*(ED$4&lt;&gt;EC$4))*EC26</f>
        <v>29560.000728832023</v>
      </c>
      <c r="EE26" s="7">
        <f>(1+INDEX('Inputs &amp; Drivers'!$J$52:$J$62,MATCH(Model!EE$4,'Inputs &amp; Drivers'!$B$52:$B$62,0))*(EE$4&lt;&gt;ED$4))*ED26</f>
        <v>29560.000728832023</v>
      </c>
      <c r="EF26" s="7">
        <f>(1+INDEX('Inputs &amp; Drivers'!$J$52:$J$62,MATCH(Model!EF$4,'Inputs &amp; Drivers'!$B$52:$B$62,0))*(EF$4&lt;&gt;EE$4))*EE26</f>
        <v>29560.000728832023</v>
      </c>
      <c r="EG26" s="7">
        <f>(1+INDEX('Inputs &amp; Drivers'!$J$52:$J$62,MATCH(Model!EG$4,'Inputs &amp; Drivers'!$B$52:$B$62,0))*(EG$4&lt;&gt;EF$4))*EF26</f>
        <v>29560.000728832023</v>
      </c>
      <c r="EH26" s="7">
        <f>(1+INDEX('Inputs &amp; Drivers'!$J$52:$J$62,MATCH(Model!EH$4,'Inputs &amp; Drivers'!$B$52:$B$62,0))*(EH$4&lt;&gt;EG$4))*EG26</f>
        <v>29560.000728832023</v>
      </c>
      <c r="EI26" s="7">
        <f>(1+INDEX('Inputs &amp; Drivers'!$J$52:$J$62,MATCH(Model!EI$4,'Inputs &amp; Drivers'!$B$52:$B$62,0))*(EI$4&lt;&gt;EH$4))*EH26</f>
        <v>29560.000728832023</v>
      </c>
      <c r="EJ26" s="7">
        <f>(1+INDEX('Inputs &amp; Drivers'!$J$52:$J$62,MATCH(Model!EJ$4,'Inputs &amp; Drivers'!$B$52:$B$62,0))*(EJ$4&lt;&gt;EI$4))*EI26</f>
        <v>29560.000728832023</v>
      </c>
      <c r="EK26" s="7">
        <f>(1+INDEX('Inputs &amp; Drivers'!$J$52:$J$62,MATCH(Model!EK$4,'Inputs &amp; Drivers'!$B$52:$B$62,0))*(EK$4&lt;&gt;EJ$4))*EJ26</f>
        <v>29560.000728832023</v>
      </c>
      <c r="EM26" s="109">
        <f t="shared" si="381"/>
        <v>0</v>
      </c>
      <c r="EN26" s="109">
        <f t="shared" si="381"/>
        <v>263944.99999999994</v>
      </c>
      <c r="EO26" s="109">
        <f t="shared" si="381"/>
        <v>271863.35000000003</v>
      </c>
      <c r="EP26" s="109">
        <f t="shared" si="381"/>
        <v>280019.25050000002</v>
      </c>
      <c r="EQ26" s="109">
        <f t="shared" si="381"/>
        <v>288419.82801499992</v>
      </c>
      <c r="ER26" s="109">
        <f t="shared" si="381"/>
        <v>297072.42285545002</v>
      </c>
      <c r="ES26" s="109">
        <f t="shared" si="381"/>
        <v>305984.59554111352</v>
      </c>
      <c r="ET26" s="109">
        <f t="shared" si="381"/>
        <v>315164.1334073469</v>
      </c>
      <c r="EU26" s="109">
        <f t="shared" si="381"/>
        <v>324619.05740956729</v>
      </c>
      <c r="EV26" s="109">
        <f t="shared" si="381"/>
        <v>334357.62913185445</v>
      </c>
      <c r="EW26" s="109">
        <f t="shared" si="381"/>
        <v>344388.35800581001</v>
      </c>
      <c r="EX26" s="109">
        <f t="shared" si="381"/>
        <v>354720.00874598435</v>
      </c>
    </row>
    <row r="27" spans="2:154" x14ac:dyDescent="0.3">
      <c r="B27" s="8" t="s">
        <v>20</v>
      </c>
      <c r="C27" s="3"/>
      <c r="D27" s="3"/>
      <c r="E27" s="10">
        <f>SUM(E25:E26)</f>
        <v>377996</v>
      </c>
      <c r="F27" s="10">
        <f>SUM(F25:F26)</f>
        <v>363660.74</v>
      </c>
      <c r="G27" s="3"/>
      <c r="H27" s="3"/>
      <c r="I27" s="3"/>
      <c r="J27" s="10">
        <f t="shared" ref="J27:L27" si="382">SUM(J25:J26)</f>
        <v>30305.061666666668</v>
      </c>
      <c r="K27" s="10">
        <f t="shared" si="382"/>
        <v>30305.061666666668</v>
      </c>
      <c r="L27" s="10">
        <f t="shared" si="382"/>
        <v>30305.061666666668</v>
      </c>
      <c r="M27" s="10">
        <f t="shared" ref="M27" si="383">SUM(M25:M26)</f>
        <v>30305.061666666668</v>
      </c>
      <c r="N27" s="10">
        <f t="shared" ref="N27" si="384">SUM(N25:N26)</f>
        <v>30305.061666666668</v>
      </c>
      <c r="O27" s="10">
        <f t="shared" ref="O27" si="385">SUM(O25:O26)</f>
        <v>30305.061666666668</v>
      </c>
      <c r="P27" s="10">
        <f t="shared" ref="P27" si="386">SUM(P25:P26)</f>
        <v>30305.061666666668</v>
      </c>
      <c r="Q27" s="10">
        <f t="shared" ref="Q27" si="387">SUM(Q25:Q26)</f>
        <v>30305.061666666668</v>
      </c>
      <c r="R27" s="10">
        <f t="shared" ref="R27" si="388">SUM(R25:R26)</f>
        <v>30305.061666666668</v>
      </c>
      <c r="S27" s="10">
        <f t="shared" ref="S27" si="389">SUM(S25:S26)</f>
        <v>30305.061666666668</v>
      </c>
      <c r="T27" s="10">
        <f t="shared" ref="T27" si="390">SUM(T25:T26)</f>
        <v>30305.061666666668</v>
      </c>
      <c r="U27" s="10">
        <f t="shared" ref="U27" si="391">SUM(U25:U26)</f>
        <v>30305.061666666668</v>
      </c>
      <c r="V27" s="10">
        <f t="shared" ref="V27" si="392">SUM(V25:V26)</f>
        <v>31214.21351666667</v>
      </c>
      <c r="W27" s="10">
        <f t="shared" ref="W27" si="393">SUM(W25:W26)</f>
        <v>31214.21351666667</v>
      </c>
      <c r="X27" s="10">
        <f t="shared" ref="X27" si="394">SUM(X25:X26)</f>
        <v>31214.21351666667</v>
      </c>
      <c r="Y27" s="10">
        <f t="shared" ref="Y27" si="395">SUM(Y25:Y26)</f>
        <v>31214.21351666667</v>
      </c>
      <c r="Z27" s="10">
        <f t="shared" ref="Z27" si="396">SUM(Z25:Z26)</f>
        <v>31214.21351666667</v>
      </c>
      <c r="AA27" s="10">
        <f t="shared" ref="AA27" si="397">SUM(AA25:AA26)</f>
        <v>31214.21351666667</v>
      </c>
      <c r="AB27" s="10">
        <f t="shared" ref="AB27" si="398">SUM(AB25:AB26)</f>
        <v>31214.21351666667</v>
      </c>
      <c r="AC27" s="10">
        <f t="shared" ref="AC27" si="399">SUM(AC25:AC26)</f>
        <v>31214.21351666667</v>
      </c>
      <c r="AD27" s="10">
        <f t="shared" ref="AD27" si="400">SUM(AD25:AD26)</f>
        <v>31214.21351666667</v>
      </c>
      <c r="AE27" s="10">
        <f t="shared" ref="AE27" si="401">SUM(AE25:AE26)</f>
        <v>31214.21351666667</v>
      </c>
      <c r="AF27" s="10">
        <f t="shared" ref="AF27" si="402">SUM(AF25:AF26)</f>
        <v>31214.21351666667</v>
      </c>
      <c r="AG27" s="10">
        <f t="shared" ref="AG27" si="403">SUM(AG25:AG26)</f>
        <v>31214.21351666667</v>
      </c>
      <c r="AH27" s="10">
        <f t="shared" ref="AH27" si="404">SUM(AH25:AH26)</f>
        <v>32150.639922166665</v>
      </c>
      <c r="AI27" s="10">
        <f t="shared" ref="AI27" si="405">SUM(AI25:AI26)</f>
        <v>32150.639922166665</v>
      </c>
      <c r="AJ27" s="10">
        <f t="shared" ref="AJ27" si="406">SUM(AJ25:AJ26)</f>
        <v>32150.639922166665</v>
      </c>
      <c r="AK27" s="10">
        <f t="shared" ref="AK27" si="407">SUM(AK25:AK26)</f>
        <v>32150.639922166665</v>
      </c>
      <c r="AL27" s="10">
        <f t="shared" ref="AL27" si="408">SUM(AL25:AL26)</f>
        <v>32150.639922166665</v>
      </c>
      <c r="AM27" s="10">
        <f t="shared" ref="AM27" si="409">SUM(AM25:AM26)</f>
        <v>32150.639922166665</v>
      </c>
      <c r="AN27" s="10">
        <f t="shared" ref="AN27" si="410">SUM(AN25:AN26)</f>
        <v>32150.639922166665</v>
      </c>
      <c r="AO27" s="10">
        <f t="shared" ref="AO27" si="411">SUM(AO25:AO26)</f>
        <v>32150.639922166665</v>
      </c>
      <c r="AP27" s="10">
        <f t="shared" ref="AP27" si="412">SUM(AP25:AP26)</f>
        <v>32150.639922166665</v>
      </c>
      <c r="AQ27" s="10">
        <f t="shared" ref="AQ27" si="413">SUM(AQ25:AQ26)</f>
        <v>32150.639922166665</v>
      </c>
      <c r="AR27" s="10">
        <f t="shared" ref="AR27" si="414">SUM(AR25:AR26)</f>
        <v>32150.639922166665</v>
      </c>
      <c r="AS27" s="10">
        <f t="shared" ref="AS27" si="415">SUM(AS25:AS26)</f>
        <v>32150.639922166665</v>
      </c>
      <c r="AT27" s="10">
        <f t="shared" ref="AT27" si="416">SUM(AT25:AT26)</f>
        <v>33115.159119831667</v>
      </c>
      <c r="AU27" s="10">
        <f t="shared" ref="AU27" si="417">SUM(AU25:AU26)</f>
        <v>33115.159119831667</v>
      </c>
      <c r="AV27" s="10">
        <f t="shared" ref="AV27" si="418">SUM(AV25:AV26)</f>
        <v>33115.159119831667</v>
      </c>
      <c r="AW27" s="10">
        <f t="shared" ref="AW27" si="419">SUM(AW25:AW26)</f>
        <v>33115.159119831667</v>
      </c>
      <c r="AX27" s="10">
        <f t="shared" ref="AX27" si="420">SUM(AX25:AX26)</f>
        <v>33115.159119831667</v>
      </c>
      <c r="AY27" s="10">
        <f t="shared" ref="AY27" si="421">SUM(AY25:AY26)</f>
        <v>33115.159119831667</v>
      </c>
      <c r="AZ27" s="10">
        <f t="shared" ref="AZ27" si="422">SUM(AZ25:AZ26)</f>
        <v>33115.159119831667</v>
      </c>
      <c r="BA27" s="10">
        <f t="shared" ref="BA27" si="423">SUM(BA25:BA26)</f>
        <v>33115.159119831667</v>
      </c>
      <c r="BB27" s="10">
        <f t="shared" ref="BB27" si="424">SUM(BB25:BB26)</f>
        <v>33115.159119831667</v>
      </c>
      <c r="BC27" s="10">
        <f t="shared" ref="BC27" si="425">SUM(BC25:BC26)</f>
        <v>33115.159119831667</v>
      </c>
      <c r="BD27" s="10">
        <f t="shared" ref="BD27" si="426">SUM(BD25:BD26)</f>
        <v>33115.159119831667</v>
      </c>
      <c r="BE27" s="10">
        <f t="shared" ref="BE27" si="427">SUM(BE25:BE26)</f>
        <v>33115.159119831667</v>
      </c>
      <c r="BF27" s="10">
        <f t="shared" ref="BF27" si="428">SUM(BF25:BF26)</f>
        <v>34108.61389342662</v>
      </c>
      <c r="BG27" s="10">
        <f t="shared" ref="BG27" si="429">SUM(BG25:BG26)</f>
        <v>34108.61389342662</v>
      </c>
      <c r="BH27" s="10">
        <f t="shared" ref="BH27" si="430">SUM(BH25:BH26)</f>
        <v>34108.61389342662</v>
      </c>
      <c r="BI27" s="10">
        <f t="shared" ref="BI27" si="431">SUM(BI25:BI26)</f>
        <v>34108.61389342662</v>
      </c>
      <c r="BJ27" s="10">
        <f t="shared" ref="BJ27" si="432">SUM(BJ25:BJ26)</f>
        <v>34108.61389342662</v>
      </c>
      <c r="BK27" s="10">
        <f t="shared" ref="BK27" si="433">SUM(BK25:BK26)</f>
        <v>34108.61389342662</v>
      </c>
      <c r="BL27" s="10">
        <f t="shared" ref="BL27" si="434">SUM(BL25:BL26)</f>
        <v>34108.61389342662</v>
      </c>
      <c r="BM27" s="10">
        <f t="shared" ref="BM27" si="435">SUM(BM25:BM26)</f>
        <v>34108.61389342662</v>
      </c>
      <c r="BN27" s="10">
        <f t="shared" ref="BN27" si="436">SUM(BN25:BN26)</f>
        <v>34108.61389342662</v>
      </c>
      <c r="BO27" s="10">
        <f t="shared" ref="BO27" si="437">SUM(BO25:BO26)</f>
        <v>34108.61389342662</v>
      </c>
      <c r="BP27" s="10">
        <f t="shared" ref="BP27" si="438">SUM(BP25:BP26)</f>
        <v>34108.61389342662</v>
      </c>
      <c r="BQ27" s="10">
        <f t="shared" ref="BQ27" si="439">SUM(BQ25:BQ26)</f>
        <v>34108.61389342662</v>
      </c>
      <c r="BR27" s="10">
        <f t="shared" ref="BR27" si="440">SUM(BR25:BR26)</f>
        <v>35131.872310229417</v>
      </c>
      <c r="BS27" s="10">
        <f t="shared" ref="BS27" si="441">SUM(BS25:BS26)</f>
        <v>35131.872310229417</v>
      </c>
      <c r="BT27" s="10">
        <f t="shared" ref="BT27" si="442">SUM(BT25:BT26)</f>
        <v>35131.872310229417</v>
      </c>
      <c r="BU27" s="10">
        <f t="shared" ref="BU27" si="443">SUM(BU25:BU26)</f>
        <v>35131.872310229417</v>
      </c>
      <c r="BV27" s="10">
        <f t="shared" ref="BV27" si="444">SUM(BV25:BV26)</f>
        <v>35131.872310229417</v>
      </c>
      <c r="BW27" s="10">
        <f t="shared" ref="BW27" si="445">SUM(BW25:BW26)</f>
        <v>35131.872310229417</v>
      </c>
      <c r="BX27" s="10">
        <f t="shared" ref="BX27" si="446">SUM(BX25:BX26)</f>
        <v>35131.872310229417</v>
      </c>
      <c r="BY27" s="10">
        <f t="shared" ref="BY27" si="447">SUM(BY25:BY26)</f>
        <v>35131.872310229417</v>
      </c>
      <c r="BZ27" s="10">
        <f t="shared" ref="BZ27" si="448">SUM(BZ25:BZ26)</f>
        <v>35131.872310229417</v>
      </c>
      <c r="CA27" s="10">
        <f t="shared" ref="CA27" si="449">SUM(CA25:CA26)</f>
        <v>35131.872310229417</v>
      </c>
      <c r="CB27" s="10">
        <f t="shared" ref="CB27" si="450">SUM(CB25:CB26)</f>
        <v>35131.872310229417</v>
      </c>
      <c r="CC27" s="10">
        <f t="shared" ref="CC27" si="451">SUM(CC25:CC26)</f>
        <v>35131.872310229417</v>
      </c>
      <c r="CD27" s="10">
        <f t="shared" ref="CD27" si="452">SUM(CD25:CD26)</f>
        <v>36185.8284795363</v>
      </c>
      <c r="CE27" s="10">
        <f t="shared" ref="CE27" si="453">SUM(CE25:CE26)</f>
        <v>36185.8284795363</v>
      </c>
      <c r="CF27" s="10">
        <f t="shared" ref="CF27" si="454">SUM(CF25:CF26)</f>
        <v>36185.8284795363</v>
      </c>
      <c r="CG27" s="10">
        <f t="shared" ref="CG27" si="455">SUM(CG25:CG26)</f>
        <v>36185.8284795363</v>
      </c>
      <c r="CH27" s="10">
        <f t="shared" ref="CH27" si="456">SUM(CH25:CH26)</f>
        <v>36185.8284795363</v>
      </c>
      <c r="CI27" s="10">
        <f t="shared" ref="CI27" si="457">SUM(CI25:CI26)</f>
        <v>36185.8284795363</v>
      </c>
      <c r="CJ27" s="10">
        <f t="shared" ref="CJ27" si="458">SUM(CJ25:CJ26)</f>
        <v>36185.8284795363</v>
      </c>
      <c r="CK27" s="10">
        <f t="shared" ref="CK27" si="459">SUM(CK25:CK26)</f>
        <v>36185.8284795363</v>
      </c>
      <c r="CL27" s="10">
        <f t="shared" ref="CL27" si="460">SUM(CL25:CL26)</f>
        <v>36185.8284795363</v>
      </c>
      <c r="CM27" s="10">
        <f t="shared" ref="CM27" si="461">SUM(CM25:CM26)</f>
        <v>36185.8284795363</v>
      </c>
      <c r="CN27" s="10">
        <f t="shared" ref="CN27" si="462">SUM(CN25:CN26)</f>
        <v>36185.8284795363</v>
      </c>
      <c r="CO27" s="10">
        <f t="shared" ref="CO27" si="463">SUM(CO25:CO26)</f>
        <v>36185.8284795363</v>
      </c>
      <c r="CP27" s="10">
        <f t="shared" ref="CP27" si="464">SUM(CP25:CP26)</f>
        <v>37271.40333392239</v>
      </c>
      <c r="CQ27" s="10">
        <f t="shared" ref="CQ27" si="465">SUM(CQ25:CQ26)</f>
        <v>37271.40333392239</v>
      </c>
      <c r="CR27" s="10">
        <f t="shared" ref="CR27" si="466">SUM(CR25:CR26)</f>
        <v>37271.40333392239</v>
      </c>
      <c r="CS27" s="10">
        <f t="shared" ref="CS27" si="467">SUM(CS25:CS26)</f>
        <v>37271.40333392239</v>
      </c>
      <c r="CT27" s="10">
        <f t="shared" ref="CT27" si="468">SUM(CT25:CT26)</f>
        <v>37271.40333392239</v>
      </c>
      <c r="CU27" s="10">
        <f t="shared" ref="CU27" si="469">SUM(CU25:CU26)</f>
        <v>37271.40333392239</v>
      </c>
      <c r="CV27" s="10">
        <f t="shared" ref="CV27" si="470">SUM(CV25:CV26)</f>
        <v>37271.40333392239</v>
      </c>
      <c r="CW27" s="10">
        <f t="shared" ref="CW27" si="471">SUM(CW25:CW26)</f>
        <v>37271.40333392239</v>
      </c>
      <c r="CX27" s="10">
        <f t="shared" ref="CX27" si="472">SUM(CX25:CX26)</f>
        <v>37271.40333392239</v>
      </c>
      <c r="CY27" s="10">
        <f t="shared" ref="CY27" si="473">SUM(CY25:CY26)</f>
        <v>37271.40333392239</v>
      </c>
      <c r="CZ27" s="10">
        <f t="shared" ref="CZ27" si="474">SUM(CZ25:CZ26)</f>
        <v>37271.40333392239</v>
      </c>
      <c r="DA27" s="10">
        <f t="shared" ref="DA27" si="475">SUM(DA25:DA26)</f>
        <v>37271.40333392239</v>
      </c>
      <c r="DB27" s="10">
        <f t="shared" ref="DB27" si="476">SUM(DB25:DB26)</f>
        <v>38389.54543394006</v>
      </c>
      <c r="DC27" s="10">
        <f t="shared" ref="DC27" si="477">SUM(DC25:DC26)</f>
        <v>38389.54543394006</v>
      </c>
      <c r="DD27" s="10">
        <f t="shared" ref="DD27" si="478">SUM(DD25:DD26)</f>
        <v>38389.54543394006</v>
      </c>
      <c r="DE27" s="10">
        <f t="shared" ref="DE27" si="479">SUM(DE25:DE26)</f>
        <v>38389.54543394006</v>
      </c>
      <c r="DF27" s="10">
        <f t="shared" ref="DF27" si="480">SUM(DF25:DF26)</f>
        <v>38389.54543394006</v>
      </c>
      <c r="DG27" s="10">
        <f t="shared" ref="DG27" si="481">SUM(DG25:DG26)</f>
        <v>38389.54543394006</v>
      </c>
      <c r="DH27" s="10">
        <f t="shared" ref="DH27" si="482">SUM(DH25:DH26)</f>
        <v>38389.54543394006</v>
      </c>
      <c r="DI27" s="10">
        <f t="shared" ref="DI27" si="483">SUM(DI25:DI26)</f>
        <v>38389.54543394006</v>
      </c>
      <c r="DJ27" s="10">
        <f t="shared" ref="DJ27" si="484">SUM(DJ25:DJ26)</f>
        <v>38389.54543394006</v>
      </c>
      <c r="DK27" s="10">
        <f t="shared" ref="DK27" si="485">SUM(DK25:DK26)</f>
        <v>38389.54543394006</v>
      </c>
      <c r="DL27" s="10">
        <f t="shared" ref="DL27" si="486">SUM(DL25:DL26)</f>
        <v>38389.54543394006</v>
      </c>
      <c r="DM27" s="10">
        <f t="shared" ref="DM27" si="487">SUM(DM25:DM26)</f>
        <v>38389.54543394006</v>
      </c>
      <c r="DN27" s="10">
        <f t="shared" ref="DN27" si="488">SUM(DN25:DN26)</f>
        <v>39541.231796958265</v>
      </c>
      <c r="DO27" s="10">
        <f t="shared" ref="DO27" si="489">SUM(DO25:DO26)</f>
        <v>39541.231796958265</v>
      </c>
      <c r="DP27" s="10">
        <f t="shared" ref="DP27" si="490">SUM(DP25:DP26)</f>
        <v>39541.231796958265</v>
      </c>
      <c r="DQ27" s="10">
        <f t="shared" ref="DQ27" si="491">SUM(DQ25:DQ26)</f>
        <v>39541.231796958265</v>
      </c>
      <c r="DR27" s="10">
        <f t="shared" ref="DR27" si="492">SUM(DR25:DR26)</f>
        <v>39541.231796958265</v>
      </c>
      <c r="DS27" s="10">
        <f t="shared" ref="DS27" si="493">SUM(DS25:DS26)</f>
        <v>39541.231796958265</v>
      </c>
      <c r="DT27" s="10">
        <f t="shared" ref="DT27" si="494">SUM(DT25:DT26)</f>
        <v>39541.231796958265</v>
      </c>
      <c r="DU27" s="10">
        <f t="shared" ref="DU27" si="495">SUM(DU25:DU26)</f>
        <v>39541.231796958265</v>
      </c>
      <c r="DV27" s="10">
        <f t="shared" ref="DV27" si="496">SUM(DV25:DV26)</f>
        <v>39541.231796958265</v>
      </c>
      <c r="DW27" s="10">
        <f t="shared" ref="DW27" si="497">SUM(DW25:DW26)</f>
        <v>39541.231796958265</v>
      </c>
      <c r="DX27" s="10">
        <f t="shared" ref="DX27" si="498">SUM(DX25:DX26)</f>
        <v>39541.231796958265</v>
      </c>
      <c r="DY27" s="10">
        <f t="shared" ref="DY27" si="499">SUM(DY25:DY26)</f>
        <v>39541.231796958265</v>
      </c>
      <c r="DZ27" s="10">
        <f t="shared" ref="DZ27" si="500">SUM(DZ25:DZ26)</f>
        <v>40727.468750867018</v>
      </c>
      <c r="EA27" s="10">
        <f t="shared" ref="EA27" si="501">SUM(EA25:EA26)</f>
        <v>40727.468750867018</v>
      </c>
      <c r="EB27" s="10">
        <f t="shared" ref="EB27" si="502">SUM(EB25:EB26)</f>
        <v>40727.468750867018</v>
      </c>
      <c r="EC27" s="10">
        <f t="shared" ref="EC27" si="503">SUM(EC25:EC26)</f>
        <v>40727.468750867018</v>
      </c>
      <c r="ED27" s="10">
        <f t="shared" ref="ED27" si="504">SUM(ED25:ED26)</f>
        <v>40727.468750867018</v>
      </c>
      <c r="EE27" s="10">
        <f t="shared" ref="EE27" si="505">SUM(EE25:EE26)</f>
        <v>40727.468750867018</v>
      </c>
      <c r="EF27" s="10">
        <f t="shared" ref="EF27" si="506">SUM(EF25:EF26)</f>
        <v>40727.468750867018</v>
      </c>
      <c r="EG27" s="10">
        <f t="shared" ref="EG27" si="507">SUM(EG25:EG26)</f>
        <v>40727.468750867018</v>
      </c>
      <c r="EH27" s="10">
        <f t="shared" ref="EH27" si="508">SUM(EH25:EH26)</f>
        <v>40727.468750867018</v>
      </c>
      <c r="EI27" s="10">
        <f t="shared" ref="EI27" si="509">SUM(EI25:EI26)</f>
        <v>40727.468750867018</v>
      </c>
      <c r="EJ27" s="10">
        <f t="shared" ref="EJ27" si="510">SUM(EJ25:EJ26)</f>
        <v>40727.468750867018</v>
      </c>
      <c r="EK27" s="10">
        <f t="shared" ref="EK27:EX27" si="511">SUM(EK25:EK26)</f>
        <v>40727.468750867018</v>
      </c>
      <c r="EM27" s="10">
        <f t="shared" si="511"/>
        <v>0</v>
      </c>
      <c r="EN27" s="10">
        <f t="shared" si="511"/>
        <v>363660.74</v>
      </c>
      <c r="EO27" s="10">
        <f t="shared" si="511"/>
        <v>374570.56220000004</v>
      </c>
      <c r="EP27" s="10">
        <f t="shared" si="511"/>
        <v>385807.67906600004</v>
      </c>
      <c r="EQ27" s="10">
        <f t="shared" si="511"/>
        <v>397381.90943797998</v>
      </c>
      <c r="ER27" s="10">
        <f t="shared" si="511"/>
        <v>409303.36672111938</v>
      </c>
      <c r="ES27" s="10">
        <f t="shared" si="511"/>
        <v>421582.46772275306</v>
      </c>
      <c r="ET27" s="10">
        <f t="shared" si="511"/>
        <v>434229.9417544356</v>
      </c>
      <c r="EU27" s="10">
        <f t="shared" si="511"/>
        <v>447256.84000706865</v>
      </c>
      <c r="EV27" s="10">
        <f t="shared" si="511"/>
        <v>460674.54520728084</v>
      </c>
      <c r="EW27" s="10">
        <f t="shared" si="511"/>
        <v>474494.78156349924</v>
      </c>
      <c r="EX27" s="10">
        <f t="shared" si="511"/>
        <v>488729.62501040427</v>
      </c>
    </row>
    <row r="28" spans="2:154" x14ac:dyDescent="0.3">
      <c r="E28" s="23"/>
      <c r="F28" s="23"/>
    </row>
    <row r="29" spans="2:154" x14ac:dyDescent="0.3">
      <c r="B29" s="2" t="s">
        <v>21</v>
      </c>
      <c r="E29" s="24">
        <f>E19+E27</f>
        <v>5846500.7600000007</v>
      </c>
      <c r="F29" s="24">
        <f>F19+F27</f>
        <v>5873969.1000000015</v>
      </c>
      <c r="J29" s="100">
        <f t="shared" ref="J29:AO29" si="512">J19+J27</f>
        <v>494631.92533333338</v>
      </c>
      <c r="K29" s="100">
        <f t="shared" si="512"/>
        <v>494631.92533333338</v>
      </c>
      <c r="L29" s="100">
        <f t="shared" si="512"/>
        <v>495809.43479121441</v>
      </c>
      <c r="M29" s="100">
        <f t="shared" si="512"/>
        <v>496986.9442490954</v>
      </c>
      <c r="N29" s="100">
        <f t="shared" si="512"/>
        <v>498164.45370697632</v>
      </c>
      <c r="O29" s="100">
        <f t="shared" si="512"/>
        <v>499341.96316485736</v>
      </c>
      <c r="P29" s="100">
        <f t="shared" si="512"/>
        <v>500519.47262273839</v>
      </c>
      <c r="Q29" s="100">
        <f t="shared" si="512"/>
        <v>501696.98208061932</v>
      </c>
      <c r="R29" s="100">
        <f t="shared" si="512"/>
        <v>502874.49153850024</v>
      </c>
      <c r="S29" s="100">
        <f t="shared" si="512"/>
        <v>504052.00099638128</v>
      </c>
      <c r="T29" s="100">
        <f t="shared" si="512"/>
        <v>505229.5104542622</v>
      </c>
      <c r="U29" s="100">
        <f t="shared" si="512"/>
        <v>506407.01991214318</v>
      </c>
      <c r="V29" s="100">
        <f t="shared" si="512"/>
        <v>514945.06413002423</v>
      </c>
      <c r="W29" s="100">
        <f t="shared" si="512"/>
        <v>517312.18196476344</v>
      </c>
      <c r="X29" s="100">
        <f t="shared" si="512"/>
        <v>519682.24126836163</v>
      </c>
      <c r="Y29" s="100">
        <f t="shared" si="512"/>
        <v>522055.24939449073</v>
      </c>
      <c r="Z29" s="100">
        <f t="shared" si="512"/>
        <v>524431.21371520706</v>
      </c>
      <c r="AA29" s="100">
        <f t="shared" si="512"/>
        <v>526810.14162099722</v>
      </c>
      <c r="AB29" s="100">
        <f t="shared" si="512"/>
        <v>529192.04052082368</v>
      </c>
      <c r="AC29" s="100">
        <f t="shared" si="512"/>
        <v>531576.91784217185</v>
      </c>
      <c r="AD29" s="100">
        <f t="shared" si="512"/>
        <v>533964.78103109519</v>
      </c>
      <c r="AE29" s="100">
        <f t="shared" si="512"/>
        <v>536355.63755226275</v>
      </c>
      <c r="AF29" s="100">
        <f t="shared" si="512"/>
        <v>538749.49488900544</v>
      </c>
      <c r="AG29" s="100">
        <f t="shared" si="512"/>
        <v>541146.36054336186</v>
      </c>
      <c r="AH29" s="100">
        <f t="shared" si="512"/>
        <v>550493.57131996797</v>
      </c>
      <c r="AI29" s="100">
        <f t="shared" si="512"/>
        <v>553332.65996295947</v>
      </c>
      <c r="AJ29" s="100">
        <f t="shared" si="512"/>
        <v>554973.64927313174</v>
      </c>
      <c r="AK29" s="100">
        <f t="shared" si="512"/>
        <v>556620.10854767123</v>
      </c>
      <c r="AL29" s="100">
        <f t="shared" si="512"/>
        <v>558272.05601979245</v>
      </c>
      <c r="AM29" s="100">
        <f t="shared" si="512"/>
        <v>559929.50998348754</v>
      </c>
      <c r="AN29" s="100">
        <f t="shared" si="512"/>
        <v>561592.48879372794</v>
      </c>
      <c r="AO29" s="100">
        <f t="shared" si="512"/>
        <v>563261.01086666959</v>
      </c>
      <c r="AP29" s="100">
        <f t="shared" ref="AP29:BU29" si="513">AP19+AP27</f>
        <v>564935.094679854</v>
      </c>
      <c r="AQ29" s="100">
        <f t="shared" si="513"/>
        <v>566614.75877241592</v>
      </c>
      <c r="AR29" s="100">
        <f t="shared" si="513"/>
        <v>568300.0217452863</v>
      </c>
      <c r="AS29" s="100">
        <f t="shared" si="513"/>
        <v>569990.90226139955</v>
      </c>
      <c r="AT29" s="100">
        <f t="shared" si="513"/>
        <v>572227.8090474396</v>
      </c>
      <c r="AU29" s="100">
        <f t="shared" si="513"/>
        <v>573503.37760478584</v>
      </c>
      <c r="AV29" s="100">
        <f t="shared" si="513"/>
        <v>574782.13508352533</v>
      </c>
      <c r="AW29" s="100">
        <f t="shared" si="513"/>
        <v>576064.08945596183</v>
      </c>
      <c r="AX29" s="100">
        <f t="shared" si="513"/>
        <v>577349.24871432909</v>
      </c>
      <c r="AY29" s="100">
        <f t="shared" si="513"/>
        <v>578637.62087084248</v>
      </c>
      <c r="AZ29" s="100">
        <f t="shared" si="513"/>
        <v>579929.21395774721</v>
      </c>
      <c r="BA29" s="100">
        <f t="shared" si="513"/>
        <v>581224.03602736909</v>
      </c>
      <c r="BB29" s="100">
        <f t="shared" si="513"/>
        <v>582522.09515216504</v>
      </c>
      <c r="BC29" s="100">
        <f t="shared" si="513"/>
        <v>583823.39942477294</v>
      </c>
      <c r="BD29" s="100">
        <f t="shared" si="513"/>
        <v>585127.95695806236</v>
      </c>
      <c r="BE29" s="100">
        <f t="shared" si="513"/>
        <v>586435.77588518511</v>
      </c>
      <c r="BF29" s="100">
        <f t="shared" si="513"/>
        <v>588740.31913322047</v>
      </c>
      <c r="BG29" s="100">
        <f t="shared" si="513"/>
        <v>590054.68532884715</v>
      </c>
      <c r="BH29" s="100">
        <f t="shared" si="513"/>
        <v>591372.3374399629</v>
      </c>
      <c r="BI29" s="100">
        <f t="shared" si="513"/>
        <v>592693.28368135635</v>
      </c>
      <c r="BJ29" s="100">
        <f t="shared" si="513"/>
        <v>594017.53228835319</v>
      </c>
      <c r="BK29" s="100">
        <f t="shared" si="513"/>
        <v>595345.09151686763</v>
      </c>
      <c r="BL29" s="100">
        <f t="shared" si="513"/>
        <v>596675.9696434536</v>
      </c>
      <c r="BM29" s="100">
        <f t="shared" si="513"/>
        <v>598010.17496535555</v>
      </c>
      <c r="BN29" s="100">
        <f t="shared" si="513"/>
        <v>599347.71580056252</v>
      </c>
      <c r="BO29" s="100">
        <f t="shared" si="513"/>
        <v>600688.60048785759</v>
      </c>
      <c r="BP29" s="100">
        <f t="shared" si="513"/>
        <v>602032.83738687076</v>
      </c>
      <c r="BQ29" s="100">
        <f t="shared" si="513"/>
        <v>603380.43487813137</v>
      </c>
      <c r="BR29" s="100">
        <f t="shared" si="513"/>
        <v>605754.65977992315</v>
      </c>
      <c r="BS29" s="100">
        <f t="shared" si="513"/>
        <v>607109.00368112442</v>
      </c>
      <c r="BT29" s="100">
        <f t="shared" si="513"/>
        <v>608466.73344207869</v>
      </c>
      <c r="BU29" s="100">
        <f t="shared" si="513"/>
        <v>609827.85752743552</v>
      </c>
      <c r="BV29" s="100">
        <f t="shared" ref="BV29:DA29" si="514">BV19+BV27</f>
        <v>611192.38442300574</v>
      </c>
      <c r="BW29" s="100">
        <f t="shared" si="514"/>
        <v>612560.32263581478</v>
      </c>
      <c r="BX29" s="100">
        <f t="shared" si="514"/>
        <v>613931.68069415598</v>
      </c>
      <c r="BY29" s="100">
        <f t="shared" si="514"/>
        <v>615306.46714764286</v>
      </c>
      <c r="BZ29" s="100">
        <f t="shared" si="514"/>
        <v>616684.69056726329</v>
      </c>
      <c r="CA29" s="100">
        <f t="shared" si="514"/>
        <v>618066.3595454332</v>
      </c>
      <c r="CB29" s="100">
        <f t="shared" si="514"/>
        <v>619451.48269604833</v>
      </c>
      <c r="CC29" s="100">
        <f t="shared" si="514"/>
        <v>620840.06865453988</v>
      </c>
      <c r="CD29" s="100">
        <f t="shared" si="514"/>
        <v>623286.08224723465</v>
      </c>
      <c r="CE29" s="100">
        <f t="shared" si="514"/>
        <v>624681.619814181</v>
      </c>
      <c r="CF29" s="100">
        <f t="shared" si="514"/>
        <v>626080.64622504485</v>
      </c>
      <c r="CG29" s="100">
        <f t="shared" si="514"/>
        <v>627483.17020193569</v>
      </c>
      <c r="CH29" s="100">
        <f t="shared" si="514"/>
        <v>628889.20048876875</v>
      </c>
      <c r="CI29" s="100">
        <f t="shared" si="514"/>
        <v>630298.74585131893</v>
      </c>
      <c r="CJ29" s="100">
        <f t="shared" si="514"/>
        <v>631711.81507727562</v>
      </c>
      <c r="CK29" s="100">
        <f t="shared" si="514"/>
        <v>633128.41697629692</v>
      </c>
      <c r="CL29" s="100">
        <f t="shared" si="514"/>
        <v>634548.56038006593</v>
      </c>
      <c r="CM29" s="100">
        <f t="shared" si="514"/>
        <v>635972.25414234435</v>
      </c>
      <c r="CN29" s="100">
        <f t="shared" si="514"/>
        <v>637399.50713902852</v>
      </c>
      <c r="CO29" s="100">
        <f t="shared" si="514"/>
        <v>638830.32826820435</v>
      </c>
      <c r="CP29" s="100">
        <f t="shared" si="514"/>
        <v>641350.30130458914</v>
      </c>
      <c r="CQ29" s="100">
        <f t="shared" si="514"/>
        <v>642788.28548204305</v>
      </c>
      <c r="CR29" s="100">
        <f t="shared" si="514"/>
        <v>644229.86461994029</v>
      </c>
      <c r="CS29" s="100">
        <f t="shared" si="514"/>
        <v>645675.04770568258</v>
      </c>
      <c r="CT29" s="100">
        <f t="shared" si="514"/>
        <v>647123.84374913888</v>
      </c>
      <c r="CU29" s="100">
        <f t="shared" si="514"/>
        <v>648576.26178270404</v>
      </c>
      <c r="CV29" s="100">
        <f t="shared" si="514"/>
        <v>650032.31086135306</v>
      </c>
      <c r="CW29" s="100">
        <f t="shared" si="514"/>
        <v>651492.00006269885</v>
      </c>
      <c r="CX29" s="100">
        <f t="shared" si="514"/>
        <v>652955.33848704793</v>
      </c>
      <c r="CY29" s="100">
        <f t="shared" si="514"/>
        <v>654422.3352574578</v>
      </c>
      <c r="CZ29" s="100">
        <f t="shared" si="514"/>
        <v>655892.9995197939</v>
      </c>
      <c r="DA29" s="100">
        <f t="shared" si="514"/>
        <v>657367.34044278564</v>
      </c>
      <c r="DB29" s="100">
        <f t="shared" ref="DB29:EK29" si="515">DB19+DB27</f>
        <v>659963.5093181025</v>
      </c>
      <c r="DC29" s="100">
        <f t="shared" si="515"/>
        <v>661445.23116034002</v>
      </c>
      <c r="DD29" s="100">
        <f t="shared" si="515"/>
        <v>662930.65730718314</v>
      </c>
      <c r="DE29" s="100">
        <f t="shared" si="515"/>
        <v>664419.79701939342</v>
      </c>
      <c r="DF29" s="100">
        <f t="shared" si="515"/>
        <v>665912.65958088404</v>
      </c>
      <c r="DG29" s="100">
        <f t="shared" si="515"/>
        <v>667409.2542987786</v>
      </c>
      <c r="DH29" s="100">
        <f t="shared" si="515"/>
        <v>668909.59050346771</v>
      </c>
      <c r="DI29" s="100">
        <f t="shared" si="515"/>
        <v>670413.67754866858</v>
      </c>
      <c r="DJ29" s="100">
        <f t="shared" si="515"/>
        <v>671921.52481148252</v>
      </c>
      <c r="DK29" s="100">
        <f t="shared" si="515"/>
        <v>673433.14169245341</v>
      </c>
      <c r="DL29" s="100">
        <f t="shared" si="515"/>
        <v>674948.53761562682</v>
      </c>
      <c r="DM29" s="100">
        <f t="shared" si="515"/>
        <v>676467.72202860808</v>
      </c>
      <c r="DN29" s="100">
        <f t="shared" si="515"/>
        <v>679142.39076564019</v>
      </c>
      <c r="DO29" s="100">
        <f t="shared" si="515"/>
        <v>680669.18059558899</v>
      </c>
      <c r="DP29" s="100">
        <f t="shared" si="515"/>
        <v>682199.7874001126</v>
      </c>
      <c r="DQ29" s="100">
        <f t="shared" si="515"/>
        <v>683734.22072164761</v>
      </c>
      <c r="DR29" s="100">
        <f t="shared" si="515"/>
        <v>685272.4901264864</v>
      </c>
      <c r="DS29" s="100">
        <f t="shared" si="515"/>
        <v>686814.6052048374</v>
      </c>
      <c r="DT29" s="100">
        <f t="shared" si="515"/>
        <v>688360.57557088416</v>
      </c>
      <c r="DU29" s="100">
        <f t="shared" si="515"/>
        <v>689910.41086284618</v>
      </c>
      <c r="DV29" s="100">
        <f t="shared" si="515"/>
        <v>691464.1207430379</v>
      </c>
      <c r="DW29" s="100">
        <f t="shared" si="515"/>
        <v>693021.71489793027</v>
      </c>
      <c r="DX29" s="100">
        <f t="shared" si="515"/>
        <v>694583.20303820993</v>
      </c>
      <c r="DY29" s="100">
        <f t="shared" si="515"/>
        <v>696148.59489884006</v>
      </c>
      <c r="DZ29" s="100">
        <f t="shared" si="515"/>
        <v>698904.13719303079</v>
      </c>
      <c r="EA29" s="100">
        <f t="shared" si="515"/>
        <v>700477.36579666333</v>
      </c>
      <c r="EB29" s="100">
        <f t="shared" si="515"/>
        <v>702054.52747180499</v>
      </c>
      <c r="EC29" s="100">
        <f t="shared" si="515"/>
        <v>703635.63205113448</v>
      </c>
      <c r="ED29" s="100">
        <f t="shared" si="515"/>
        <v>705220.68939191219</v>
      </c>
      <c r="EE29" s="100">
        <f t="shared" si="515"/>
        <v>706809.70937604189</v>
      </c>
      <c r="EF29" s="100">
        <f t="shared" si="515"/>
        <v>708402.70191013196</v>
      </c>
      <c r="EG29" s="100">
        <f t="shared" si="515"/>
        <v>709999.6769255572</v>
      </c>
      <c r="EH29" s="100">
        <f t="shared" si="515"/>
        <v>711600.6443785209</v>
      </c>
      <c r="EI29" s="100">
        <f t="shared" si="515"/>
        <v>713205.61425011721</v>
      </c>
      <c r="EJ29" s="100">
        <f t="shared" si="515"/>
        <v>714814.59654639254</v>
      </c>
      <c r="EK29" s="100">
        <f t="shared" si="515"/>
        <v>716427.60129840858</v>
      </c>
      <c r="EM29" s="24">
        <f t="shared" ref="EM29:EX29" si="516">EM19+EM27</f>
        <v>0</v>
      </c>
      <c r="EN29" s="24">
        <f t="shared" si="516"/>
        <v>6000346.1241834555</v>
      </c>
      <c r="EO29" s="24">
        <f t="shared" si="516"/>
        <v>6336221.3244725652</v>
      </c>
      <c r="EP29" s="24">
        <f t="shared" si="516"/>
        <v>6728315.8322263621</v>
      </c>
      <c r="EQ29" s="24">
        <f t="shared" si="516"/>
        <v>6951626.7581821876</v>
      </c>
      <c r="ER29" s="24">
        <f t="shared" si="516"/>
        <v>7152358.9825508399</v>
      </c>
      <c r="ES29" s="24">
        <f t="shared" si="516"/>
        <v>7359191.7107944647</v>
      </c>
      <c r="ET29" s="24">
        <f t="shared" si="516"/>
        <v>7572310.3468116997</v>
      </c>
      <c r="EU29" s="24">
        <f t="shared" si="516"/>
        <v>7791905.9292752352</v>
      </c>
      <c r="EV29" s="24">
        <f t="shared" si="516"/>
        <v>8018175.3028849903</v>
      </c>
      <c r="EW29" s="24">
        <f t="shared" si="516"/>
        <v>8251321.2948260633</v>
      </c>
      <c r="EX29" s="24">
        <f t="shared" si="516"/>
        <v>8491552.896589715</v>
      </c>
    </row>
    <row r="30" spans="2:154" x14ac:dyDescent="0.3">
      <c r="E30" s="23"/>
      <c r="F30" s="23"/>
    </row>
    <row r="31" spans="2:154" x14ac:dyDescent="0.3">
      <c r="B31" s="2" t="s">
        <v>22</v>
      </c>
      <c r="E31" s="23"/>
      <c r="F31" s="23"/>
      <c r="G31" s="11" t="s">
        <v>59</v>
      </c>
    </row>
    <row r="32" spans="2:154" x14ac:dyDescent="0.3">
      <c r="B32" s="1" t="s">
        <v>23</v>
      </c>
      <c r="E32" s="70">
        <f>SUM('Historical Financials'!M28:O28)*4</f>
        <v>-331980</v>
      </c>
      <c r="F32" s="70">
        <f>SUM('Historical Financials'!D28:O28)</f>
        <v>-294400</v>
      </c>
      <c r="G32" s="7">
        <f>-E32/$C$6</f>
        <v>1327.92</v>
      </c>
      <c r="J32" s="70">
        <f>-'Inputs &amp; Drivers'!$J35/12</f>
        <v>-27665</v>
      </c>
      <c r="K32" s="75">
        <f>(1+INDEX('Inputs &amp; Drivers'!$G$52:$G$62,MATCH(Model!K$4,'Inputs &amp; Drivers'!$B$52:$B$62,0))*(K$4&lt;&gt;J$4))*J32</f>
        <v>-27665</v>
      </c>
      <c r="L32" s="75">
        <f>(1+INDEX('Inputs &amp; Drivers'!$G$52:$G$62,MATCH(Model!L$4,'Inputs &amp; Drivers'!$B$52:$B$62,0))*(L$4&lt;&gt;K$4))*K32</f>
        <v>-27665</v>
      </c>
      <c r="M32" s="75">
        <f>(1+INDEX('Inputs &amp; Drivers'!$G$52:$G$62,MATCH(Model!M$4,'Inputs &amp; Drivers'!$B$52:$B$62,0))*(M$4&lt;&gt;L$4))*L32</f>
        <v>-27665</v>
      </c>
      <c r="N32" s="75">
        <f>(1+INDEX('Inputs &amp; Drivers'!$G$52:$G$62,MATCH(Model!N$4,'Inputs &amp; Drivers'!$B$52:$B$62,0))*(N$4&lt;&gt;M$4))*M32</f>
        <v>-27665</v>
      </c>
      <c r="O32" s="75">
        <f>(1+INDEX('Inputs &amp; Drivers'!$G$52:$G$62,MATCH(Model!O$4,'Inputs &amp; Drivers'!$B$52:$B$62,0))*(O$4&lt;&gt;N$4))*N32</f>
        <v>-27665</v>
      </c>
      <c r="P32" s="75">
        <f>(1+INDEX('Inputs &amp; Drivers'!$G$52:$G$62,MATCH(Model!P$4,'Inputs &amp; Drivers'!$B$52:$B$62,0))*(P$4&lt;&gt;O$4))*O32</f>
        <v>-27665</v>
      </c>
      <c r="Q32" s="75">
        <f>(1+INDEX('Inputs &amp; Drivers'!$G$52:$G$62,MATCH(Model!Q$4,'Inputs &amp; Drivers'!$B$52:$B$62,0))*(Q$4&lt;&gt;P$4))*P32</f>
        <v>-27665</v>
      </c>
      <c r="R32" s="75">
        <f>(1+INDEX('Inputs &amp; Drivers'!$G$52:$G$62,MATCH(Model!R$4,'Inputs &amp; Drivers'!$B$52:$B$62,0))*(R$4&lt;&gt;Q$4))*Q32</f>
        <v>-27665</v>
      </c>
      <c r="S32" s="75">
        <f>(1+INDEX('Inputs &amp; Drivers'!$G$52:$G$62,MATCH(Model!S$4,'Inputs &amp; Drivers'!$B$52:$B$62,0))*(S$4&lt;&gt;R$4))*R32</f>
        <v>-27665</v>
      </c>
      <c r="T32" s="75">
        <f>(1+INDEX('Inputs &amp; Drivers'!$G$52:$G$62,MATCH(Model!T$4,'Inputs &amp; Drivers'!$B$52:$B$62,0))*(T$4&lt;&gt;S$4))*S32</f>
        <v>-27665</v>
      </c>
      <c r="U32" s="75">
        <f>(1+INDEX('Inputs &amp; Drivers'!$G$52:$G$62,MATCH(Model!U$4,'Inputs &amp; Drivers'!$B$52:$B$62,0))*(U$4&lt;&gt;T$4))*T32</f>
        <v>-27665</v>
      </c>
      <c r="V32" s="75">
        <f>(1+INDEX('Inputs &amp; Drivers'!$G$52:$G$62,MATCH(Model!V$4,'Inputs &amp; Drivers'!$B$52:$B$62,0))*(V$4&lt;&gt;U$4))*U32</f>
        <v>-28494.95</v>
      </c>
      <c r="W32" s="75">
        <f>(1+INDEX('Inputs &amp; Drivers'!$G$52:$G$62,MATCH(Model!W$4,'Inputs &amp; Drivers'!$B$52:$B$62,0))*(W$4&lt;&gt;V$4))*V32</f>
        <v>-28494.95</v>
      </c>
      <c r="X32" s="75">
        <f>(1+INDEX('Inputs &amp; Drivers'!$G$52:$G$62,MATCH(Model!X$4,'Inputs &amp; Drivers'!$B$52:$B$62,0))*(X$4&lt;&gt;W$4))*W32</f>
        <v>-28494.95</v>
      </c>
      <c r="Y32" s="75">
        <f>(1+INDEX('Inputs &amp; Drivers'!$G$52:$G$62,MATCH(Model!Y$4,'Inputs &amp; Drivers'!$B$52:$B$62,0))*(Y$4&lt;&gt;X$4))*X32</f>
        <v>-28494.95</v>
      </c>
      <c r="Z32" s="75">
        <f>(1+INDEX('Inputs &amp; Drivers'!$G$52:$G$62,MATCH(Model!Z$4,'Inputs &amp; Drivers'!$B$52:$B$62,0))*(Z$4&lt;&gt;Y$4))*Y32</f>
        <v>-28494.95</v>
      </c>
      <c r="AA32" s="75">
        <f>(1+INDEX('Inputs &amp; Drivers'!$G$52:$G$62,MATCH(Model!AA$4,'Inputs &amp; Drivers'!$B$52:$B$62,0))*(AA$4&lt;&gt;Z$4))*Z32</f>
        <v>-28494.95</v>
      </c>
      <c r="AB32" s="75">
        <f>(1+INDEX('Inputs &amp; Drivers'!$G$52:$G$62,MATCH(Model!AB$4,'Inputs &amp; Drivers'!$B$52:$B$62,0))*(AB$4&lt;&gt;AA$4))*AA32</f>
        <v>-28494.95</v>
      </c>
      <c r="AC32" s="75">
        <f>(1+INDEX('Inputs &amp; Drivers'!$G$52:$G$62,MATCH(Model!AC$4,'Inputs &amp; Drivers'!$B$52:$B$62,0))*(AC$4&lt;&gt;AB$4))*AB32</f>
        <v>-28494.95</v>
      </c>
      <c r="AD32" s="75">
        <f>(1+INDEX('Inputs &amp; Drivers'!$G$52:$G$62,MATCH(Model!AD$4,'Inputs &amp; Drivers'!$B$52:$B$62,0))*(AD$4&lt;&gt;AC$4))*AC32</f>
        <v>-28494.95</v>
      </c>
      <c r="AE32" s="75">
        <f>(1+INDEX('Inputs &amp; Drivers'!$G$52:$G$62,MATCH(Model!AE$4,'Inputs &amp; Drivers'!$B$52:$B$62,0))*(AE$4&lt;&gt;AD$4))*AD32</f>
        <v>-28494.95</v>
      </c>
      <c r="AF32" s="75">
        <f>(1+INDEX('Inputs &amp; Drivers'!$G$52:$G$62,MATCH(Model!AF$4,'Inputs &amp; Drivers'!$B$52:$B$62,0))*(AF$4&lt;&gt;AE$4))*AE32</f>
        <v>-28494.95</v>
      </c>
      <c r="AG32" s="75">
        <f>(1+INDEX('Inputs &amp; Drivers'!$G$52:$G$62,MATCH(Model!AG$4,'Inputs &amp; Drivers'!$B$52:$B$62,0))*(AG$4&lt;&gt;AF$4))*AF32</f>
        <v>-28494.95</v>
      </c>
      <c r="AH32" s="75">
        <f>(1+INDEX('Inputs &amp; Drivers'!$G$52:$G$62,MATCH(Model!AH$4,'Inputs &amp; Drivers'!$B$52:$B$62,0))*(AH$4&lt;&gt;AG$4))*AG32</f>
        <v>-29349.798500000001</v>
      </c>
      <c r="AI32" s="75">
        <f>(1+INDEX('Inputs &amp; Drivers'!$G$52:$G$62,MATCH(Model!AI$4,'Inputs &amp; Drivers'!$B$52:$B$62,0))*(AI$4&lt;&gt;AH$4))*AH32</f>
        <v>-29349.798500000001</v>
      </c>
      <c r="AJ32" s="75">
        <f>(1+INDEX('Inputs &amp; Drivers'!$G$52:$G$62,MATCH(Model!AJ$4,'Inputs &amp; Drivers'!$B$52:$B$62,0))*(AJ$4&lt;&gt;AI$4))*AI32</f>
        <v>-29349.798500000001</v>
      </c>
      <c r="AK32" s="75">
        <f>(1+INDEX('Inputs &amp; Drivers'!$G$52:$G$62,MATCH(Model!AK$4,'Inputs &amp; Drivers'!$B$52:$B$62,0))*(AK$4&lt;&gt;AJ$4))*AJ32</f>
        <v>-29349.798500000001</v>
      </c>
      <c r="AL32" s="75">
        <f>(1+INDEX('Inputs &amp; Drivers'!$G$52:$G$62,MATCH(Model!AL$4,'Inputs &amp; Drivers'!$B$52:$B$62,0))*(AL$4&lt;&gt;AK$4))*AK32</f>
        <v>-29349.798500000001</v>
      </c>
      <c r="AM32" s="75">
        <f>(1+INDEX('Inputs &amp; Drivers'!$G$52:$G$62,MATCH(Model!AM$4,'Inputs &amp; Drivers'!$B$52:$B$62,0))*(AM$4&lt;&gt;AL$4))*AL32</f>
        <v>-29349.798500000001</v>
      </c>
      <c r="AN32" s="75">
        <f>(1+INDEX('Inputs &amp; Drivers'!$G$52:$G$62,MATCH(Model!AN$4,'Inputs &amp; Drivers'!$B$52:$B$62,0))*(AN$4&lt;&gt;AM$4))*AM32</f>
        <v>-29349.798500000001</v>
      </c>
      <c r="AO32" s="75">
        <f>(1+INDEX('Inputs &amp; Drivers'!$G$52:$G$62,MATCH(Model!AO$4,'Inputs &amp; Drivers'!$B$52:$B$62,0))*(AO$4&lt;&gt;AN$4))*AN32</f>
        <v>-29349.798500000001</v>
      </c>
      <c r="AP32" s="75">
        <f>(1+INDEX('Inputs &amp; Drivers'!$G$52:$G$62,MATCH(Model!AP$4,'Inputs &amp; Drivers'!$B$52:$B$62,0))*(AP$4&lt;&gt;AO$4))*AO32</f>
        <v>-29349.798500000001</v>
      </c>
      <c r="AQ32" s="75">
        <f>(1+INDEX('Inputs &amp; Drivers'!$G$52:$G$62,MATCH(Model!AQ$4,'Inputs &amp; Drivers'!$B$52:$B$62,0))*(AQ$4&lt;&gt;AP$4))*AP32</f>
        <v>-29349.798500000001</v>
      </c>
      <c r="AR32" s="75">
        <f>(1+INDEX('Inputs &amp; Drivers'!$G$52:$G$62,MATCH(Model!AR$4,'Inputs &amp; Drivers'!$B$52:$B$62,0))*(AR$4&lt;&gt;AQ$4))*AQ32</f>
        <v>-29349.798500000001</v>
      </c>
      <c r="AS32" s="75">
        <f>(1+INDEX('Inputs &amp; Drivers'!$G$52:$G$62,MATCH(Model!AS$4,'Inputs &amp; Drivers'!$B$52:$B$62,0))*(AS$4&lt;&gt;AR$4))*AR32</f>
        <v>-29349.798500000001</v>
      </c>
      <c r="AT32" s="75">
        <f>(1+INDEX('Inputs &amp; Drivers'!$G$52:$G$62,MATCH(Model!AT$4,'Inputs &amp; Drivers'!$B$52:$B$62,0))*(AT$4&lt;&gt;AS$4))*AS32</f>
        <v>-30230.292455000003</v>
      </c>
      <c r="AU32" s="75">
        <f>(1+INDEX('Inputs &amp; Drivers'!$G$52:$G$62,MATCH(Model!AU$4,'Inputs &amp; Drivers'!$B$52:$B$62,0))*(AU$4&lt;&gt;AT$4))*AT32</f>
        <v>-30230.292455000003</v>
      </c>
      <c r="AV32" s="75">
        <f>(1+INDEX('Inputs &amp; Drivers'!$G$52:$G$62,MATCH(Model!AV$4,'Inputs &amp; Drivers'!$B$52:$B$62,0))*(AV$4&lt;&gt;AU$4))*AU32</f>
        <v>-30230.292455000003</v>
      </c>
      <c r="AW32" s="75">
        <f>(1+INDEX('Inputs &amp; Drivers'!$G$52:$G$62,MATCH(Model!AW$4,'Inputs &amp; Drivers'!$B$52:$B$62,0))*(AW$4&lt;&gt;AV$4))*AV32</f>
        <v>-30230.292455000003</v>
      </c>
      <c r="AX32" s="75">
        <f>(1+INDEX('Inputs &amp; Drivers'!$G$52:$G$62,MATCH(Model!AX$4,'Inputs &amp; Drivers'!$B$52:$B$62,0))*(AX$4&lt;&gt;AW$4))*AW32</f>
        <v>-30230.292455000003</v>
      </c>
      <c r="AY32" s="75">
        <f>(1+INDEX('Inputs &amp; Drivers'!$G$52:$G$62,MATCH(Model!AY$4,'Inputs &amp; Drivers'!$B$52:$B$62,0))*(AY$4&lt;&gt;AX$4))*AX32</f>
        <v>-30230.292455000003</v>
      </c>
      <c r="AZ32" s="75">
        <f>(1+INDEX('Inputs &amp; Drivers'!$G$52:$G$62,MATCH(Model!AZ$4,'Inputs &amp; Drivers'!$B$52:$B$62,0))*(AZ$4&lt;&gt;AY$4))*AY32</f>
        <v>-30230.292455000003</v>
      </c>
      <c r="BA32" s="75">
        <f>(1+INDEX('Inputs &amp; Drivers'!$G$52:$G$62,MATCH(Model!BA$4,'Inputs &amp; Drivers'!$B$52:$B$62,0))*(BA$4&lt;&gt;AZ$4))*AZ32</f>
        <v>-30230.292455000003</v>
      </c>
      <c r="BB32" s="75">
        <f>(1+INDEX('Inputs &amp; Drivers'!$G$52:$G$62,MATCH(Model!BB$4,'Inputs &amp; Drivers'!$B$52:$B$62,0))*(BB$4&lt;&gt;BA$4))*BA32</f>
        <v>-30230.292455000003</v>
      </c>
      <c r="BC32" s="75">
        <f>(1+INDEX('Inputs &amp; Drivers'!$G$52:$G$62,MATCH(Model!BC$4,'Inputs &amp; Drivers'!$B$52:$B$62,0))*(BC$4&lt;&gt;BB$4))*BB32</f>
        <v>-30230.292455000003</v>
      </c>
      <c r="BD32" s="75">
        <f>(1+INDEX('Inputs &amp; Drivers'!$G$52:$G$62,MATCH(Model!BD$4,'Inputs &amp; Drivers'!$B$52:$B$62,0))*(BD$4&lt;&gt;BC$4))*BC32</f>
        <v>-30230.292455000003</v>
      </c>
      <c r="BE32" s="75">
        <f>(1+INDEX('Inputs &amp; Drivers'!$G$52:$G$62,MATCH(Model!BE$4,'Inputs &amp; Drivers'!$B$52:$B$62,0))*(BE$4&lt;&gt;BD$4))*BD32</f>
        <v>-30230.292455000003</v>
      </c>
      <c r="BF32" s="75">
        <f>(1+INDEX('Inputs &amp; Drivers'!$G$52:$G$62,MATCH(Model!BF$4,'Inputs &amp; Drivers'!$B$52:$B$62,0))*(BF$4&lt;&gt;BE$4))*BE32</f>
        <v>-31137.201228650003</v>
      </c>
      <c r="BG32" s="75">
        <f>(1+INDEX('Inputs &amp; Drivers'!$G$52:$G$62,MATCH(Model!BG$4,'Inputs &amp; Drivers'!$B$52:$B$62,0))*(BG$4&lt;&gt;BF$4))*BF32</f>
        <v>-31137.201228650003</v>
      </c>
      <c r="BH32" s="75">
        <f>(1+INDEX('Inputs &amp; Drivers'!$G$52:$G$62,MATCH(Model!BH$4,'Inputs &amp; Drivers'!$B$52:$B$62,0))*(BH$4&lt;&gt;BG$4))*BG32</f>
        <v>-31137.201228650003</v>
      </c>
      <c r="BI32" s="75">
        <f>(1+INDEX('Inputs &amp; Drivers'!$G$52:$G$62,MATCH(Model!BI$4,'Inputs &amp; Drivers'!$B$52:$B$62,0))*(BI$4&lt;&gt;BH$4))*BH32</f>
        <v>-31137.201228650003</v>
      </c>
      <c r="BJ32" s="75">
        <f>(1+INDEX('Inputs &amp; Drivers'!$G$52:$G$62,MATCH(Model!BJ$4,'Inputs &amp; Drivers'!$B$52:$B$62,0))*(BJ$4&lt;&gt;BI$4))*BI32</f>
        <v>-31137.201228650003</v>
      </c>
      <c r="BK32" s="75">
        <f>(1+INDEX('Inputs &amp; Drivers'!$G$52:$G$62,MATCH(Model!BK$4,'Inputs &amp; Drivers'!$B$52:$B$62,0))*(BK$4&lt;&gt;BJ$4))*BJ32</f>
        <v>-31137.201228650003</v>
      </c>
      <c r="BL32" s="75">
        <f>(1+INDEX('Inputs &amp; Drivers'!$G$52:$G$62,MATCH(Model!BL$4,'Inputs &amp; Drivers'!$B$52:$B$62,0))*(BL$4&lt;&gt;BK$4))*BK32</f>
        <v>-31137.201228650003</v>
      </c>
      <c r="BM32" s="75">
        <f>(1+INDEX('Inputs &amp; Drivers'!$G$52:$G$62,MATCH(Model!BM$4,'Inputs &amp; Drivers'!$B$52:$B$62,0))*(BM$4&lt;&gt;BL$4))*BL32</f>
        <v>-31137.201228650003</v>
      </c>
      <c r="BN32" s="75">
        <f>(1+INDEX('Inputs &amp; Drivers'!$G$52:$G$62,MATCH(Model!BN$4,'Inputs &amp; Drivers'!$B$52:$B$62,0))*(BN$4&lt;&gt;BM$4))*BM32</f>
        <v>-31137.201228650003</v>
      </c>
      <c r="BO32" s="75">
        <f>(1+INDEX('Inputs &amp; Drivers'!$G$52:$G$62,MATCH(Model!BO$4,'Inputs &amp; Drivers'!$B$52:$B$62,0))*(BO$4&lt;&gt;BN$4))*BN32</f>
        <v>-31137.201228650003</v>
      </c>
      <c r="BP32" s="75">
        <f>(1+INDEX('Inputs &amp; Drivers'!$G$52:$G$62,MATCH(Model!BP$4,'Inputs &amp; Drivers'!$B$52:$B$62,0))*(BP$4&lt;&gt;BO$4))*BO32</f>
        <v>-31137.201228650003</v>
      </c>
      <c r="BQ32" s="75">
        <f>(1+INDEX('Inputs &amp; Drivers'!$G$52:$G$62,MATCH(Model!BQ$4,'Inputs &amp; Drivers'!$B$52:$B$62,0))*(BQ$4&lt;&gt;BP$4))*BP32</f>
        <v>-31137.201228650003</v>
      </c>
      <c r="BR32" s="75">
        <f>(1+INDEX('Inputs &amp; Drivers'!$G$52:$G$62,MATCH(Model!BR$4,'Inputs &amp; Drivers'!$B$52:$B$62,0))*(BR$4&lt;&gt;BQ$4))*BQ32</f>
        <v>-32071.317265509504</v>
      </c>
      <c r="BS32" s="75">
        <f>(1+INDEX('Inputs &amp; Drivers'!$G$52:$G$62,MATCH(Model!BS$4,'Inputs &amp; Drivers'!$B$52:$B$62,0))*(BS$4&lt;&gt;BR$4))*BR32</f>
        <v>-32071.317265509504</v>
      </c>
      <c r="BT32" s="75">
        <f>(1+INDEX('Inputs &amp; Drivers'!$G$52:$G$62,MATCH(Model!BT$4,'Inputs &amp; Drivers'!$B$52:$B$62,0))*(BT$4&lt;&gt;BS$4))*BS32</f>
        <v>-32071.317265509504</v>
      </c>
      <c r="BU32" s="75">
        <f>(1+INDEX('Inputs &amp; Drivers'!$G$52:$G$62,MATCH(Model!BU$4,'Inputs &amp; Drivers'!$B$52:$B$62,0))*(BU$4&lt;&gt;BT$4))*BT32</f>
        <v>-32071.317265509504</v>
      </c>
      <c r="BV32" s="75">
        <f>(1+INDEX('Inputs &amp; Drivers'!$G$52:$G$62,MATCH(Model!BV$4,'Inputs &amp; Drivers'!$B$52:$B$62,0))*(BV$4&lt;&gt;BU$4))*BU32</f>
        <v>-32071.317265509504</v>
      </c>
      <c r="BW32" s="75">
        <f>(1+INDEX('Inputs &amp; Drivers'!$G$52:$G$62,MATCH(Model!BW$4,'Inputs &amp; Drivers'!$B$52:$B$62,0))*(BW$4&lt;&gt;BV$4))*BV32</f>
        <v>-32071.317265509504</v>
      </c>
      <c r="BX32" s="75">
        <f>(1+INDEX('Inputs &amp; Drivers'!$G$52:$G$62,MATCH(Model!BX$4,'Inputs &amp; Drivers'!$B$52:$B$62,0))*(BX$4&lt;&gt;BW$4))*BW32</f>
        <v>-32071.317265509504</v>
      </c>
      <c r="BY32" s="75">
        <f>(1+INDEX('Inputs &amp; Drivers'!$G$52:$G$62,MATCH(Model!BY$4,'Inputs &amp; Drivers'!$B$52:$B$62,0))*(BY$4&lt;&gt;BX$4))*BX32</f>
        <v>-32071.317265509504</v>
      </c>
      <c r="BZ32" s="75">
        <f>(1+INDEX('Inputs &amp; Drivers'!$G$52:$G$62,MATCH(Model!BZ$4,'Inputs &amp; Drivers'!$B$52:$B$62,0))*(BZ$4&lt;&gt;BY$4))*BY32</f>
        <v>-32071.317265509504</v>
      </c>
      <c r="CA32" s="75">
        <f>(1+INDEX('Inputs &amp; Drivers'!$G$52:$G$62,MATCH(Model!CA$4,'Inputs &amp; Drivers'!$B$52:$B$62,0))*(CA$4&lt;&gt;BZ$4))*BZ32</f>
        <v>-32071.317265509504</v>
      </c>
      <c r="CB32" s="75">
        <f>(1+INDEX('Inputs &amp; Drivers'!$G$52:$G$62,MATCH(Model!CB$4,'Inputs &amp; Drivers'!$B$52:$B$62,0))*(CB$4&lt;&gt;CA$4))*CA32</f>
        <v>-32071.317265509504</v>
      </c>
      <c r="CC32" s="75">
        <f>(1+INDEX('Inputs &amp; Drivers'!$G$52:$G$62,MATCH(Model!CC$4,'Inputs &amp; Drivers'!$B$52:$B$62,0))*(CC$4&lt;&gt;CB$4))*CB32</f>
        <v>-32071.317265509504</v>
      </c>
      <c r="CD32" s="75">
        <f>(1+INDEX('Inputs &amp; Drivers'!$G$52:$G$62,MATCH(Model!CD$4,'Inputs &amp; Drivers'!$B$52:$B$62,0))*(CD$4&lt;&gt;CC$4))*CC32</f>
        <v>-33033.456783474787</v>
      </c>
      <c r="CE32" s="75">
        <f>(1+INDEX('Inputs &amp; Drivers'!$G$52:$G$62,MATCH(Model!CE$4,'Inputs &amp; Drivers'!$B$52:$B$62,0))*(CE$4&lt;&gt;CD$4))*CD32</f>
        <v>-33033.456783474787</v>
      </c>
      <c r="CF32" s="75">
        <f>(1+INDEX('Inputs &amp; Drivers'!$G$52:$G$62,MATCH(Model!CF$4,'Inputs &amp; Drivers'!$B$52:$B$62,0))*(CF$4&lt;&gt;CE$4))*CE32</f>
        <v>-33033.456783474787</v>
      </c>
      <c r="CG32" s="75">
        <f>(1+INDEX('Inputs &amp; Drivers'!$G$52:$G$62,MATCH(Model!CG$4,'Inputs &amp; Drivers'!$B$52:$B$62,0))*(CG$4&lt;&gt;CF$4))*CF32</f>
        <v>-33033.456783474787</v>
      </c>
      <c r="CH32" s="75">
        <f>(1+INDEX('Inputs &amp; Drivers'!$G$52:$G$62,MATCH(Model!CH$4,'Inputs &amp; Drivers'!$B$52:$B$62,0))*(CH$4&lt;&gt;CG$4))*CG32</f>
        <v>-33033.456783474787</v>
      </c>
      <c r="CI32" s="75">
        <f>(1+INDEX('Inputs &amp; Drivers'!$G$52:$G$62,MATCH(Model!CI$4,'Inputs &amp; Drivers'!$B$52:$B$62,0))*(CI$4&lt;&gt;CH$4))*CH32</f>
        <v>-33033.456783474787</v>
      </c>
      <c r="CJ32" s="75">
        <f>(1+INDEX('Inputs &amp; Drivers'!$G$52:$G$62,MATCH(Model!CJ$4,'Inputs &amp; Drivers'!$B$52:$B$62,0))*(CJ$4&lt;&gt;CI$4))*CI32</f>
        <v>-33033.456783474787</v>
      </c>
      <c r="CK32" s="75">
        <f>(1+INDEX('Inputs &amp; Drivers'!$G$52:$G$62,MATCH(Model!CK$4,'Inputs &amp; Drivers'!$B$52:$B$62,0))*(CK$4&lt;&gt;CJ$4))*CJ32</f>
        <v>-33033.456783474787</v>
      </c>
      <c r="CL32" s="75">
        <f>(1+INDEX('Inputs &amp; Drivers'!$G$52:$G$62,MATCH(Model!CL$4,'Inputs &amp; Drivers'!$B$52:$B$62,0))*(CL$4&lt;&gt;CK$4))*CK32</f>
        <v>-33033.456783474787</v>
      </c>
      <c r="CM32" s="75">
        <f>(1+INDEX('Inputs &amp; Drivers'!$G$52:$G$62,MATCH(Model!CM$4,'Inputs &amp; Drivers'!$B$52:$B$62,0))*(CM$4&lt;&gt;CL$4))*CL32</f>
        <v>-33033.456783474787</v>
      </c>
      <c r="CN32" s="75">
        <f>(1+INDEX('Inputs &amp; Drivers'!$G$52:$G$62,MATCH(Model!CN$4,'Inputs &amp; Drivers'!$B$52:$B$62,0))*(CN$4&lt;&gt;CM$4))*CM32</f>
        <v>-33033.456783474787</v>
      </c>
      <c r="CO32" s="75">
        <f>(1+INDEX('Inputs &amp; Drivers'!$G$52:$G$62,MATCH(Model!CO$4,'Inputs &amp; Drivers'!$B$52:$B$62,0))*(CO$4&lt;&gt;CN$4))*CN32</f>
        <v>-33033.456783474787</v>
      </c>
      <c r="CP32" s="75">
        <f>(1+INDEX('Inputs &amp; Drivers'!$G$52:$G$62,MATCH(Model!CP$4,'Inputs &amp; Drivers'!$B$52:$B$62,0))*(CP$4&lt;&gt;CO$4))*CO32</f>
        <v>-34024.460486979035</v>
      </c>
      <c r="CQ32" s="75">
        <f>(1+INDEX('Inputs &amp; Drivers'!$G$52:$G$62,MATCH(Model!CQ$4,'Inputs &amp; Drivers'!$B$52:$B$62,0))*(CQ$4&lt;&gt;CP$4))*CP32</f>
        <v>-34024.460486979035</v>
      </c>
      <c r="CR32" s="75">
        <f>(1+INDEX('Inputs &amp; Drivers'!$G$52:$G$62,MATCH(Model!CR$4,'Inputs &amp; Drivers'!$B$52:$B$62,0))*(CR$4&lt;&gt;CQ$4))*CQ32</f>
        <v>-34024.460486979035</v>
      </c>
      <c r="CS32" s="75">
        <f>(1+INDEX('Inputs &amp; Drivers'!$G$52:$G$62,MATCH(Model!CS$4,'Inputs &amp; Drivers'!$B$52:$B$62,0))*(CS$4&lt;&gt;CR$4))*CR32</f>
        <v>-34024.460486979035</v>
      </c>
      <c r="CT32" s="75">
        <f>(1+INDEX('Inputs &amp; Drivers'!$G$52:$G$62,MATCH(Model!CT$4,'Inputs &amp; Drivers'!$B$52:$B$62,0))*(CT$4&lt;&gt;CS$4))*CS32</f>
        <v>-34024.460486979035</v>
      </c>
      <c r="CU32" s="75">
        <f>(1+INDEX('Inputs &amp; Drivers'!$G$52:$G$62,MATCH(Model!CU$4,'Inputs &amp; Drivers'!$B$52:$B$62,0))*(CU$4&lt;&gt;CT$4))*CT32</f>
        <v>-34024.460486979035</v>
      </c>
      <c r="CV32" s="75">
        <f>(1+INDEX('Inputs &amp; Drivers'!$G$52:$G$62,MATCH(Model!CV$4,'Inputs &amp; Drivers'!$B$52:$B$62,0))*(CV$4&lt;&gt;CU$4))*CU32</f>
        <v>-34024.460486979035</v>
      </c>
      <c r="CW32" s="75">
        <f>(1+INDEX('Inputs &amp; Drivers'!$G$52:$G$62,MATCH(Model!CW$4,'Inputs &amp; Drivers'!$B$52:$B$62,0))*(CW$4&lt;&gt;CV$4))*CV32</f>
        <v>-34024.460486979035</v>
      </c>
      <c r="CX32" s="75">
        <f>(1+INDEX('Inputs &amp; Drivers'!$G$52:$G$62,MATCH(Model!CX$4,'Inputs &amp; Drivers'!$B$52:$B$62,0))*(CX$4&lt;&gt;CW$4))*CW32</f>
        <v>-34024.460486979035</v>
      </c>
      <c r="CY32" s="75">
        <f>(1+INDEX('Inputs &amp; Drivers'!$G$52:$G$62,MATCH(Model!CY$4,'Inputs &amp; Drivers'!$B$52:$B$62,0))*(CY$4&lt;&gt;CX$4))*CX32</f>
        <v>-34024.460486979035</v>
      </c>
      <c r="CZ32" s="75">
        <f>(1+INDEX('Inputs &amp; Drivers'!$G$52:$G$62,MATCH(Model!CZ$4,'Inputs &amp; Drivers'!$B$52:$B$62,0))*(CZ$4&lt;&gt;CY$4))*CY32</f>
        <v>-34024.460486979035</v>
      </c>
      <c r="DA32" s="75">
        <f>(1+INDEX('Inputs &amp; Drivers'!$G$52:$G$62,MATCH(Model!DA$4,'Inputs &amp; Drivers'!$B$52:$B$62,0))*(DA$4&lt;&gt;CZ$4))*CZ32</f>
        <v>-34024.460486979035</v>
      </c>
      <c r="DB32" s="75">
        <f>(1+INDEX('Inputs &amp; Drivers'!$G$52:$G$62,MATCH(Model!DB$4,'Inputs &amp; Drivers'!$B$52:$B$62,0))*(DB$4&lt;&gt;DA$4))*DA32</f>
        <v>-35045.19430158841</v>
      </c>
      <c r="DC32" s="75">
        <f>(1+INDEX('Inputs &amp; Drivers'!$G$52:$G$62,MATCH(Model!DC$4,'Inputs &amp; Drivers'!$B$52:$B$62,0))*(DC$4&lt;&gt;DB$4))*DB32</f>
        <v>-35045.19430158841</v>
      </c>
      <c r="DD32" s="75">
        <f>(1+INDEX('Inputs &amp; Drivers'!$G$52:$G$62,MATCH(Model!DD$4,'Inputs &amp; Drivers'!$B$52:$B$62,0))*(DD$4&lt;&gt;DC$4))*DC32</f>
        <v>-35045.19430158841</v>
      </c>
      <c r="DE32" s="75">
        <f>(1+INDEX('Inputs &amp; Drivers'!$G$52:$G$62,MATCH(Model!DE$4,'Inputs &amp; Drivers'!$B$52:$B$62,0))*(DE$4&lt;&gt;DD$4))*DD32</f>
        <v>-35045.19430158841</v>
      </c>
      <c r="DF32" s="75">
        <f>(1+INDEX('Inputs &amp; Drivers'!$G$52:$G$62,MATCH(Model!DF$4,'Inputs &amp; Drivers'!$B$52:$B$62,0))*(DF$4&lt;&gt;DE$4))*DE32</f>
        <v>-35045.19430158841</v>
      </c>
      <c r="DG32" s="75">
        <f>(1+INDEX('Inputs &amp; Drivers'!$G$52:$G$62,MATCH(Model!DG$4,'Inputs &amp; Drivers'!$B$52:$B$62,0))*(DG$4&lt;&gt;DF$4))*DF32</f>
        <v>-35045.19430158841</v>
      </c>
      <c r="DH32" s="75">
        <f>(1+INDEX('Inputs &amp; Drivers'!$G$52:$G$62,MATCH(Model!DH$4,'Inputs &amp; Drivers'!$B$52:$B$62,0))*(DH$4&lt;&gt;DG$4))*DG32</f>
        <v>-35045.19430158841</v>
      </c>
      <c r="DI32" s="75">
        <f>(1+INDEX('Inputs &amp; Drivers'!$G$52:$G$62,MATCH(Model!DI$4,'Inputs &amp; Drivers'!$B$52:$B$62,0))*(DI$4&lt;&gt;DH$4))*DH32</f>
        <v>-35045.19430158841</v>
      </c>
      <c r="DJ32" s="75">
        <f>(1+INDEX('Inputs &amp; Drivers'!$G$52:$G$62,MATCH(Model!DJ$4,'Inputs &amp; Drivers'!$B$52:$B$62,0))*(DJ$4&lt;&gt;DI$4))*DI32</f>
        <v>-35045.19430158841</v>
      </c>
      <c r="DK32" s="75">
        <f>(1+INDEX('Inputs &amp; Drivers'!$G$52:$G$62,MATCH(Model!DK$4,'Inputs &amp; Drivers'!$B$52:$B$62,0))*(DK$4&lt;&gt;DJ$4))*DJ32</f>
        <v>-35045.19430158841</v>
      </c>
      <c r="DL32" s="75">
        <f>(1+INDEX('Inputs &amp; Drivers'!$G$52:$G$62,MATCH(Model!DL$4,'Inputs &amp; Drivers'!$B$52:$B$62,0))*(DL$4&lt;&gt;DK$4))*DK32</f>
        <v>-35045.19430158841</v>
      </c>
      <c r="DM32" s="75">
        <f>(1+INDEX('Inputs &amp; Drivers'!$G$52:$G$62,MATCH(Model!DM$4,'Inputs &amp; Drivers'!$B$52:$B$62,0))*(DM$4&lt;&gt;DL$4))*DL32</f>
        <v>-35045.19430158841</v>
      </c>
      <c r="DN32" s="75">
        <f>(1+INDEX('Inputs &amp; Drivers'!$G$52:$G$62,MATCH(Model!DN$4,'Inputs &amp; Drivers'!$B$52:$B$62,0))*(DN$4&lt;&gt;DM$4))*DM32</f>
        <v>-36096.55013063606</v>
      </c>
      <c r="DO32" s="75">
        <f>(1+INDEX('Inputs &amp; Drivers'!$G$52:$G$62,MATCH(Model!DO$4,'Inputs &amp; Drivers'!$B$52:$B$62,0))*(DO$4&lt;&gt;DN$4))*DN32</f>
        <v>-36096.55013063606</v>
      </c>
      <c r="DP32" s="75">
        <f>(1+INDEX('Inputs &amp; Drivers'!$G$52:$G$62,MATCH(Model!DP$4,'Inputs &amp; Drivers'!$B$52:$B$62,0))*(DP$4&lt;&gt;DO$4))*DO32</f>
        <v>-36096.55013063606</v>
      </c>
      <c r="DQ32" s="75">
        <f>(1+INDEX('Inputs &amp; Drivers'!$G$52:$G$62,MATCH(Model!DQ$4,'Inputs &amp; Drivers'!$B$52:$B$62,0))*(DQ$4&lt;&gt;DP$4))*DP32</f>
        <v>-36096.55013063606</v>
      </c>
      <c r="DR32" s="75">
        <f>(1+INDEX('Inputs &amp; Drivers'!$G$52:$G$62,MATCH(Model!DR$4,'Inputs &amp; Drivers'!$B$52:$B$62,0))*(DR$4&lt;&gt;DQ$4))*DQ32</f>
        <v>-36096.55013063606</v>
      </c>
      <c r="DS32" s="75">
        <f>(1+INDEX('Inputs &amp; Drivers'!$G$52:$G$62,MATCH(Model!DS$4,'Inputs &amp; Drivers'!$B$52:$B$62,0))*(DS$4&lt;&gt;DR$4))*DR32</f>
        <v>-36096.55013063606</v>
      </c>
      <c r="DT32" s="75">
        <f>(1+INDEX('Inputs &amp; Drivers'!$G$52:$G$62,MATCH(Model!DT$4,'Inputs &amp; Drivers'!$B$52:$B$62,0))*(DT$4&lt;&gt;DS$4))*DS32</f>
        <v>-36096.55013063606</v>
      </c>
      <c r="DU32" s="75">
        <f>(1+INDEX('Inputs &amp; Drivers'!$G$52:$G$62,MATCH(Model!DU$4,'Inputs &amp; Drivers'!$B$52:$B$62,0))*(DU$4&lt;&gt;DT$4))*DT32</f>
        <v>-36096.55013063606</v>
      </c>
      <c r="DV32" s="75">
        <f>(1+INDEX('Inputs &amp; Drivers'!$G$52:$G$62,MATCH(Model!DV$4,'Inputs &amp; Drivers'!$B$52:$B$62,0))*(DV$4&lt;&gt;DU$4))*DU32</f>
        <v>-36096.55013063606</v>
      </c>
      <c r="DW32" s="75">
        <f>(1+INDEX('Inputs &amp; Drivers'!$G$52:$G$62,MATCH(Model!DW$4,'Inputs &amp; Drivers'!$B$52:$B$62,0))*(DW$4&lt;&gt;DV$4))*DV32</f>
        <v>-36096.55013063606</v>
      </c>
      <c r="DX32" s="75">
        <f>(1+INDEX('Inputs &amp; Drivers'!$G$52:$G$62,MATCH(Model!DX$4,'Inputs &amp; Drivers'!$B$52:$B$62,0))*(DX$4&lt;&gt;DW$4))*DW32</f>
        <v>-36096.55013063606</v>
      </c>
      <c r="DY32" s="75">
        <f>(1+INDEX('Inputs &amp; Drivers'!$G$52:$G$62,MATCH(Model!DY$4,'Inputs &amp; Drivers'!$B$52:$B$62,0))*(DY$4&lt;&gt;DX$4))*DX32</f>
        <v>-36096.55013063606</v>
      </c>
      <c r="DZ32" s="75">
        <f>(1+INDEX('Inputs &amp; Drivers'!$G$52:$G$62,MATCH(Model!DZ$4,'Inputs &amp; Drivers'!$B$52:$B$62,0))*(DZ$4&lt;&gt;DY$4))*DY32</f>
        <v>-37179.446634555141</v>
      </c>
      <c r="EA32" s="75">
        <f>(1+INDEX('Inputs &amp; Drivers'!$G$52:$G$62,MATCH(Model!EA$4,'Inputs &amp; Drivers'!$B$52:$B$62,0))*(EA$4&lt;&gt;DZ$4))*DZ32</f>
        <v>-37179.446634555141</v>
      </c>
      <c r="EB32" s="75">
        <f>(1+INDEX('Inputs &amp; Drivers'!$G$52:$G$62,MATCH(Model!EB$4,'Inputs &amp; Drivers'!$B$52:$B$62,0))*(EB$4&lt;&gt;EA$4))*EA32</f>
        <v>-37179.446634555141</v>
      </c>
      <c r="EC32" s="75">
        <f>(1+INDEX('Inputs &amp; Drivers'!$G$52:$G$62,MATCH(Model!EC$4,'Inputs &amp; Drivers'!$B$52:$B$62,0))*(EC$4&lt;&gt;EB$4))*EB32</f>
        <v>-37179.446634555141</v>
      </c>
      <c r="ED32" s="75">
        <f>(1+INDEX('Inputs &amp; Drivers'!$G$52:$G$62,MATCH(Model!ED$4,'Inputs &amp; Drivers'!$B$52:$B$62,0))*(ED$4&lt;&gt;EC$4))*EC32</f>
        <v>-37179.446634555141</v>
      </c>
      <c r="EE32" s="75">
        <f>(1+INDEX('Inputs &amp; Drivers'!$G$52:$G$62,MATCH(Model!EE$4,'Inputs &amp; Drivers'!$B$52:$B$62,0))*(EE$4&lt;&gt;ED$4))*ED32</f>
        <v>-37179.446634555141</v>
      </c>
      <c r="EF32" s="75">
        <f>(1+INDEX('Inputs &amp; Drivers'!$G$52:$G$62,MATCH(Model!EF$4,'Inputs &amp; Drivers'!$B$52:$B$62,0))*(EF$4&lt;&gt;EE$4))*EE32</f>
        <v>-37179.446634555141</v>
      </c>
      <c r="EG32" s="75">
        <f>(1+INDEX('Inputs &amp; Drivers'!$G$52:$G$62,MATCH(Model!EG$4,'Inputs &amp; Drivers'!$B$52:$B$62,0))*(EG$4&lt;&gt;EF$4))*EF32</f>
        <v>-37179.446634555141</v>
      </c>
      <c r="EH32" s="75">
        <f>(1+INDEX('Inputs &amp; Drivers'!$G$52:$G$62,MATCH(Model!EH$4,'Inputs &amp; Drivers'!$B$52:$B$62,0))*(EH$4&lt;&gt;EG$4))*EG32</f>
        <v>-37179.446634555141</v>
      </c>
      <c r="EI32" s="75">
        <f>(1+INDEX('Inputs &amp; Drivers'!$G$52:$G$62,MATCH(Model!EI$4,'Inputs &amp; Drivers'!$B$52:$B$62,0))*(EI$4&lt;&gt;EH$4))*EH32</f>
        <v>-37179.446634555141</v>
      </c>
      <c r="EJ32" s="75">
        <f>(1+INDEX('Inputs &amp; Drivers'!$G$52:$G$62,MATCH(Model!EJ$4,'Inputs &amp; Drivers'!$B$52:$B$62,0))*(EJ$4&lt;&gt;EI$4))*EI32</f>
        <v>-37179.446634555141</v>
      </c>
      <c r="EK32" s="75">
        <f>(1+INDEX('Inputs &amp; Drivers'!$G$52:$G$62,MATCH(Model!EK$4,'Inputs &amp; Drivers'!$B$52:$B$62,0))*(EK$4&lt;&gt;EJ$4))*EJ32</f>
        <v>-37179.446634555141</v>
      </c>
      <c r="EM32" s="109">
        <f t="shared" ref="EM32:EX41" si="517">SUMIF($I$4:$EK$4,EM$5,$I32:$EK32)</f>
        <v>0</v>
      </c>
      <c r="EN32" s="109">
        <f t="shared" si="517"/>
        <v>-331980</v>
      </c>
      <c r="EO32" s="109">
        <f t="shared" si="517"/>
        <v>-341939.40000000008</v>
      </c>
      <c r="EP32" s="109">
        <f t="shared" si="517"/>
        <v>-352197.58199999994</v>
      </c>
      <c r="EQ32" s="109">
        <f t="shared" si="517"/>
        <v>-362763.50945999991</v>
      </c>
      <c r="ER32" s="109">
        <f t="shared" si="517"/>
        <v>-373646.41474380001</v>
      </c>
      <c r="ES32" s="109">
        <f t="shared" si="517"/>
        <v>-384855.80718611408</v>
      </c>
      <c r="ET32" s="109">
        <f t="shared" si="517"/>
        <v>-396401.48140169733</v>
      </c>
      <c r="EU32" s="109">
        <f t="shared" si="517"/>
        <v>-408293.52584374853</v>
      </c>
      <c r="EV32" s="109">
        <f t="shared" si="517"/>
        <v>-420542.33161906089</v>
      </c>
      <c r="EW32" s="109">
        <f t="shared" si="517"/>
        <v>-433158.60156763281</v>
      </c>
      <c r="EX32" s="109">
        <f t="shared" si="517"/>
        <v>-446153.3596146616</v>
      </c>
    </row>
    <row r="33" spans="2:154" x14ac:dyDescent="0.3">
      <c r="B33" s="1" t="s">
        <v>85</v>
      </c>
      <c r="E33" s="70">
        <f>SUM('Historical Financials'!M29:O29)*4</f>
        <v>-87912</v>
      </c>
      <c r="F33" s="70">
        <f>SUM('Historical Financials'!D29:O29)</f>
        <v>-74364</v>
      </c>
      <c r="G33" s="7">
        <f t="shared" ref="G33:G41" si="518">-E33/$C$6</f>
        <v>351.64800000000002</v>
      </c>
      <c r="J33" s="41">
        <f>-'Inputs &amp; Drivers'!$J36/12</f>
        <v>-7326</v>
      </c>
      <c r="K33" s="75">
        <f>(1+INDEX('Inputs &amp; Drivers'!$G$52:$G$62,MATCH(Model!K$4,'Inputs &amp; Drivers'!$B$52:$B$62,0))*(K$4&lt;&gt;J$4))*J33</f>
        <v>-7326</v>
      </c>
      <c r="L33" s="75">
        <f>(1+INDEX('Inputs &amp; Drivers'!$G$52:$G$62,MATCH(Model!L$4,'Inputs &amp; Drivers'!$B$52:$B$62,0))*(L$4&lt;&gt;K$4))*K33</f>
        <v>-7326</v>
      </c>
      <c r="M33" s="75">
        <f>(1+INDEX('Inputs &amp; Drivers'!$G$52:$G$62,MATCH(Model!M$4,'Inputs &amp; Drivers'!$B$52:$B$62,0))*(M$4&lt;&gt;L$4))*L33</f>
        <v>-7326</v>
      </c>
      <c r="N33" s="75">
        <f>(1+INDEX('Inputs &amp; Drivers'!$G$52:$G$62,MATCH(Model!N$4,'Inputs &amp; Drivers'!$B$52:$B$62,0))*(N$4&lt;&gt;M$4))*M33</f>
        <v>-7326</v>
      </c>
      <c r="O33" s="75">
        <f>(1+INDEX('Inputs &amp; Drivers'!$G$52:$G$62,MATCH(Model!O$4,'Inputs &amp; Drivers'!$B$52:$B$62,0))*(O$4&lt;&gt;N$4))*N33</f>
        <v>-7326</v>
      </c>
      <c r="P33" s="75">
        <f>(1+INDEX('Inputs &amp; Drivers'!$G$52:$G$62,MATCH(Model!P$4,'Inputs &amp; Drivers'!$B$52:$B$62,0))*(P$4&lt;&gt;O$4))*O33</f>
        <v>-7326</v>
      </c>
      <c r="Q33" s="75">
        <f>(1+INDEX('Inputs &amp; Drivers'!$G$52:$G$62,MATCH(Model!Q$4,'Inputs &amp; Drivers'!$B$52:$B$62,0))*(Q$4&lt;&gt;P$4))*P33</f>
        <v>-7326</v>
      </c>
      <c r="R33" s="75">
        <f>(1+INDEX('Inputs &amp; Drivers'!$G$52:$G$62,MATCH(Model!R$4,'Inputs &amp; Drivers'!$B$52:$B$62,0))*(R$4&lt;&gt;Q$4))*Q33</f>
        <v>-7326</v>
      </c>
      <c r="S33" s="75">
        <f>(1+INDEX('Inputs &amp; Drivers'!$G$52:$G$62,MATCH(Model!S$4,'Inputs &amp; Drivers'!$B$52:$B$62,0))*(S$4&lt;&gt;R$4))*R33</f>
        <v>-7326</v>
      </c>
      <c r="T33" s="75">
        <f>(1+INDEX('Inputs &amp; Drivers'!$G$52:$G$62,MATCH(Model!T$4,'Inputs &amp; Drivers'!$B$52:$B$62,0))*(T$4&lt;&gt;S$4))*S33</f>
        <v>-7326</v>
      </c>
      <c r="U33" s="75">
        <f>(1+INDEX('Inputs &amp; Drivers'!$G$52:$G$62,MATCH(Model!U$4,'Inputs &amp; Drivers'!$B$52:$B$62,0))*(U$4&lt;&gt;T$4))*T33</f>
        <v>-7326</v>
      </c>
      <c r="V33" s="75">
        <f>(1+INDEX('Inputs &amp; Drivers'!$G$52:$G$62,MATCH(Model!V$4,'Inputs &amp; Drivers'!$B$52:$B$62,0))*(V$4&lt;&gt;U$4))*U33</f>
        <v>-7545.78</v>
      </c>
      <c r="W33" s="75">
        <f>(1+INDEX('Inputs &amp; Drivers'!$G$52:$G$62,MATCH(Model!W$4,'Inputs &amp; Drivers'!$B$52:$B$62,0))*(W$4&lt;&gt;V$4))*V33</f>
        <v>-7545.78</v>
      </c>
      <c r="X33" s="75">
        <f>(1+INDEX('Inputs &amp; Drivers'!$G$52:$G$62,MATCH(Model!X$4,'Inputs &amp; Drivers'!$B$52:$B$62,0))*(X$4&lt;&gt;W$4))*W33</f>
        <v>-7545.78</v>
      </c>
      <c r="Y33" s="75">
        <f>(1+INDEX('Inputs &amp; Drivers'!$G$52:$G$62,MATCH(Model!Y$4,'Inputs &amp; Drivers'!$B$52:$B$62,0))*(Y$4&lt;&gt;X$4))*X33</f>
        <v>-7545.78</v>
      </c>
      <c r="Z33" s="75">
        <f>(1+INDEX('Inputs &amp; Drivers'!$G$52:$G$62,MATCH(Model!Z$4,'Inputs &amp; Drivers'!$B$52:$B$62,0))*(Z$4&lt;&gt;Y$4))*Y33</f>
        <v>-7545.78</v>
      </c>
      <c r="AA33" s="75">
        <f>(1+INDEX('Inputs &amp; Drivers'!$G$52:$G$62,MATCH(Model!AA$4,'Inputs &amp; Drivers'!$B$52:$B$62,0))*(AA$4&lt;&gt;Z$4))*Z33</f>
        <v>-7545.78</v>
      </c>
      <c r="AB33" s="75">
        <f>(1+INDEX('Inputs &amp; Drivers'!$G$52:$G$62,MATCH(Model!AB$4,'Inputs &amp; Drivers'!$B$52:$B$62,0))*(AB$4&lt;&gt;AA$4))*AA33</f>
        <v>-7545.78</v>
      </c>
      <c r="AC33" s="75">
        <f>(1+INDEX('Inputs &amp; Drivers'!$G$52:$G$62,MATCH(Model!AC$4,'Inputs &amp; Drivers'!$B$52:$B$62,0))*(AC$4&lt;&gt;AB$4))*AB33</f>
        <v>-7545.78</v>
      </c>
      <c r="AD33" s="75">
        <f>(1+INDEX('Inputs &amp; Drivers'!$G$52:$G$62,MATCH(Model!AD$4,'Inputs &amp; Drivers'!$B$52:$B$62,0))*(AD$4&lt;&gt;AC$4))*AC33</f>
        <v>-7545.78</v>
      </c>
      <c r="AE33" s="75">
        <f>(1+INDEX('Inputs &amp; Drivers'!$G$52:$G$62,MATCH(Model!AE$4,'Inputs &amp; Drivers'!$B$52:$B$62,0))*(AE$4&lt;&gt;AD$4))*AD33</f>
        <v>-7545.78</v>
      </c>
      <c r="AF33" s="75">
        <f>(1+INDEX('Inputs &amp; Drivers'!$G$52:$G$62,MATCH(Model!AF$4,'Inputs &amp; Drivers'!$B$52:$B$62,0))*(AF$4&lt;&gt;AE$4))*AE33</f>
        <v>-7545.78</v>
      </c>
      <c r="AG33" s="75">
        <f>(1+INDEX('Inputs &amp; Drivers'!$G$52:$G$62,MATCH(Model!AG$4,'Inputs &amp; Drivers'!$B$52:$B$62,0))*(AG$4&lt;&gt;AF$4))*AF33</f>
        <v>-7545.78</v>
      </c>
      <c r="AH33" s="75">
        <f>(1+INDEX('Inputs &amp; Drivers'!$G$52:$G$62,MATCH(Model!AH$4,'Inputs &amp; Drivers'!$B$52:$B$62,0))*(AH$4&lt;&gt;AG$4))*AG33</f>
        <v>-7772.1534000000001</v>
      </c>
      <c r="AI33" s="75">
        <f>(1+INDEX('Inputs &amp; Drivers'!$G$52:$G$62,MATCH(Model!AI$4,'Inputs &amp; Drivers'!$B$52:$B$62,0))*(AI$4&lt;&gt;AH$4))*AH33</f>
        <v>-7772.1534000000001</v>
      </c>
      <c r="AJ33" s="75">
        <f>(1+INDEX('Inputs &amp; Drivers'!$G$52:$G$62,MATCH(Model!AJ$4,'Inputs &amp; Drivers'!$B$52:$B$62,0))*(AJ$4&lt;&gt;AI$4))*AI33</f>
        <v>-7772.1534000000001</v>
      </c>
      <c r="AK33" s="75">
        <f>(1+INDEX('Inputs &amp; Drivers'!$G$52:$G$62,MATCH(Model!AK$4,'Inputs &amp; Drivers'!$B$52:$B$62,0))*(AK$4&lt;&gt;AJ$4))*AJ33</f>
        <v>-7772.1534000000001</v>
      </c>
      <c r="AL33" s="75">
        <f>(1+INDEX('Inputs &amp; Drivers'!$G$52:$G$62,MATCH(Model!AL$4,'Inputs &amp; Drivers'!$B$52:$B$62,0))*(AL$4&lt;&gt;AK$4))*AK33</f>
        <v>-7772.1534000000001</v>
      </c>
      <c r="AM33" s="75">
        <f>(1+INDEX('Inputs &amp; Drivers'!$G$52:$G$62,MATCH(Model!AM$4,'Inputs &amp; Drivers'!$B$52:$B$62,0))*(AM$4&lt;&gt;AL$4))*AL33</f>
        <v>-7772.1534000000001</v>
      </c>
      <c r="AN33" s="75">
        <f>(1+INDEX('Inputs &amp; Drivers'!$G$52:$G$62,MATCH(Model!AN$4,'Inputs &amp; Drivers'!$B$52:$B$62,0))*(AN$4&lt;&gt;AM$4))*AM33</f>
        <v>-7772.1534000000001</v>
      </c>
      <c r="AO33" s="75">
        <f>(1+INDEX('Inputs &amp; Drivers'!$G$52:$G$62,MATCH(Model!AO$4,'Inputs &amp; Drivers'!$B$52:$B$62,0))*(AO$4&lt;&gt;AN$4))*AN33</f>
        <v>-7772.1534000000001</v>
      </c>
      <c r="AP33" s="75">
        <f>(1+INDEX('Inputs &amp; Drivers'!$G$52:$G$62,MATCH(Model!AP$4,'Inputs &amp; Drivers'!$B$52:$B$62,0))*(AP$4&lt;&gt;AO$4))*AO33</f>
        <v>-7772.1534000000001</v>
      </c>
      <c r="AQ33" s="75">
        <f>(1+INDEX('Inputs &amp; Drivers'!$G$52:$G$62,MATCH(Model!AQ$4,'Inputs &amp; Drivers'!$B$52:$B$62,0))*(AQ$4&lt;&gt;AP$4))*AP33</f>
        <v>-7772.1534000000001</v>
      </c>
      <c r="AR33" s="75">
        <f>(1+INDEX('Inputs &amp; Drivers'!$G$52:$G$62,MATCH(Model!AR$4,'Inputs &amp; Drivers'!$B$52:$B$62,0))*(AR$4&lt;&gt;AQ$4))*AQ33</f>
        <v>-7772.1534000000001</v>
      </c>
      <c r="AS33" s="75">
        <f>(1+INDEX('Inputs &amp; Drivers'!$G$52:$G$62,MATCH(Model!AS$4,'Inputs &amp; Drivers'!$B$52:$B$62,0))*(AS$4&lt;&gt;AR$4))*AR33</f>
        <v>-7772.1534000000001</v>
      </c>
      <c r="AT33" s="75">
        <f>(1+INDEX('Inputs &amp; Drivers'!$G$52:$G$62,MATCH(Model!AT$4,'Inputs &amp; Drivers'!$B$52:$B$62,0))*(AT$4&lt;&gt;AS$4))*AS33</f>
        <v>-8005.318002</v>
      </c>
      <c r="AU33" s="75">
        <f>(1+INDEX('Inputs &amp; Drivers'!$G$52:$G$62,MATCH(Model!AU$4,'Inputs &amp; Drivers'!$B$52:$B$62,0))*(AU$4&lt;&gt;AT$4))*AT33</f>
        <v>-8005.318002</v>
      </c>
      <c r="AV33" s="75">
        <f>(1+INDEX('Inputs &amp; Drivers'!$G$52:$G$62,MATCH(Model!AV$4,'Inputs &amp; Drivers'!$B$52:$B$62,0))*(AV$4&lt;&gt;AU$4))*AU33</f>
        <v>-8005.318002</v>
      </c>
      <c r="AW33" s="75">
        <f>(1+INDEX('Inputs &amp; Drivers'!$G$52:$G$62,MATCH(Model!AW$4,'Inputs &amp; Drivers'!$B$52:$B$62,0))*(AW$4&lt;&gt;AV$4))*AV33</f>
        <v>-8005.318002</v>
      </c>
      <c r="AX33" s="75">
        <f>(1+INDEX('Inputs &amp; Drivers'!$G$52:$G$62,MATCH(Model!AX$4,'Inputs &amp; Drivers'!$B$52:$B$62,0))*(AX$4&lt;&gt;AW$4))*AW33</f>
        <v>-8005.318002</v>
      </c>
      <c r="AY33" s="75">
        <f>(1+INDEX('Inputs &amp; Drivers'!$G$52:$G$62,MATCH(Model!AY$4,'Inputs &amp; Drivers'!$B$52:$B$62,0))*(AY$4&lt;&gt;AX$4))*AX33</f>
        <v>-8005.318002</v>
      </c>
      <c r="AZ33" s="75">
        <f>(1+INDEX('Inputs &amp; Drivers'!$G$52:$G$62,MATCH(Model!AZ$4,'Inputs &amp; Drivers'!$B$52:$B$62,0))*(AZ$4&lt;&gt;AY$4))*AY33</f>
        <v>-8005.318002</v>
      </c>
      <c r="BA33" s="75">
        <f>(1+INDEX('Inputs &amp; Drivers'!$G$52:$G$62,MATCH(Model!BA$4,'Inputs &amp; Drivers'!$B$52:$B$62,0))*(BA$4&lt;&gt;AZ$4))*AZ33</f>
        <v>-8005.318002</v>
      </c>
      <c r="BB33" s="75">
        <f>(1+INDEX('Inputs &amp; Drivers'!$G$52:$G$62,MATCH(Model!BB$4,'Inputs &amp; Drivers'!$B$52:$B$62,0))*(BB$4&lt;&gt;BA$4))*BA33</f>
        <v>-8005.318002</v>
      </c>
      <c r="BC33" s="75">
        <f>(1+INDEX('Inputs &amp; Drivers'!$G$52:$G$62,MATCH(Model!BC$4,'Inputs &amp; Drivers'!$B$52:$B$62,0))*(BC$4&lt;&gt;BB$4))*BB33</f>
        <v>-8005.318002</v>
      </c>
      <c r="BD33" s="75">
        <f>(1+INDEX('Inputs &amp; Drivers'!$G$52:$G$62,MATCH(Model!BD$4,'Inputs &amp; Drivers'!$B$52:$B$62,0))*(BD$4&lt;&gt;BC$4))*BC33</f>
        <v>-8005.318002</v>
      </c>
      <c r="BE33" s="75">
        <f>(1+INDEX('Inputs &amp; Drivers'!$G$52:$G$62,MATCH(Model!BE$4,'Inputs &amp; Drivers'!$B$52:$B$62,0))*(BE$4&lt;&gt;BD$4))*BD33</f>
        <v>-8005.318002</v>
      </c>
      <c r="BF33" s="75">
        <f>(1+INDEX('Inputs &amp; Drivers'!$G$52:$G$62,MATCH(Model!BF$4,'Inputs &amp; Drivers'!$B$52:$B$62,0))*(BF$4&lt;&gt;BE$4))*BE33</f>
        <v>-8245.4775420599999</v>
      </c>
      <c r="BG33" s="75">
        <f>(1+INDEX('Inputs &amp; Drivers'!$G$52:$G$62,MATCH(Model!BG$4,'Inputs &amp; Drivers'!$B$52:$B$62,0))*(BG$4&lt;&gt;BF$4))*BF33</f>
        <v>-8245.4775420599999</v>
      </c>
      <c r="BH33" s="75">
        <f>(1+INDEX('Inputs &amp; Drivers'!$G$52:$G$62,MATCH(Model!BH$4,'Inputs &amp; Drivers'!$B$52:$B$62,0))*(BH$4&lt;&gt;BG$4))*BG33</f>
        <v>-8245.4775420599999</v>
      </c>
      <c r="BI33" s="75">
        <f>(1+INDEX('Inputs &amp; Drivers'!$G$52:$G$62,MATCH(Model!BI$4,'Inputs &amp; Drivers'!$B$52:$B$62,0))*(BI$4&lt;&gt;BH$4))*BH33</f>
        <v>-8245.4775420599999</v>
      </c>
      <c r="BJ33" s="75">
        <f>(1+INDEX('Inputs &amp; Drivers'!$G$52:$G$62,MATCH(Model!BJ$4,'Inputs &amp; Drivers'!$B$52:$B$62,0))*(BJ$4&lt;&gt;BI$4))*BI33</f>
        <v>-8245.4775420599999</v>
      </c>
      <c r="BK33" s="75">
        <f>(1+INDEX('Inputs &amp; Drivers'!$G$52:$G$62,MATCH(Model!BK$4,'Inputs &amp; Drivers'!$B$52:$B$62,0))*(BK$4&lt;&gt;BJ$4))*BJ33</f>
        <v>-8245.4775420599999</v>
      </c>
      <c r="BL33" s="75">
        <f>(1+INDEX('Inputs &amp; Drivers'!$G$52:$G$62,MATCH(Model!BL$4,'Inputs &amp; Drivers'!$B$52:$B$62,0))*(BL$4&lt;&gt;BK$4))*BK33</f>
        <v>-8245.4775420599999</v>
      </c>
      <c r="BM33" s="75">
        <f>(1+INDEX('Inputs &amp; Drivers'!$G$52:$G$62,MATCH(Model!BM$4,'Inputs &amp; Drivers'!$B$52:$B$62,0))*(BM$4&lt;&gt;BL$4))*BL33</f>
        <v>-8245.4775420599999</v>
      </c>
      <c r="BN33" s="75">
        <f>(1+INDEX('Inputs &amp; Drivers'!$G$52:$G$62,MATCH(Model!BN$4,'Inputs &amp; Drivers'!$B$52:$B$62,0))*(BN$4&lt;&gt;BM$4))*BM33</f>
        <v>-8245.4775420599999</v>
      </c>
      <c r="BO33" s="75">
        <f>(1+INDEX('Inputs &amp; Drivers'!$G$52:$G$62,MATCH(Model!BO$4,'Inputs &amp; Drivers'!$B$52:$B$62,0))*(BO$4&lt;&gt;BN$4))*BN33</f>
        <v>-8245.4775420599999</v>
      </c>
      <c r="BP33" s="75">
        <f>(1+INDEX('Inputs &amp; Drivers'!$G$52:$G$62,MATCH(Model!BP$4,'Inputs &amp; Drivers'!$B$52:$B$62,0))*(BP$4&lt;&gt;BO$4))*BO33</f>
        <v>-8245.4775420599999</v>
      </c>
      <c r="BQ33" s="75">
        <f>(1+INDEX('Inputs &amp; Drivers'!$G$52:$G$62,MATCH(Model!BQ$4,'Inputs &amp; Drivers'!$B$52:$B$62,0))*(BQ$4&lt;&gt;BP$4))*BP33</f>
        <v>-8245.4775420599999</v>
      </c>
      <c r="BR33" s="75">
        <f>(1+INDEX('Inputs &amp; Drivers'!$G$52:$G$62,MATCH(Model!BR$4,'Inputs &amp; Drivers'!$B$52:$B$62,0))*(BR$4&lt;&gt;BQ$4))*BQ33</f>
        <v>-8492.8418683218006</v>
      </c>
      <c r="BS33" s="75">
        <f>(1+INDEX('Inputs &amp; Drivers'!$G$52:$G$62,MATCH(Model!BS$4,'Inputs &amp; Drivers'!$B$52:$B$62,0))*(BS$4&lt;&gt;BR$4))*BR33</f>
        <v>-8492.8418683218006</v>
      </c>
      <c r="BT33" s="75">
        <f>(1+INDEX('Inputs &amp; Drivers'!$G$52:$G$62,MATCH(Model!BT$4,'Inputs &amp; Drivers'!$B$52:$B$62,0))*(BT$4&lt;&gt;BS$4))*BS33</f>
        <v>-8492.8418683218006</v>
      </c>
      <c r="BU33" s="75">
        <f>(1+INDEX('Inputs &amp; Drivers'!$G$52:$G$62,MATCH(Model!BU$4,'Inputs &amp; Drivers'!$B$52:$B$62,0))*(BU$4&lt;&gt;BT$4))*BT33</f>
        <v>-8492.8418683218006</v>
      </c>
      <c r="BV33" s="75">
        <f>(1+INDEX('Inputs &amp; Drivers'!$G$52:$G$62,MATCH(Model!BV$4,'Inputs &amp; Drivers'!$B$52:$B$62,0))*(BV$4&lt;&gt;BU$4))*BU33</f>
        <v>-8492.8418683218006</v>
      </c>
      <c r="BW33" s="75">
        <f>(1+INDEX('Inputs &amp; Drivers'!$G$52:$G$62,MATCH(Model!BW$4,'Inputs &amp; Drivers'!$B$52:$B$62,0))*(BW$4&lt;&gt;BV$4))*BV33</f>
        <v>-8492.8418683218006</v>
      </c>
      <c r="BX33" s="75">
        <f>(1+INDEX('Inputs &amp; Drivers'!$G$52:$G$62,MATCH(Model!BX$4,'Inputs &amp; Drivers'!$B$52:$B$62,0))*(BX$4&lt;&gt;BW$4))*BW33</f>
        <v>-8492.8418683218006</v>
      </c>
      <c r="BY33" s="75">
        <f>(1+INDEX('Inputs &amp; Drivers'!$G$52:$G$62,MATCH(Model!BY$4,'Inputs &amp; Drivers'!$B$52:$B$62,0))*(BY$4&lt;&gt;BX$4))*BX33</f>
        <v>-8492.8418683218006</v>
      </c>
      <c r="BZ33" s="75">
        <f>(1+INDEX('Inputs &amp; Drivers'!$G$52:$G$62,MATCH(Model!BZ$4,'Inputs &amp; Drivers'!$B$52:$B$62,0))*(BZ$4&lt;&gt;BY$4))*BY33</f>
        <v>-8492.8418683218006</v>
      </c>
      <c r="CA33" s="75">
        <f>(1+INDEX('Inputs &amp; Drivers'!$G$52:$G$62,MATCH(Model!CA$4,'Inputs &amp; Drivers'!$B$52:$B$62,0))*(CA$4&lt;&gt;BZ$4))*BZ33</f>
        <v>-8492.8418683218006</v>
      </c>
      <c r="CB33" s="75">
        <f>(1+INDEX('Inputs &amp; Drivers'!$G$52:$G$62,MATCH(Model!CB$4,'Inputs &amp; Drivers'!$B$52:$B$62,0))*(CB$4&lt;&gt;CA$4))*CA33</f>
        <v>-8492.8418683218006</v>
      </c>
      <c r="CC33" s="75">
        <f>(1+INDEX('Inputs &amp; Drivers'!$G$52:$G$62,MATCH(Model!CC$4,'Inputs &amp; Drivers'!$B$52:$B$62,0))*(CC$4&lt;&gt;CB$4))*CB33</f>
        <v>-8492.8418683218006</v>
      </c>
      <c r="CD33" s="75">
        <f>(1+INDEX('Inputs &amp; Drivers'!$G$52:$G$62,MATCH(Model!CD$4,'Inputs &amp; Drivers'!$B$52:$B$62,0))*(CD$4&lt;&gt;CC$4))*CC33</f>
        <v>-8747.6271243714546</v>
      </c>
      <c r="CE33" s="75">
        <f>(1+INDEX('Inputs &amp; Drivers'!$G$52:$G$62,MATCH(Model!CE$4,'Inputs &amp; Drivers'!$B$52:$B$62,0))*(CE$4&lt;&gt;CD$4))*CD33</f>
        <v>-8747.6271243714546</v>
      </c>
      <c r="CF33" s="75">
        <f>(1+INDEX('Inputs &amp; Drivers'!$G$52:$G$62,MATCH(Model!CF$4,'Inputs &amp; Drivers'!$B$52:$B$62,0))*(CF$4&lt;&gt;CE$4))*CE33</f>
        <v>-8747.6271243714546</v>
      </c>
      <c r="CG33" s="75">
        <f>(1+INDEX('Inputs &amp; Drivers'!$G$52:$G$62,MATCH(Model!CG$4,'Inputs &amp; Drivers'!$B$52:$B$62,0))*(CG$4&lt;&gt;CF$4))*CF33</f>
        <v>-8747.6271243714546</v>
      </c>
      <c r="CH33" s="75">
        <f>(1+INDEX('Inputs &amp; Drivers'!$G$52:$G$62,MATCH(Model!CH$4,'Inputs &amp; Drivers'!$B$52:$B$62,0))*(CH$4&lt;&gt;CG$4))*CG33</f>
        <v>-8747.6271243714546</v>
      </c>
      <c r="CI33" s="75">
        <f>(1+INDEX('Inputs &amp; Drivers'!$G$52:$G$62,MATCH(Model!CI$4,'Inputs &amp; Drivers'!$B$52:$B$62,0))*(CI$4&lt;&gt;CH$4))*CH33</f>
        <v>-8747.6271243714546</v>
      </c>
      <c r="CJ33" s="75">
        <f>(1+INDEX('Inputs &amp; Drivers'!$G$52:$G$62,MATCH(Model!CJ$4,'Inputs &amp; Drivers'!$B$52:$B$62,0))*(CJ$4&lt;&gt;CI$4))*CI33</f>
        <v>-8747.6271243714546</v>
      </c>
      <c r="CK33" s="75">
        <f>(1+INDEX('Inputs &amp; Drivers'!$G$52:$G$62,MATCH(Model!CK$4,'Inputs &amp; Drivers'!$B$52:$B$62,0))*(CK$4&lt;&gt;CJ$4))*CJ33</f>
        <v>-8747.6271243714546</v>
      </c>
      <c r="CL33" s="75">
        <f>(1+INDEX('Inputs &amp; Drivers'!$G$52:$G$62,MATCH(Model!CL$4,'Inputs &amp; Drivers'!$B$52:$B$62,0))*(CL$4&lt;&gt;CK$4))*CK33</f>
        <v>-8747.6271243714546</v>
      </c>
      <c r="CM33" s="75">
        <f>(1+INDEX('Inputs &amp; Drivers'!$G$52:$G$62,MATCH(Model!CM$4,'Inputs &amp; Drivers'!$B$52:$B$62,0))*(CM$4&lt;&gt;CL$4))*CL33</f>
        <v>-8747.6271243714546</v>
      </c>
      <c r="CN33" s="75">
        <f>(1+INDEX('Inputs &amp; Drivers'!$G$52:$G$62,MATCH(Model!CN$4,'Inputs &amp; Drivers'!$B$52:$B$62,0))*(CN$4&lt;&gt;CM$4))*CM33</f>
        <v>-8747.6271243714546</v>
      </c>
      <c r="CO33" s="75">
        <f>(1+INDEX('Inputs &amp; Drivers'!$G$52:$G$62,MATCH(Model!CO$4,'Inputs &amp; Drivers'!$B$52:$B$62,0))*(CO$4&lt;&gt;CN$4))*CN33</f>
        <v>-8747.6271243714546</v>
      </c>
      <c r="CP33" s="75">
        <f>(1+INDEX('Inputs &amp; Drivers'!$G$52:$G$62,MATCH(Model!CP$4,'Inputs &amp; Drivers'!$B$52:$B$62,0))*(CP$4&lt;&gt;CO$4))*CO33</f>
        <v>-9010.0559381025978</v>
      </c>
      <c r="CQ33" s="75">
        <f>(1+INDEX('Inputs &amp; Drivers'!$G$52:$G$62,MATCH(Model!CQ$4,'Inputs &amp; Drivers'!$B$52:$B$62,0))*(CQ$4&lt;&gt;CP$4))*CP33</f>
        <v>-9010.0559381025978</v>
      </c>
      <c r="CR33" s="75">
        <f>(1+INDEX('Inputs &amp; Drivers'!$G$52:$G$62,MATCH(Model!CR$4,'Inputs &amp; Drivers'!$B$52:$B$62,0))*(CR$4&lt;&gt;CQ$4))*CQ33</f>
        <v>-9010.0559381025978</v>
      </c>
      <c r="CS33" s="75">
        <f>(1+INDEX('Inputs &amp; Drivers'!$G$52:$G$62,MATCH(Model!CS$4,'Inputs &amp; Drivers'!$B$52:$B$62,0))*(CS$4&lt;&gt;CR$4))*CR33</f>
        <v>-9010.0559381025978</v>
      </c>
      <c r="CT33" s="75">
        <f>(1+INDEX('Inputs &amp; Drivers'!$G$52:$G$62,MATCH(Model!CT$4,'Inputs &amp; Drivers'!$B$52:$B$62,0))*(CT$4&lt;&gt;CS$4))*CS33</f>
        <v>-9010.0559381025978</v>
      </c>
      <c r="CU33" s="75">
        <f>(1+INDEX('Inputs &amp; Drivers'!$G$52:$G$62,MATCH(Model!CU$4,'Inputs &amp; Drivers'!$B$52:$B$62,0))*(CU$4&lt;&gt;CT$4))*CT33</f>
        <v>-9010.0559381025978</v>
      </c>
      <c r="CV33" s="75">
        <f>(1+INDEX('Inputs &amp; Drivers'!$G$52:$G$62,MATCH(Model!CV$4,'Inputs &amp; Drivers'!$B$52:$B$62,0))*(CV$4&lt;&gt;CU$4))*CU33</f>
        <v>-9010.0559381025978</v>
      </c>
      <c r="CW33" s="75">
        <f>(1+INDEX('Inputs &amp; Drivers'!$G$52:$G$62,MATCH(Model!CW$4,'Inputs &amp; Drivers'!$B$52:$B$62,0))*(CW$4&lt;&gt;CV$4))*CV33</f>
        <v>-9010.0559381025978</v>
      </c>
      <c r="CX33" s="75">
        <f>(1+INDEX('Inputs &amp; Drivers'!$G$52:$G$62,MATCH(Model!CX$4,'Inputs &amp; Drivers'!$B$52:$B$62,0))*(CX$4&lt;&gt;CW$4))*CW33</f>
        <v>-9010.0559381025978</v>
      </c>
      <c r="CY33" s="75">
        <f>(1+INDEX('Inputs &amp; Drivers'!$G$52:$G$62,MATCH(Model!CY$4,'Inputs &amp; Drivers'!$B$52:$B$62,0))*(CY$4&lt;&gt;CX$4))*CX33</f>
        <v>-9010.0559381025978</v>
      </c>
      <c r="CZ33" s="75">
        <f>(1+INDEX('Inputs &amp; Drivers'!$G$52:$G$62,MATCH(Model!CZ$4,'Inputs &amp; Drivers'!$B$52:$B$62,0))*(CZ$4&lt;&gt;CY$4))*CY33</f>
        <v>-9010.0559381025978</v>
      </c>
      <c r="DA33" s="75">
        <f>(1+INDEX('Inputs &amp; Drivers'!$G$52:$G$62,MATCH(Model!DA$4,'Inputs &amp; Drivers'!$B$52:$B$62,0))*(DA$4&lt;&gt;CZ$4))*CZ33</f>
        <v>-9010.0559381025978</v>
      </c>
      <c r="DB33" s="75">
        <f>(1+INDEX('Inputs &amp; Drivers'!$G$52:$G$62,MATCH(Model!DB$4,'Inputs &amp; Drivers'!$B$52:$B$62,0))*(DB$4&lt;&gt;DA$4))*DA33</f>
        <v>-9280.3576162456757</v>
      </c>
      <c r="DC33" s="75">
        <f>(1+INDEX('Inputs &amp; Drivers'!$G$52:$G$62,MATCH(Model!DC$4,'Inputs &amp; Drivers'!$B$52:$B$62,0))*(DC$4&lt;&gt;DB$4))*DB33</f>
        <v>-9280.3576162456757</v>
      </c>
      <c r="DD33" s="75">
        <f>(1+INDEX('Inputs &amp; Drivers'!$G$52:$G$62,MATCH(Model!DD$4,'Inputs &amp; Drivers'!$B$52:$B$62,0))*(DD$4&lt;&gt;DC$4))*DC33</f>
        <v>-9280.3576162456757</v>
      </c>
      <c r="DE33" s="75">
        <f>(1+INDEX('Inputs &amp; Drivers'!$G$52:$G$62,MATCH(Model!DE$4,'Inputs &amp; Drivers'!$B$52:$B$62,0))*(DE$4&lt;&gt;DD$4))*DD33</f>
        <v>-9280.3576162456757</v>
      </c>
      <c r="DF33" s="75">
        <f>(1+INDEX('Inputs &amp; Drivers'!$G$52:$G$62,MATCH(Model!DF$4,'Inputs &amp; Drivers'!$B$52:$B$62,0))*(DF$4&lt;&gt;DE$4))*DE33</f>
        <v>-9280.3576162456757</v>
      </c>
      <c r="DG33" s="75">
        <f>(1+INDEX('Inputs &amp; Drivers'!$G$52:$G$62,MATCH(Model!DG$4,'Inputs &amp; Drivers'!$B$52:$B$62,0))*(DG$4&lt;&gt;DF$4))*DF33</f>
        <v>-9280.3576162456757</v>
      </c>
      <c r="DH33" s="75">
        <f>(1+INDEX('Inputs &amp; Drivers'!$G$52:$G$62,MATCH(Model!DH$4,'Inputs &amp; Drivers'!$B$52:$B$62,0))*(DH$4&lt;&gt;DG$4))*DG33</f>
        <v>-9280.3576162456757</v>
      </c>
      <c r="DI33" s="75">
        <f>(1+INDEX('Inputs &amp; Drivers'!$G$52:$G$62,MATCH(Model!DI$4,'Inputs &amp; Drivers'!$B$52:$B$62,0))*(DI$4&lt;&gt;DH$4))*DH33</f>
        <v>-9280.3576162456757</v>
      </c>
      <c r="DJ33" s="75">
        <f>(1+INDEX('Inputs &amp; Drivers'!$G$52:$G$62,MATCH(Model!DJ$4,'Inputs &amp; Drivers'!$B$52:$B$62,0))*(DJ$4&lt;&gt;DI$4))*DI33</f>
        <v>-9280.3576162456757</v>
      </c>
      <c r="DK33" s="75">
        <f>(1+INDEX('Inputs &amp; Drivers'!$G$52:$G$62,MATCH(Model!DK$4,'Inputs &amp; Drivers'!$B$52:$B$62,0))*(DK$4&lt;&gt;DJ$4))*DJ33</f>
        <v>-9280.3576162456757</v>
      </c>
      <c r="DL33" s="75">
        <f>(1+INDEX('Inputs &amp; Drivers'!$G$52:$G$62,MATCH(Model!DL$4,'Inputs &amp; Drivers'!$B$52:$B$62,0))*(DL$4&lt;&gt;DK$4))*DK33</f>
        <v>-9280.3576162456757</v>
      </c>
      <c r="DM33" s="75">
        <f>(1+INDEX('Inputs &amp; Drivers'!$G$52:$G$62,MATCH(Model!DM$4,'Inputs &amp; Drivers'!$B$52:$B$62,0))*(DM$4&lt;&gt;DL$4))*DL33</f>
        <v>-9280.3576162456757</v>
      </c>
      <c r="DN33" s="75">
        <f>(1+INDEX('Inputs &amp; Drivers'!$G$52:$G$62,MATCH(Model!DN$4,'Inputs &amp; Drivers'!$B$52:$B$62,0))*(DN$4&lt;&gt;DM$4))*DM33</f>
        <v>-9558.7683447330455</v>
      </c>
      <c r="DO33" s="75">
        <f>(1+INDEX('Inputs &amp; Drivers'!$G$52:$G$62,MATCH(Model!DO$4,'Inputs &amp; Drivers'!$B$52:$B$62,0))*(DO$4&lt;&gt;DN$4))*DN33</f>
        <v>-9558.7683447330455</v>
      </c>
      <c r="DP33" s="75">
        <f>(1+INDEX('Inputs &amp; Drivers'!$G$52:$G$62,MATCH(Model!DP$4,'Inputs &amp; Drivers'!$B$52:$B$62,0))*(DP$4&lt;&gt;DO$4))*DO33</f>
        <v>-9558.7683447330455</v>
      </c>
      <c r="DQ33" s="75">
        <f>(1+INDEX('Inputs &amp; Drivers'!$G$52:$G$62,MATCH(Model!DQ$4,'Inputs &amp; Drivers'!$B$52:$B$62,0))*(DQ$4&lt;&gt;DP$4))*DP33</f>
        <v>-9558.7683447330455</v>
      </c>
      <c r="DR33" s="75">
        <f>(1+INDEX('Inputs &amp; Drivers'!$G$52:$G$62,MATCH(Model!DR$4,'Inputs &amp; Drivers'!$B$52:$B$62,0))*(DR$4&lt;&gt;DQ$4))*DQ33</f>
        <v>-9558.7683447330455</v>
      </c>
      <c r="DS33" s="75">
        <f>(1+INDEX('Inputs &amp; Drivers'!$G$52:$G$62,MATCH(Model!DS$4,'Inputs &amp; Drivers'!$B$52:$B$62,0))*(DS$4&lt;&gt;DR$4))*DR33</f>
        <v>-9558.7683447330455</v>
      </c>
      <c r="DT33" s="75">
        <f>(1+INDEX('Inputs &amp; Drivers'!$G$52:$G$62,MATCH(Model!DT$4,'Inputs &amp; Drivers'!$B$52:$B$62,0))*(DT$4&lt;&gt;DS$4))*DS33</f>
        <v>-9558.7683447330455</v>
      </c>
      <c r="DU33" s="75">
        <f>(1+INDEX('Inputs &amp; Drivers'!$G$52:$G$62,MATCH(Model!DU$4,'Inputs &amp; Drivers'!$B$52:$B$62,0))*(DU$4&lt;&gt;DT$4))*DT33</f>
        <v>-9558.7683447330455</v>
      </c>
      <c r="DV33" s="75">
        <f>(1+INDEX('Inputs &amp; Drivers'!$G$52:$G$62,MATCH(Model!DV$4,'Inputs &amp; Drivers'!$B$52:$B$62,0))*(DV$4&lt;&gt;DU$4))*DU33</f>
        <v>-9558.7683447330455</v>
      </c>
      <c r="DW33" s="75">
        <f>(1+INDEX('Inputs &amp; Drivers'!$G$52:$G$62,MATCH(Model!DW$4,'Inputs &amp; Drivers'!$B$52:$B$62,0))*(DW$4&lt;&gt;DV$4))*DV33</f>
        <v>-9558.7683447330455</v>
      </c>
      <c r="DX33" s="75">
        <f>(1+INDEX('Inputs &amp; Drivers'!$G$52:$G$62,MATCH(Model!DX$4,'Inputs &amp; Drivers'!$B$52:$B$62,0))*(DX$4&lt;&gt;DW$4))*DW33</f>
        <v>-9558.7683447330455</v>
      </c>
      <c r="DY33" s="75">
        <f>(1+INDEX('Inputs &amp; Drivers'!$G$52:$G$62,MATCH(Model!DY$4,'Inputs &amp; Drivers'!$B$52:$B$62,0))*(DY$4&lt;&gt;DX$4))*DX33</f>
        <v>-9558.7683447330455</v>
      </c>
      <c r="DZ33" s="75">
        <f>(1+INDEX('Inputs &amp; Drivers'!$G$52:$G$62,MATCH(Model!DZ$4,'Inputs &amp; Drivers'!$B$52:$B$62,0))*(DZ$4&lt;&gt;DY$4))*DY33</f>
        <v>-9845.5313950750369</v>
      </c>
      <c r="EA33" s="75">
        <f>(1+INDEX('Inputs &amp; Drivers'!$G$52:$G$62,MATCH(Model!EA$4,'Inputs &amp; Drivers'!$B$52:$B$62,0))*(EA$4&lt;&gt;DZ$4))*DZ33</f>
        <v>-9845.5313950750369</v>
      </c>
      <c r="EB33" s="75">
        <f>(1+INDEX('Inputs &amp; Drivers'!$G$52:$G$62,MATCH(Model!EB$4,'Inputs &amp; Drivers'!$B$52:$B$62,0))*(EB$4&lt;&gt;EA$4))*EA33</f>
        <v>-9845.5313950750369</v>
      </c>
      <c r="EC33" s="75">
        <f>(1+INDEX('Inputs &amp; Drivers'!$G$52:$G$62,MATCH(Model!EC$4,'Inputs &amp; Drivers'!$B$52:$B$62,0))*(EC$4&lt;&gt;EB$4))*EB33</f>
        <v>-9845.5313950750369</v>
      </c>
      <c r="ED33" s="75">
        <f>(1+INDEX('Inputs &amp; Drivers'!$G$52:$G$62,MATCH(Model!ED$4,'Inputs &amp; Drivers'!$B$52:$B$62,0))*(ED$4&lt;&gt;EC$4))*EC33</f>
        <v>-9845.5313950750369</v>
      </c>
      <c r="EE33" s="75">
        <f>(1+INDEX('Inputs &amp; Drivers'!$G$52:$G$62,MATCH(Model!EE$4,'Inputs &amp; Drivers'!$B$52:$B$62,0))*(EE$4&lt;&gt;ED$4))*ED33</f>
        <v>-9845.5313950750369</v>
      </c>
      <c r="EF33" s="75">
        <f>(1+INDEX('Inputs &amp; Drivers'!$G$52:$G$62,MATCH(Model!EF$4,'Inputs &amp; Drivers'!$B$52:$B$62,0))*(EF$4&lt;&gt;EE$4))*EE33</f>
        <v>-9845.5313950750369</v>
      </c>
      <c r="EG33" s="75">
        <f>(1+INDEX('Inputs &amp; Drivers'!$G$52:$G$62,MATCH(Model!EG$4,'Inputs &amp; Drivers'!$B$52:$B$62,0))*(EG$4&lt;&gt;EF$4))*EF33</f>
        <v>-9845.5313950750369</v>
      </c>
      <c r="EH33" s="75">
        <f>(1+INDEX('Inputs &amp; Drivers'!$G$52:$G$62,MATCH(Model!EH$4,'Inputs &amp; Drivers'!$B$52:$B$62,0))*(EH$4&lt;&gt;EG$4))*EG33</f>
        <v>-9845.5313950750369</v>
      </c>
      <c r="EI33" s="75">
        <f>(1+INDEX('Inputs &amp; Drivers'!$G$52:$G$62,MATCH(Model!EI$4,'Inputs &amp; Drivers'!$B$52:$B$62,0))*(EI$4&lt;&gt;EH$4))*EH33</f>
        <v>-9845.5313950750369</v>
      </c>
      <c r="EJ33" s="75">
        <f>(1+INDEX('Inputs &amp; Drivers'!$G$52:$G$62,MATCH(Model!EJ$4,'Inputs &amp; Drivers'!$B$52:$B$62,0))*(EJ$4&lt;&gt;EI$4))*EI33</f>
        <v>-9845.5313950750369</v>
      </c>
      <c r="EK33" s="75">
        <f>(1+INDEX('Inputs &amp; Drivers'!$G$52:$G$62,MATCH(Model!EK$4,'Inputs &amp; Drivers'!$B$52:$B$62,0))*(EK$4&lt;&gt;EJ$4))*EJ33</f>
        <v>-9845.5313950750369</v>
      </c>
      <c r="EM33" s="109">
        <f t="shared" si="517"/>
        <v>0</v>
      </c>
      <c r="EN33" s="109">
        <f t="shared" si="517"/>
        <v>-87912</v>
      </c>
      <c r="EO33" s="109">
        <f t="shared" si="517"/>
        <v>-90549.36</v>
      </c>
      <c r="EP33" s="109">
        <f t="shared" si="517"/>
        <v>-93265.840799999991</v>
      </c>
      <c r="EQ33" s="109">
        <f t="shared" si="517"/>
        <v>-96063.816024</v>
      </c>
      <c r="ER33" s="109">
        <f t="shared" si="517"/>
        <v>-98945.730504720021</v>
      </c>
      <c r="ES33" s="109">
        <f t="shared" si="517"/>
        <v>-101914.10241986164</v>
      </c>
      <c r="ET33" s="109">
        <f t="shared" si="517"/>
        <v>-104971.52549245748</v>
      </c>
      <c r="EU33" s="109">
        <f t="shared" si="517"/>
        <v>-108120.67125723117</v>
      </c>
      <c r="EV33" s="109">
        <f t="shared" si="517"/>
        <v>-111364.2913949481</v>
      </c>
      <c r="EW33" s="109">
        <f t="shared" si="517"/>
        <v>-114705.22013679658</v>
      </c>
      <c r="EX33" s="109">
        <f t="shared" si="517"/>
        <v>-118146.37674090046</v>
      </c>
    </row>
    <row r="34" spans="2:154" x14ac:dyDescent="0.3">
      <c r="B34" s="1" t="s">
        <v>86</v>
      </c>
      <c r="E34" s="70">
        <f>SUM('Historical Financials'!M30:O30)*4</f>
        <v>-289628</v>
      </c>
      <c r="F34" s="70">
        <f>SUM('Historical Financials'!D30:O30)</f>
        <v>-183738</v>
      </c>
      <c r="G34" s="7">
        <f t="shared" si="518"/>
        <v>1158.5119999999999</v>
      </c>
      <c r="J34" s="41">
        <f>-'Inputs &amp; Drivers'!$J37/12</f>
        <v>-24135.666666666668</v>
      </c>
      <c r="K34" s="75">
        <f>(1+INDEX('Inputs &amp; Drivers'!$G$52:$G$62,MATCH(Model!K$4,'Inputs &amp; Drivers'!$B$52:$B$62,0))*(K$4&lt;&gt;J$4))*J34</f>
        <v>-24135.666666666668</v>
      </c>
      <c r="L34" s="75">
        <f>(1+INDEX('Inputs &amp; Drivers'!$G$52:$G$62,MATCH(Model!L$4,'Inputs &amp; Drivers'!$B$52:$B$62,0))*(L$4&lt;&gt;K$4))*K34</f>
        <v>-24135.666666666668</v>
      </c>
      <c r="M34" s="75">
        <f>(1+INDEX('Inputs &amp; Drivers'!$G$52:$G$62,MATCH(Model!M$4,'Inputs &amp; Drivers'!$B$52:$B$62,0))*(M$4&lt;&gt;L$4))*L34</f>
        <v>-24135.666666666668</v>
      </c>
      <c r="N34" s="75">
        <f>(1+INDEX('Inputs &amp; Drivers'!$G$52:$G$62,MATCH(Model!N$4,'Inputs &amp; Drivers'!$B$52:$B$62,0))*(N$4&lt;&gt;M$4))*M34</f>
        <v>-24135.666666666668</v>
      </c>
      <c r="O34" s="75">
        <f>(1+INDEX('Inputs &amp; Drivers'!$G$52:$G$62,MATCH(Model!O$4,'Inputs &amp; Drivers'!$B$52:$B$62,0))*(O$4&lt;&gt;N$4))*N34</f>
        <v>-24135.666666666668</v>
      </c>
      <c r="P34" s="75">
        <f>(1+INDEX('Inputs &amp; Drivers'!$G$52:$G$62,MATCH(Model!P$4,'Inputs &amp; Drivers'!$B$52:$B$62,0))*(P$4&lt;&gt;O$4))*O34</f>
        <v>-24135.666666666668</v>
      </c>
      <c r="Q34" s="75">
        <f>(1+INDEX('Inputs &amp; Drivers'!$G$52:$G$62,MATCH(Model!Q$4,'Inputs &amp; Drivers'!$B$52:$B$62,0))*(Q$4&lt;&gt;P$4))*P34</f>
        <v>-24135.666666666668</v>
      </c>
      <c r="R34" s="75">
        <f>(1+INDEX('Inputs &amp; Drivers'!$G$52:$G$62,MATCH(Model!R$4,'Inputs &amp; Drivers'!$B$52:$B$62,0))*(R$4&lt;&gt;Q$4))*Q34</f>
        <v>-24135.666666666668</v>
      </c>
      <c r="S34" s="75">
        <f>(1+INDEX('Inputs &amp; Drivers'!$G$52:$G$62,MATCH(Model!S$4,'Inputs &amp; Drivers'!$B$52:$B$62,0))*(S$4&lt;&gt;R$4))*R34</f>
        <v>-24135.666666666668</v>
      </c>
      <c r="T34" s="75">
        <f>(1+INDEX('Inputs &amp; Drivers'!$G$52:$G$62,MATCH(Model!T$4,'Inputs &amp; Drivers'!$B$52:$B$62,0))*(T$4&lt;&gt;S$4))*S34</f>
        <v>-24135.666666666668</v>
      </c>
      <c r="U34" s="75">
        <f>(1+INDEX('Inputs &amp; Drivers'!$G$52:$G$62,MATCH(Model!U$4,'Inputs &amp; Drivers'!$B$52:$B$62,0))*(U$4&lt;&gt;T$4))*T34</f>
        <v>-24135.666666666668</v>
      </c>
      <c r="V34" s="75">
        <f>(1+INDEX('Inputs &amp; Drivers'!$G$52:$G$62,MATCH(Model!V$4,'Inputs &amp; Drivers'!$B$52:$B$62,0))*(V$4&lt;&gt;U$4))*U34</f>
        <v>-24859.736666666668</v>
      </c>
      <c r="W34" s="75">
        <f>(1+INDEX('Inputs &amp; Drivers'!$G$52:$G$62,MATCH(Model!W$4,'Inputs &amp; Drivers'!$B$52:$B$62,0))*(W$4&lt;&gt;V$4))*V34</f>
        <v>-24859.736666666668</v>
      </c>
      <c r="X34" s="75">
        <f>(1+INDEX('Inputs &amp; Drivers'!$G$52:$G$62,MATCH(Model!X$4,'Inputs &amp; Drivers'!$B$52:$B$62,0))*(X$4&lt;&gt;W$4))*W34</f>
        <v>-24859.736666666668</v>
      </c>
      <c r="Y34" s="75">
        <f>(1+INDEX('Inputs &amp; Drivers'!$G$52:$G$62,MATCH(Model!Y$4,'Inputs &amp; Drivers'!$B$52:$B$62,0))*(Y$4&lt;&gt;X$4))*X34</f>
        <v>-24859.736666666668</v>
      </c>
      <c r="Z34" s="75">
        <f>(1+INDEX('Inputs &amp; Drivers'!$G$52:$G$62,MATCH(Model!Z$4,'Inputs &amp; Drivers'!$B$52:$B$62,0))*(Z$4&lt;&gt;Y$4))*Y34</f>
        <v>-24859.736666666668</v>
      </c>
      <c r="AA34" s="75">
        <f>(1+INDEX('Inputs &amp; Drivers'!$G$52:$G$62,MATCH(Model!AA$4,'Inputs &amp; Drivers'!$B$52:$B$62,0))*(AA$4&lt;&gt;Z$4))*Z34</f>
        <v>-24859.736666666668</v>
      </c>
      <c r="AB34" s="75">
        <f>(1+INDEX('Inputs &amp; Drivers'!$G$52:$G$62,MATCH(Model!AB$4,'Inputs &amp; Drivers'!$B$52:$B$62,0))*(AB$4&lt;&gt;AA$4))*AA34</f>
        <v>-24859.736666666668</v>
      </c>
      <c r="AC34" s="75">
        <f>(1+INDEX('Inputs &amp; Drivers'!$G$52:$G$62,MATCH(Model!AC$4,'Inputs &amp; Drivers'!$B$52:$B$62,0))*(AC$4&lt;&gt;AB$4))*AB34</f>
        <v>-24859.736666666668</v>
      </c>
      <c r="AD34" s="75">
        <f>(1+INDEX('Inputs &amp; Drivers'!$G$52:$G$62,MATCH(Model!AD$4,'Inputs &amp; Drivers'!$B$52:$B$62,0))*(AD$4&lt;&gt;AC$4))*AC34</f>
        <v>-24859.736666666668</v>
      </c>
      <c r="AE34" s="75">
        <f>(1+INDEX('Inputs &amp; Drivers'!$G$52:$G$62,MATCH(Model!AE$4,'Inputs &amp; Drivers'!$B$52:$B$62,0))*(AE$4&lt;&gt;AD$4))*AD34</f>
        <v>-24859.736666666668</v>
      </c>
      <c r="AF34" s="75">
        <f>(1+INDEX('Inputs &amp; Drivers'!$G$52:$G$62,MATCH(Model!AF$4,'Inputs &amp; Drivers'!$B$52:$B$62,0))*(AF$4&lt;&gt;AE$4))*AE34</f>
        <v>-24859.736666666668</v>
      </c>
      <c r="AG34" s="75">
        <f>(1+INDEX('Inputs &amp; Drivers'!$G$52:$G$62,MATCH(Model!AG$4,'Inputs &amp; Drivers'!$B$52:$B$62,0))*(AG$4&lt;&gt;AF$4))*AF34</f>
        <v>-24859.736666666668</v>
      </c>
      <c r="AH34" s="75">
        <f>(1+INDEX('Inputs &amp; Drivers'!$G$52:$G$62,MATCH(Model!AH$4,'Inputs &amp; Drivers'!$B$52:$B$62,0))*(AH$4&lt;&gt;AG$4))*AG34</f>
        <v>-25605.52876666667</v>
      </c>
      <c r="AI34" s="75">
        <f>(1+INDEX('Inputs &amp; Drivers'!$G$52:$G$62,MATCH(Model!AI$4,'Inputs &amp; Drivers'!$B$52:$B$62,0))*(AI$4&lt;&gt;AH$4))*AH34</f>
        <v>-25605.52876666667</v>
      </c>
      <c r="AJ34" s="75">
        <f>(1+INDEX('Inputs &amp; Drivers'!$G$52:$G$62,MATCH(Model!AJ$4,'Inputs &amp; Drivers'!$B$52:$B$62,0))*(AJ$4&lt;&gt;AI$4))*AI34</f>
        <v>-25605.52876666667</v>
      </c>
      <c r="AK34" s="75">
        <f>(1+INDEX('Inputs &amp; Drivers'!$G$52:$G$62,MATCH(Model!AK$4,'Inputs &amp; Drivers'!$B$52:$B$62,0))*(AK$4&lt;&gt;AJ$4))*AJ34</f>
        <v>-25605.52876666667</v>
      </c>
      <c r="AL34" s="75">
        <f>(1+INDEX('Inputs &amp; Drivers'!$G$52:$G$62,MATCH(Model!AL$4,'Inputs &amp; Drivers'!$B$52:$B$62,0))*(AL$4&lt;&gt;AK$4))*AK34</f>
        <v>-25605.52876666667</v>
      </c>
      <c r="AM34" s="75">
        <f>(1+INDEX('Inputs &amp; Drivers'!$G$52:$G$62,MATCH(Model!AM$4,'Inputs &amp; Drivers'!$B$52:$B$62,0))*(AM$4&lt;&gt;AL$4))*AL34</f>
        <v>-25605.52876666667</v>
      </c>
      <c r="AN34" s="75">
        <f>(1+INDEX('Inputs &amp; Drivers'!$G$52:$G$62,MATCH(Model!AN$4,'Inputs &amp; Drivers'!$B$52:$B$62,0))*(AN$4&lt;&gt;AM$4))*AM34</f>
        <v>-25605.52876666667</v>
      </c>
      <c r="AO34" s="75">
        <f>(1+INDEX('Inputs &amp; Drivers'!$G$52:$G$62,MATCH(Model!AO$4,'Inputs &amp; Drivers'!$B$52:$B$62,0))*(AO$4&lt;&gt;AN$4))*AN34</f>
        <v>-25605.52876666667</v>
      </c>
      <c r="AP34" s="75">
        <f>(1+INDEX('Inputs &amp; Drivers'!$G$52:$G$62,MATCH(Model!AP$4,'Inputs &amp; Drivers'!$B$52:$B$62,0))*(AP$4&lt;&gt;AO$4))*AO34</f>
        <v>-25605.52876666667</v>
      </c>
      <c r="AQ34" s="75">
        <f>(1+INDEX('Inputs &amp; Drivers'!$G$52:$G$62,MATCH(Model!AQ$4,'Inputs &amp; Drivers'!$B$52:$B$62,0))*(AQ$4&lt;&gt;AP$4))*AP34</f>
        <v>-25605.52876666667</v>
      </c>
      <c r="AR34" s="75">
        <f>(1+INDEX('Inputs &amp; Drivers'!$G$52:$G$62,MATCH(Model!AR$4,'Inputs &amp; Drivers'!$B$52:$B$62,0))*(AR$4&lt;&gt;AQ$4))*AQ34</f>
        <v>-25605.52876666667</v>
      </c>
      <c r="AS34" s="75">
        <f>(1+INDEX('Inputs &amp; Drivers'!$G$52:$G$62,MATCH(Model!AS$4,'Inputs &amp; Drivers'!$B$52:$B$62,0))*(AS$4&lt;&gt;AR$4))*AR34</f>
        <v>-25605.52876666667</v>
      </c>
      <c r="AT34" s="75">
        <f>(1+INDEX('Inputs &amp; Drivers'!$G$52:$G$62,MATCH(Model!AT$4,'Inputs &amp; Drivers'!$B$52:$B$62,0))*(AT$4&lt;&gt;AS$4))*AS34</f>
        <v>-26373.694629666672</v>
      </c>
      <c r="AU34" s="75">
        <f>(1+INDEX('Inputs &amp; Drivers'!$G$52:$G$62,MATCH(Model!AU$4,'Inputs &amp; Drivers'!$B$52:$B$62,0))*(AU$4&lt;&gt;AT$4))*AT34</f>
        <v>-26373.694629666672</v>
      </c>
      <c r="AV34" s="75">
        <f>(1+INDEX('Inputs &amp; Drivers'!$G$52:$G$62,MATCH(Model!AV$4,'Inputs &amp; Drivers'!$B$52:$B$62,0))*(AV$4&lt;&gt;AU$4))*AU34</f>
        <v>-26373.694629666672</v>
      </c>
      <c r="AW34" s="75">
        <f>(1+INDEX('Inputs &amp; Drivers'!$G$52:$G$62,MATCH(Model!AW$4,'Inputs &amp; Drivers'!$B$52:$B$62,0))*(AW$4&lt;&gt;AV$4))*AV34</f>
        <v>-26373.694629666672</v>
      </c>
      <c r="AX34" s="75">
        <f>(1+INDEX('Inputs &amp; Drivers'!$G$52:$G$62,MATCH(Model!AX$4,'Inputs &amp; Drivers'!$B$52:$B$62,0))*(AX$4&lt;&gt;AW$4))*AW34</f>
        <v>-26373.694629666672</v>
      </c>
      <c r="AY34" s="75">
        <f>(1+INDEX('Inputs &amp; Drivers'!$G$52:$G$62,MATCH(Model!AY$4,'Inputs &amp; Drivers'!$B$52:$B$62,0))*(AY$4&lt;&gt;AX$4))*AX34</f>
        <v>-26373.694629666672</v>
      </c>
      <c r="AZ34" s="75">
        <f>(1+INDEX('Inputs &amp; Drivers'!$G$52:$G$62,MATCH(Model!AZ$4,'Inputs &amp; Drivers'!$B$52:$B$62,0))*(AZ$4&lt;&gt;AY$4))*AY34</f>
        <v>-26373.694629666672</v>
      </c>
      <c r="BA34" s="75">
        <f>(1+INDEX('Inputs &amp; Drivers'!$G$52:$G$62,MATCH(Model!BA$4,'Inputs &amp; Drivers'!$B$52:$B$62,0))*(BA$4&lt;&gt;AZ$4))*AZ34</f>
        <v>-26373.694629666672</v>
      </c>
      <c r="BB34" s="75">
        <f>(1+INDEX('Inputs &amp; Drivers'!$G$52:$G$62,MATCH(Model!BB$4,'Inputs &amp; Drivers'!$B$52:$B$62,0))*(BB$4&lt;&gt;BA$4))*BA34</f>
        <v>-26373.694629666672</v>
      </c>
      <c r="BC34" s="75">
        <f>(1+INDEX('Inputs &amp; Drivers'!$G$52:$G$62,MATCH(Model!BC$4,'Inputs &amp; Drivers'!$B$52:$B$62,0))*(BC$4&lt;&gt;BB$4))*BB34</f>
        <v>-26373.694629666672</v>
      </c>
      <c r="BD34" s="75">
        <f>(1+INDEX('Inputs &amp; Drivers'!$G$52:$G$62,MATCH(Model!BD$4,'Inputs &amp; Drivers'!$B$52:$B$62,0))*(BD$4&lt;&gt;BC$4))*BC34</f>
        <v>-26373.694629666672</v>
      </c>
      <c r="BE34" s="75">
        <f>(1+INDEX('Inputs &amp; Drivers'!$G$52:$G$62,MATCH(Model!BE$4,'Inputs &amp; Drivers'!$B$52:$B$62,0))*(BE$4&lt;&gt;BD$4))*BD34</f>
        <v>-26373.694629666672</v>
      </c>
      <c r="BF34" s="75">
        <f>(1+INDEX('Inputs &amp; Drivers'!$G$52:$G$62,MATCH(Model!BF$4,'Inputs &amp; Drivers'!$B$52:$B$62,0))*(BF$4&lt;&gt;BE$4))*BE34</f>
        <v>-27164.905468556673</v>
      </c>
      <c r="BG34" s="75">
        <f>(1+INDEX('Inputs &amp; Drivers'!$G$52:$G$62,MATCH(Model!BG$4,'Inputs &amp; Drivers'!$B$52:$B$62,0))*(BG$4&lt;&gt;BF$4))*BF34</f>
        <v>-27164.905468556673</v>
      </c>
      <c r="BH34" s="75">
        <f>(1+INDEX('Inputs &amp; Drivers'!$G$52:$G$62,MATCH(Model!BH$4,'Inputs &amp; Drivers'!$B$52:$B$62,0))*(BH$4&lt;&gt;BG$4))*BG34</f>
        <v>-27164.905468556673</v>
      </c>
      <c r="BI34" s="75">
        <f>(1+INDEX('Inputs &amp; Drivers'!$G$52:$G$62,MATCH(Model!BI$4,'Inputs &amp; Drivers'!$B$52:$B$62,0))*(BI$4&lt;&gt;BH$4))*BH34</f>
        <v>-27164.905468556673</v>
      </c>
      <c r="BJ34" s="75">
        <f>(1+INDEX('Inputs &amp; Drivers'!$G$52:$G$62,MATCH(Model!BJ$4,'Inputs &amp; Drivers'!$B$52:$B$62,0))*(BJ$4&lt;&gt;BI$4))*BI34</f>
        <v>-27164.905468556673</v>
      </c>
      <c r="BK34" s="75">
        <f>(1+INDEX('Inputs &amp; Drivers'!$G$52:$G$62,MATCH(Model!BK$4,'Inputs &amp; Drivers'!$B$52:$B$62,0))*(BK$4&lt;&gt;BJ$4))*BJ34</f>
        <v>-27164.905468556673</v>
      </c>
      <c r="BL34" s="75">
        <f>(1+INDEX('Inputs &amp; Drivers'!$G$52:$G$62,MATCH(Model!BL$4,'Inputs &amp; Drivers'!$B$52:$B$62,0))*(BL$4&lt;&gt;BK$4))*BK34</f>
        <v>-27164.905468556673</v>
      </c>
      <c r="BM34" s="75">
        <f>(1+INDEX('Inputs &amp; Drivers'!$G$52:$G$62,MATCH(Model!BM$4,'Inputs &amp; Drivers'!$B$52:$B$62,0))*(BM$4&lt;&gt;BL$4))*BL34</f>
        <v>-27164.905468556673</v>
      </c>
      <c r="BN34" s="75">
        <f>(1+INDEX('Inputs &amp; Drivers'!$G$52:$G$62,MATCH(Model!BN$4,'Inputs &amp; Drivers'!$B$52:$B$62,0))*(BN$4&lt;&gt;BM$4))*BM34</f>
        <v>-27164.905468556673</v>
      </c>
      <c r="BO34" s="75">
        <f>(1+INDEX('Inputs &amp; Drivers'!$G$52:$G$62,MATCH(Model!BO$4,'Inputs &amp; Drivers'!$B$52:$B$62,0))*(BO$4&lt;&gt;BN$4))*BN34</f>
        <v>-27164.905468556673</v>
      </c>
      <c r="BP34" s="75">
        <f>(1+INDEX('Inputs &amp; Drivers'!$G$52:$G$62,MATCH(Model!BP$4,'Inputs &amp; Drivers'!$B$52:$B$62,0))*(BP$4&lt;&gt;BO$4))*BO34</f>
        <v>-27164.905468556673</v>
      </c>
      <c r="BQ34" s="75">
        <f>(1+INDEX('Inputs &amp; Drivers'!$G$52:$G$62,MATCH(Model!BQ$4,'Inputs &amp; Drivers'!$B$52:$B$62,0))*(BQ$4&lt;&gt;BP$4))*BP34</f>
        <v>-27164.905468556673</v>
      </c>
      <c r="BR34" s="75">
        <f>(1+INDEX('Inputs &amp; Drivers'!$G$52:$G$62,MATCH(Model!BR$4,'Inputs &amp; Drivers'!$B$52:$B$62,0))*(BR$4&lt;&gt;BQ$4))*BQ34</f>
        <v>-27979.852632613376</v>
      </c>
      <c r="BS34" s="75">
        <f>(1+INDEX('Inputs &amp; Drivers'!$G$52:$G$62,MATCH(Model!BS$4,'Inputs &amp; Drivers'!$B$52:$B$62,0))*(BS$4&lt;&gt;BR$4))*BR34</f>
        <v>-27979.852632613376</v>
      </c>
      <c r="BT34" s="75">
        <f>(1+INDEX('Inputs &amp; Drivers'!$G$52:$G$62,MATCH(Model!BT$4,'Inputs &amp; Drivers'!$B$52:$B$62,0))*(BT$4&lt;&gt;BS$4))*BS34</f>
        <v>-27979.852632613376</v>
      </c>
      <c r="BU34" s="75">
        <f>(1+INDEX('Inputs &amp; Drivers'!$G$52:$G$62,MATCH(Model!BU$4,'Inputs &amp; Drivers'!$B$52:$B$62,0))*(BU$4&lt;&gt;BT$4))*BT34</f>
        <v>-27979.852632613376</v>
      </c>
      <c r="BV34" s="75">
        <f>(1+INDEX('Inputs &amp; Drivers'!$G$52:$G$62,MATCH(Model!BV$4,'Inputs &amp; Drivers'!$B$52:$B$62,0))*(BV$4&lt;&gt;BU$4))*BU34</f>
        <v>-27979.852632613376</v>
      </c>
      <c r="BW34" s="75">
        <f>(1+INDEX('Inputs &amp; Drivers'!$G$52:$G$62,MATCH(Model!BW$4,'Inputs &amp; Drivers'!$B$52:$B$62,0))*(BW$4&lt;&gt;BV$4))*BV34</f>
        <v>-27979.852632613376</v>
      </c>
      <c r="BX34" s="75">
        <f>(1+INDEX('Inputs &amp; Drivers'!$G$52:$G$62,MATCH(Model!BX$4,'Inputs &amp; Drivers'!$B$52:$B$62,0))*(BX$4&lt;&gt;BW$4))*BW34</f>
        <v>-27979.852632613376</v>
      </c>
      <c r="BY34" s="75">
        <f>(1+INDEX('Inputs &amp; Drivers'!$G$52:$G$62,MATCH(Model!BY$4,'Inputs &amp; Drivers'!$B$52:$B$62,0))*(BY$4&lt;&gt;BX$4))*BX34</f>
        <v>-27979.852632613376</v>
      </c>
      <c r="BZ34" s="75">
        <f>(1+INDEX('Inputs &amp; Drivers'!$G$52:$G$62,MATCH(Model!BZ$4,'Inputs &amp; Drivers'!$B$52:$B$62,0))*(BZ$4&lt;&gt;BY$4))*BY34</f>
        <v>-27979.852632613376</v>
      </c>
      <c r="CA34" s="75">
        <f>(1+INDEX('Inputs &amp; Drivers'!$G$52:$G$62,MATCH(Model!CA$4,'Inputs &amp; Drivers'!$B$52:$B$62,0))*(CA$4&lt;&gt;BZ$4))*BZ34</f>
        <v>-27979.852632613376</v>
      </c>
      <c r="CB34" s="75">
        <f>(1+INDEX('Inputs &amp; Drivers'!$G$52:$G$62,MATCH(Model!CB$4,'Inputs &amp; Drivers'!$B$52:$B$62,0))*(CB$4&lt;&gt;CA$4))*CA34</f>
        <v>-27979.852632613376</v>
      </c>
      <c r="CC34" s="75">
        <f>(1+INDEX('Inputs &amp; Drivers'!$G$52:$G$62,MATCH(Model!CC$4,'Inputs &amp; Drivers'!$B$52:$B$62,0))*(CC$4&lt;&gt;CB$4))*CB34</f>
        <v>-27979.852632613376</v>
      </c>
      <c r="CD34" s="75">
        <f>(1+INDEX('Inputs &amp; Drivers'!$G$52:$G$62,MATCH(Model!CD$4,'Inputs &amp; Drivers'!$B$52:$B$62,0))*(CD$4&lt;&gt;CC$4))*CC34</f>
        <v>-28819.248211591777</v>
      </c>
      <c r="CE34" s="75">
        <f>(1+INDEX('Inputs &amp; Drivers'!$G$52:$G$62,MATCH(Model!CE$4,'Inputs &amp; Drivers'!$B$52:$B$62,0))*(CE$4&lt;&gt;CD$4))*CD34</f>
        <v>-28819.248211591777</v>
      </c>
      <c r="CF34" s="75">
        <f>(1+INDEX('Inputs &amp; Drivers'!$G$52:$G$62,MATCH(Model!CF$4,'Inputs &amp; Drivers'!$B$52:$B$62,0))*(CF$4&lt;&gt;CE$4))*CE34</f>
        <v>-28819.248211591777</v>
      </c>
      <c r="CG34" s="75">
        <f>(1+INDEX('Inputs &amp; Drivers'!$G$52:$G$62,MATCH(Model!CG$4,'Inputs &amp; Drivers'!$B$52:$B$62,0))*(CG$4&lt;&gt;CF$4))*CF34</f>
        <v>-28819.248211591777</v>
      </c>
      <c r="CH34" s="75">
        <f>(1+INDEX('Inputs &amp; Drivers'!$G$52:$G$62,MATCH(Model!CH$4,'Inputs &amp; Drivers'!$B$52:$B$62,0))*(CH$4&lt;&gt;CG$4))*CG34</f>
        <v>-28819.248211591777</v>
      </c>
      <c r="CI34" s="75">
        <f>(1+INDEX('Inputs &amp; Drivers'!$G$52:$G$62,MATCH(Model!CI$4,'Inputs &amp; Drivers'!$B$52:$B$62,0))*(CI$4&lt;&gt;CH$4))*CH34</f>
        <v>-28819.248211591777</v>
      </c>
      <c r="CJ34" s="75">
        <f>(1+INDEX('Inputs &amp; Drivers'!$G$52:$G$62,MATCH(Model!CJ$4,'Inputs &amp; Drivers'!$B$52:$B$62,0))*(CJ$4&lt;&gt;CI$4))*CI34</f>
        <v>-28819.248211591777</v>
      </c>
      <c r="CK34" s="75">
        <f>(1+INDEX('Inputs &amp; Drivers'!$G$52:$G$62,MATCH(Model!CK$4,'Inputs &amp; Drivers'!$B$52:$B$62,0))*(CK$4&lt;&gt;CJ$4))*CJ34</f>
        <v>-28819.248211591777</v>
      </c>
      <c r="CL34" s="75">
        <f>(1+INDEX('Inputs &amp; Drivers'!$G$52:$G$62,MATCH(Model!CL$4,'Inputs &amp; Drivers'!$B$52:$B$62,0))*(CL$4&lt;&gt;CK$4))*CK34</f>
        <v>-28819.248211591777</v>
      </c>
      <c r="CM34" s="75">
        <f>(1+INDEX('Inputs &amp; Drivers'!$G$52:$G$62,MATCH(Model!CM$4,'Inputs &amp; Drivers'!$B$52:$B$62,0))*(CM$4&lt;&gt;CL$4))*CL34</f>
        <v>-28819.248211591777</v>
      </c>
      <c r="CN34" s="75">
        <f>(1+INDEX('Inputs &amp; Drivers'!$G$52:$G$62,MATCH(Model!CN$4,'Inputs &amp; Drivers'!$B$52:$B$62,0))*(CN$4&lt;&gt;CM$4))*CM34</f>
        <v>-28819.248211591777</v>
      </c>
      <c r="CO34" s="75">
        <f>(1+INDEX('Inputs &amp; Drivers'!$G$52:$G$62,MATCH(Model!CO$4,'Inputs &amp; Drivers'!$B$52:$B$62,0))*(CO$4&lt;&gt;CN$4))*CN34</f>
        <v>-28819.248211591777</v>
      </c>
      <c r="CP34" s="75">
        <f>(1+INDEX('Inputs &amp; Drivers'!$G$52:$G$62,MATCH(Model!CP$4,'Inputs &amp; Drivers'!$B$52:$B$62,0))*(CP$4&lt;&gt;CO$4))*CO34</f>
        <v>-29683.825657939531</v>
      </c>
      <c r="CQ34" s="75">
        <f>(1+INDEX('Inputs &amp; Drivers'!$G$52:$G$62,MATCH(Model!CQ$4,'Inputs &amp; Drivers'!$B$52:$B$62,0))*(CQ$4&lt;&gt;CP$4))*CP34</f>
        <v>-29683.825657939531</v>
      </c>
      <c r="CR34" s="75">
        <f>(1+INDEX('Inputs &amp; Drivers'!$G$52:$G$62,MATCH(Model!CR$4,'Inputs &amp; Drivers'!$B$52:$B$62,0))*(CR$4&lt;&gt;CQ$4))*CQ34</f>
        <v>-29683.825657939531</v>
      </c>
      <c r="CS34" s="75">
        <f>(1+INDEX('Inputs &amp; Drivers'!$G$52:$G$62,MATCH(Model!CS$4,'Inputs &amp; Drivers'!$B$52:$B$62,0))*(CS$4&lt;&gt;CR$4))*CR34</f>
        <v>-29683.825657939531</v>
      </c>
      <c r="CT34" s="75">
        <f>(1+INDEX('Inputs &amp; Drivers'!$G$52:$G$62,MATCH(Model!CT$4,'Inputs &amp; Drivers'!$B$52:$B$62,0))*(CT$4&lt;&gt;CS$4))*CS34</f>
        <v>-29683.825657939531</v>
      </c>
      <c r="CU34" s="75">
        <f>(1+INDEX('Inputs &amp; Drivers'!$G$52:$G$62,MATCH(Model!CU$4,'Inputs &amp; Drivers'!$B$52:$B$62,0))*(CU$4&lt;&gt;CT$4))*CT34</f>
        <v>-29683.825657939531</v>
      </c>
      <c r="CV34" s="75">
        <f>(1+INDEX('Inputs &amp; Drivers'!$G$52:$G$62,MATCH(Model!CV$4,'Inputs &amp; Drivers'!$B$52:$B$62,0))*(CV$4&lt;&gt;CU$4))*CU34</f>
        <v>-29683.825657939531</v>
      </c>
      <c r="CW34" s="75">
        <f>(1+INDEX('Inputs &amp; Drivers'!$G$52:$G$62,MATCH(Model!CW$4,'Inputs &amp; Drivers'!$B$52:$B$62,0))*(CW$4&lt;&gt;CV$4))*CV34</f>
        <v>-29683.825657939531</v>
      </c>
      <c r="CX34" s="75">
        <f>(1+INDEX('Inputs &amp; Drivers'!$G$52:$G$62,MATCH(Model!CX$4,'Inputs &amp; Drivers'!$B$52:$B$62,0))*(CX$4&lt;&gt;CW$4))*CW34</f>
        <v>-29683.825657939531</v>
      </c>
      <c r="CY34" s="75">
        <f>(1+INDEX('Inputs &amp; Drivers'!$G$52:$G$62,MATCH(Model!CY$4,'Inputs &amp; Drivers'!$B$52:$B$62,0))*(CY$4&lt;&gt;CX$4))*CX34</f>
        <v>-29683.825657939531</v>
      </c>
      <c r="CZ34" s="75">
        <f>(1+INDEX('Inputs &amp; Drivers'!$G$52:$G$62,MATCH(Model!CZ$4,'Inputs &amp; Drivers'!$B$52:$B$62,0))*(CZ$4&lt;&gt;CY$4))*CY34</f>
        <v>-29683.825657939531</v>
      </c>
      <c r="DA34" s="75">
        <f>(1+INDEX('Inputs &amp; Drivers'!$G$52:$G$62,MATCH(Model!DA$4,'Inputs &amp; Drivers'!$B$52:$B$62,0))*(DA$4&lt;&gt;CZ$4))*CZ34</f>
        <v>-29683.825657939531</v>
      </c>
      <c r="DB34" s="75">
        <f>(1+INDEX('Inputs &amp; Drivers'!$G$52:$G$62,MATCH(Model!DB$4,'Inputs &amp; Drivers'!$B$52:$B$62,0))*(DB$4&lt;&gt;DA$4))*DA34</f>
        <v>-30574.340427677718</v>
      </c>
      <c r="DC34" s="75">
        <f>(1+INDEX('Inputs &amp; Drivers'!$G$52:$G$62,MATCH(Model!DC$4,'Inputs &amp; Drivers'!$B$52:$B$62,0))*(DC$4&lt;&gt;DB$4))*DB34</f>
        <v>-30574.340427677718</v>
      </c>
      <c r="DD34" s="75">
        <f>(1+INDEX('Inputs &amp; Drivers'!$G$52:$G$62,MATCH(Model!DD$4,'Inputs &amp; Drivers'!$B$52:$B$62,0))*(DD$4&lt;&gt;DC$4))*DC34</f>
        <v>-30574.340427677718</v>
      </c>
      <c r="DE34" s="75">
        <f>(1+INDEX('Inputs &amp; Drivers'!$G$52:$G$62,MATCH(Model!DE$4,'Inputs &amp; Drivers'!$B$52:$B$62,0))*(DE$4&lt;&gt;DD$4))*DD34</f>
        <v>-30574.340427677718</v>
      </c>
      <c r="DF34" s="75">
        <f>(1+INDEX('Inputs &amp; Drivers'!$G$52:$G$62,MATCH(Model!DF$4,'Inputs &amp; Drivers'!$B$52:$B$62,0))*(DF$4&lt;&gt;DE$4))*DE34</f>
        <v>-30574.340427677718</v>
      </c>
      <c r="DG34" s="75">
        <f>(1+INDEX('Inputs &amp; Drivers'!$G$52:$G$62,MATCH(Model!DG$4,'Inputs &amp; Drivers'!$B$52:$B$62,0))*(DG$4&lt;&gt;DF$4))*DF34</f>
        <v>-30574.340427677718</v>
      </c>
      <c r="DH34" s="75">
        <f>(1+INDEX('Inputs &amp; Drivers'!$G$52:$G$62,MATCH(Model!DH$4,'Inputs &amp; Drivers'!$B$52:$B$62,0))*(DH$4&lt;&gt;DG$4))*DG34</f>
        <v>-30574.340427677718</v>
      </c>
      <c r="DI34" s="75">
        <f>(1+INDEX('Inputs &amp; Drivers'!$G$52:$G$62,MATCH(Model!DI$4,'Inputs &amp; Drivers'!$B$52:$B$62,0))*(DI$4&lt;&gt;DH$4))*DH34</f>
        <v>-30574.340427677718</v>
      </c>
      <c r="DJ34" s="75">
        <f>(1+INDEX('Inputs &amp; Drivers'!$G$52:$G$62,MATCH(Model!DJ$4,'Inputs &amp; Drivers'!$B$52:$B$62,0))*(DJ$4&lt;&gt;DI$4))*DI34</f>
        <v>-30574.340427677718</v>
      </c>
      <c r="DK34" s="75">
        <f>(1+INDEX('Inputs &amp; Drivers'!$G$52:$G$62,MATCH(Model!DK$4,'Inputs &amp; Drivers'!$B$52:$B$62,0))*(DK$4&lt;&gt;DJ$4))*DJ34</f>
        <v>-30574.340427677718</v>
      </c>
      <c r="DL34" s="75">
        <f>(1+INDEX('Inputs &amp; Drivers'!$G$52:$G$62,MATCH(Model!DL$4,'Inputs &amp; Drivers'!$B$52:$B$62,0))*(DL$4&lt;&gt;DK$4))*DK34</f>
        <v>-30574.340427677718</v>
      </c>
      <c r="DM34" s="75">
        <f>(1+INDEX('Inputs &amp; Drivers'!$G$52:$G$62,MATCH(Model!DM$4,'Inputs &amp; Drivers'!$B$52:$B$62,0))*(DM$4&lt;&gt;DL$4))*DL34</f>
        <v>-30574.340427677718</v>
      </c>
      <c r="DN34" s="75">
        <f>(1+INDEX('Inputs &amp; Drivers'!$G$52:$G$62,MATCH(Model!DN$4,'Inputs &amp; Drivers'!$B$52:$B$62,0))*(DN$4&lt;&gt;DM$4))*DM34</f>
        <v>-31491.570640508049</v>
      </c>
      <c r="DO34" s="75">
        <f>(1+INDEX('Inputs &amp; Drivers'!$G$52:$G$62,MATCH(Model!DO$4,'Inputs &amp; Drivers'!$B$52:$B$62,0))*(DO$4&lt;&gt;DN$4))*DN34</f>
        <v>-31491.570640508049</v>
      </c>
      <c r="DP34" s="75">
        <f>(1+INDEX('Inputs &amp; Drivers'!$G$52:$G$62,MATCH(Model!DP$4,'Inputs &amp; Drivers'!$B$52:$B$62,0))*(DP$4&lt;&gt;DO$4))*DO34</f>
        <v>-31491.570640508049</v>
      </c>
      <c r="DQ34" s="75">
        <f>(1+INDEX('Inputs &amp; Drivers'!$G$52:$G$62,MATCH(Model!DQ$4,'Inputs &amp; Drivers'!$B$52:$B$62,0))*(DQ$4&lt;&gt;DP$4))*DP34</f>
        <v>-31491.570640508049</v>
      </c>
      <c r="DR34" s="75">
        <f>(1+INDEX('Inputs &amp; Drivers'!$G$52:$G$62,MATCH(Model!DR$4,'Inputs &amp; Drivers'!$B$52:$B$62,0))*(DR$4&lt;&gt;DQ$4))*DQ34</f>
        <v>-31491.570640508049</v>
      </c>
      <c r="DS34" s="75">
        <f>(1+INDEX('Inputs &amp; Drivers'!$G$52:$G$62,MATCH(Model!DS$4,'Inputs &amp; Drivers'!$B$52:$B$62,0))*(DS$4&lt;&gt;DR$4))*DR34</f>
        <v>-31491.570640508049</v>
      </c>
      <c r="DT34" s="75">
        <f>(1+INDEX('Inputs &amp; Drivers'!$G$52:$G$62,MATCH(Model!DT$4,'Inputs &amp; Drivers'!$B$52:$B$62,0))*(DT$4&lt;&gt;DS$4))*DS34</f>
        <v>-31491.570640508049</v>
      </c>
      <c r="DU34" s="75">
        <f>(1+INDEX('Inputs &amp; Drivers'!$G$52:$G$62,MATCH(Model!DU$4,'Inputs &amp; Drivers'!$B$52:$B$62,0))*(DU$4&lt;&gt;DT$4))*DT34</f>
        <v>-31491.570640508049</v>
      </c>
      <c r="DV34" s="75">
        <f>(1+INDEX('Inputs &amp; Drivers'!$G$52:$G$62,MATCH(Model!DV$4,'Inputs &amp; Drivers'!$B$52:$B$62,0))*(DV$4&lt;&gt;DU$4))*DU34</f>
        <v>-31491.570640508049</v>
      </c>
      <c r="DW34" s="75">
        <f>(1+INDEX('Inputs &amp; Drivers'!$G$52:$G$62,MATCH(Model!DW$4,'Inputs &amp; Drivers'!$B$52:$B$62,0))*(DW$4&lt;&gt;DV$4))*DV34</f>
        <v>-31491.570640508049</v>
      </c>
      <c r="DX34" s="75">
        <f>(1+INDEX('Inputs &amp; Drivers'!$G$52:$G$62,MATCH(Model!DX$4,'Inputs &amp; Drivers'!$B$52:$B$62,0))*(DX$4&lt;&gt;DW$4))*DW34</f>
        <v>-31491.570640508049</v>
      </c>
      <c r="DY34" s="75">
        <f>(1+INDEX('Inputs &amp; Drivers'!$G$52:$G$62,MATCH(Model!DY$4,'Inputs &amp; Drivers'!$B$52:$B$62,0))*(DY$4&lt;&gt;DX$4))*DX34</f>
        <v>-31491.570640508049</v>
      </c>
      <c r="DZ34" s="75">
        <f>(1+INDEX('Inputs &amp; Drivers'!$G$52:$G$62,MATCH(Model!DZ$4,'Inputs &amp; Drivers'!$B$52:$B$62,0))*(DZ$4&lt;&gt;DY$4))*DY34</f>
        <v>-32436.31775972329</v>
      </c>
      <c r="EA34" s="75">
        <f>(1+INDEX('Inputs &amp; Drivers'!$G$52:$G$62,MATCH(Model!EA$4,'Inputs &amp; Drivers'!$B$52:$B$62,0))*(EA$4&lt;&gt;DZ$4))*DZ34</f>
        <v>-32436.31775972329</v>
      </c>
      <c r="EB34" s="75">
        <f>(1+INDEX('Inputs &amp; Drivers'!$G$52:$G$62,MATCH(Model!EB$4,'Inputs &amp; Drivers'!$B$52:$B$62,0))*(EB$4&lt;&gt;EA$4))*EA34</f>
        <v>-32436.31775972329</v>
      </c>
      <c r="EC34" s="75">
        <f>(1+INDEX('Inputs &amp; Drivers'!$G$52:$G$62,MATCH(Model!EC$4,'Inputs &amp; Drivers'!$B$52:$B$62,0))*(EC$4&lt;&gt;EB$4))*EB34</f>
        <v>-32436.31775972329</v>
      </c>
      <c r="ED34" s="75">
        <f>(1+INDEX('Inputs &amp; Drivers'!$G$52:$G$62,MATCH(Model!ED$4,'Inputs &amp; Drivers'!$B$52:$B$62,0))*(ED$4&lt;&gt;EC$4))*EC34</f>
        <v>-32436.31775972329</v>
      </c>
      <c r="EE34" s="75">
        <f>(1+INDEX('Inputs &amp; Drivers'!$G$52:$G$62,MATCH(Model!EE$4,'Inputs &amp; Drivers'!$B$52:$B$62,0))*(EE$4&lt;&gt;ED$4))*ED34</f>
        <v>-32436.31775972329</v>
      </c>
      <c r="EF34" s="75">
        <f>(1+INDEX('Inputs &amp; Drivers'!$G$52:$G$62,MATCH(Model!EF$4,'Inputs &amp; Drivers'!$B$52:$B$62,0))*(EF$4&lt;&gt;EE$4))*EE34</f>
        <v>-32436.31775972329</v>
      </c>
      <c r="EG34" s="75">
        <f>(1+INDEX('Inputs &amp; Drivers'!$G$52:$G$62,MATCH(Model!EG$4,'Inputs &amp; Drivers'!$B$52:$B$62,0))*(EG$4&lt;&gt;EF$4))*EF34</f>
        <v>-32436.31775972329</v>
      </c>
      <c r="EH34" s="75">
        <f>(1+INDEX('Inputs &amp; Drivers'!$G$52:$G$62,MATCH(Model!EH$4,'Inputs &amp; Drivers'!$B$52:$B$62,0))*(EH$4&lt;&gt;EG$4))*EG34</f>
        <v>-32436.31775972329</v>
      </c>
      <c r="EI34" s="75">
        <f>(1+INDEX('Inputs &amp; Drivers'!$G$52:$G$62,MATCH(Model!EI$4,'Inputs &amp; Drivers'!$B$52:$B$62,0))*(EI$4&lt;&gt;EH$4))*EH34</f>
        <v>-32436.31775972329</v>
      </c>
      <c r="EJ34" s="75">
        <f>(1+INDEX('Inputs &amp; Drivers'!$G$52:$G$62,MATCH(Model!EJ$4,'Inputs &amp; Drivers'!$B$52:$B$62,0))*(EJ$4&lt;&gt;EI$4))*EI34</f>
        <v>-32436.31775972329</v>
      </c>
      <c r="EK34" s="75">
        <f>(1+INDEX('Inputs &amp; Drivers'!$G$52:$G$62,MATCH(Model!EK$4,'Inputs &amp; Drivers'!$B$52:$B$62,0))*(EK$4&lt;&gt;EJ$4))*EJ34</f>
        <v>-32436.31775972329</v>
      </c>
      <c r="EM34" s="109">
        <f t="shared" si="517"/>
        <v>0</v>
      </c>
      <c r="EN34" s="109">
        <f t="shared" si="517"/>
        <v>-289628</v>
      </c>
      <c r="EO34" s="109">
        <f t="shared" si="517"/>
        <v>-298316.84000000003</v>
      </c>
      <c r="EP34" s="109">
        <f t="shared" si="517"/>
        <v>-307266.34519999998</v>
      </c>
      <c r="EQ34" s="109">
        <f t="shared" si="517"/>
        <v>-316484.33555600018</v>
      </c>
      <c r="ER34" s="109">
        <f t="shared" si="517"/>
        <v>-325978.86562268011</v>
      </c>
      <c r="ES34" s="109">
        <f t="shared" si="517"/>
        <v>-335758.23159136059</v>
      </c>
      <c r="ET34" s="109">
        <f t="shared" si="517"/>
        <v>-345830.97853910131</v>
      </c>
      <c r="EU34" s="109">
        <f t="shared" si="517"/>
        <v>-356205.9078952744</v>
      </c>
      <c r="EV34" s="109">
        <f t="shared" si="517"/>
        <v>-366892.08513213269</v>
      </c>
      <c r="EW34" s="109">
        <f t="shared" si="517"/>
        <v>-377898.84768609656</v>
      </c>
      <c r="EX34" s="109">
        <f t="shared" si="517"/>
        <v>-389235.81311667949</v>
      </c>
    </row>
    <row r="35" spans="2:154" x14ac:dyDescent="0.3">
      <c r="B35" s="1" t="s">
        <v>84</v>
      </c>
      <c r="E35" s="70">
        <f>SUM('Historical Financials'!M31:O31)*4</f>
        <v>-70136</v>
      </c>
      <c r="F35" s="70">
        <f>SUM('Historical Financials'!D31:O31)</f>
        <v>-59547</v>
      </c>
      <c r="G35" s="7">
        <f t="shared" si="518"/>
        <v>280.54399999999998</v>
      </c>
      <c r="J35" s="41">
        <f>-'Inputs &amp; Drivers'!$J38/12</f>
        <v>-5844.666666666667</v>
      </c>
      <c r="K35" s="75">
        <f>(1+INDEX('Inputs &amp; Drivers'!$G$52:$G$62,MATCH(Model!K$4,'Inputs &amp; Drivers'!$B$52:$B$62,0))*(K$4&lt;&gt;J$4))*J35</f>
        <v>-5844.666666666667</v>
      </c>
      <c r="L35" s="75">
        <f>(1+INDEX('Inputs &amp; Drivers'!$G$52:$G$62,MATCH(Model!L$4,'Inputs &amp; Drivers'!$B$52:$B$62,0))*(L$4&lt;&gt;K$4))*K35</f>
        <v>-5844.666666666667</v>
      </c>
      <c r="M35" s="75">
        <f>(1+INDEX('Inputs &amp; Drivers'!$G$52:$G$62,MATCH(Model!M$4,'Inputs &amp; Drivers'!$B$52:$B$62,0))*(M$4&lt;&gt;L$4))*L35</f>
        <v>-5844.666666666667</v>
      </c>
      <c r="N35" s="75">
        <f>(1+INDEX('Inputs &amp; Drivers'!$G$52:$G$62,MATCH(Model!N$4,'Inputs &amp; Drivers'!$B$52:$B$62,0))*(N$4&lt;&gt;M$4))*M35</f>
        <v>-5844.666666666667</v>
      </c>
      <c r="O35" s="75">
        <f>(1+INDEX('Inputs &amp; Drivers'!$G$52:$G$62,MATCH(Model!O$4,'Inputs &amp; Drivers'!$B$52:$B$62,0))*(O$4&lt;&gt;N$4))*N35</f>
        <v>-5844.666666666667</v>
      </c>
      <c r="P35" s="75">
        <f>(1+INDEX('Inputs &amp; Drivers'!$G$52:$G$62,MATCH(Model!P$4,'Inputs &amp; Drivers'!$B$52:$B$62,0))*(P$4&lt;&gt;O$4))*O35</f>
        <v>-5844.666666666667</v>
      </c>
      <c r="Q35" s="75">
        <f>(1+INDEX('Inputs &amp; Drivers'!$G$52:$G$62,MATCH(Model!Q$4,'Inputs &amp; Drivers'!$B$52:$B$62,0))*(Q$4&lt;&gt;P$4))*P35</f>
        <v>-5844.666666666667</v>
      </c>
      <c r="R35" s="75">
        <f>(1+INDEX('Inputs &amp; Drivers'!$G$52:$G$62,MATCH(Model!R$4,'Inputs &amp; Drivers'!$B$52:$B$62,0))*(R$4&lt;&gt;Q$4))*Q35</f>
        <v>-5844.666666666667</v>
      </c>
      <c r="S35" s="75">
        <f>(1+INDEX('Inputs &amp; Drivers'!$G$52:$G$62,MATCH(Model!S$4,'Inputs &amp; Drivers'!$B$52:$B$62,0))*(S$4&lt;&gt;R$4))*R35</f>
        <v>-5844.666666666667</v>
      </c>
      <c r="T35" s="75">
        <f>(1+INDEX('Inputs &amp; Drivers'!$G$52:$G$62,MATCH(Model!T$4,'Inputs &amp; Drivers'!$B$52:$B$62,0))*(T$4&lt;&gt;S$4))*S35</f>
        <v>-5844.666666666667</v>
      </c>
      <c r="U35" s="75">
        <f>(1+INDEX('Inputs &amp; Drivers'!$G$52:$G$62,MATCH(Model!U$4,'Inputs &amp; Drivers'!$B$52:$B$62,0))*(U$4&lt;&gt;T$4))*T35</f>
        <v>-5844.666666666667</v>
      </c>
      <c r="V35" s="75">
        <f>(1+INDEX('Inputs &amp; Drivers'!$G$52:$G$62,MATCH(Model!V$4,'Inputs &amp; Drivers'!$B$52:$B$62,0))*(V$4&lt;&gt;U$4))*U35</f>
        <v>-6020.0066666666671</v>
      </c>
      <c r="W35" s="75">
        <f>(1+INDEX('Inputs &amp; Drivers'!$G$52:$G$62,MATCH(Model!W$4,'Inputs &amp; Drivers'!$B$52:$B$62,0))*(W$4&lt;&gt;V$4))*V35</f>
        <v>-6020.0066666666671</v>
      </c>
      <c r="X35" s="75">
        <f>(1+INDEX('Inputs &amp; Drivers'!$G$52:$G$62,MATCH(Model!X$4,'Inputs &amp; Drivers'!$B$52:$B$62,0))*(X$4&lt;&gt;W$4))*W35</f>
        <v>-6020.0066666666671</v>
      </c>
      <c r="Y35" s="75">
        <f>(1+INDEX('Inputs &amp; Drivers'!$G$52:$G$62,MATCH(Model!Y$4,'Inputs &amp; Drivers'!$B$52:$B$62,0))*(Y$4&lt;&gt;X$4))*X35</f>
        <v>-6020.0066666666671</v>
      </c>
      <c r="Z35" s="75">
        <f>(1+INDEX('Inputs &amp; Drivers'!$G$52:$G$62,MATCH(Model!Z$4,'Inputs &amp; Drivers'!$B$52:$B$62,0))*(Z$4&lt;&gt;Y$4))*Y35</f>
        <v>-6020.0066666666671</v>
      </c>
      <c r="AA35" s="75">
        <f>(1+INDEX('Inputs &amp; Drivers'!$G$52:$G$62,MATCH(Model!AA$4,'Inputs &amp; Drivers'!$B$52:$B$62,0))*(AA$4&lt;&gt;Z$4))*Z35</f>
        <v>-6020.0066666666671</v>
      </c>
      <c r="AB35" s="75">
        <f>(1+INDEX('Inputs &amp; Drivers'!$G$52:$G$62,MATCH(Model!AB$4,'Inputs &amp; Drivers'!$B$52:$B$62,0))*(AB$4&lt;&gt;AA$4))*AA35</f>
        <v>-6020.0066666666671</v>
      </c>
      <c r="AC35" s="75">
        <f>(1+INDEX('Inputs &amp; Drivers'!$G$52:$G$62,MATCH(Model!AC$4,'Inputs &amp; Drivers'!$B$52:$B$62,0))*(AC$4&lt;&gt;AB$4))*AB35</f>
        <v>-6020.0066666666671</v>
      </c>
      <c r="AD35" s="75">
        <f>(1+INDEX('Inputs &amp; Drivers'!$G$52:$G$62,MATCH(Model!AD$4,'Inputs &amp; Drivers'!$B$52:$B$62,0))*(AD$4&lt;&gt;AC$4))*AC35</f>
        <v>-6020.0066666666671</v>
      </c>
      <c r="AE35" s="75">
        <f>(1+INDEX('Inputs &amp; Drivers'!$G$52:$G$62,MATCH(Model!AE$4,'Inputs &amp; Drivers'!$B$52:$B$62,0))*(AE$4&lt;&gt;AD$4))*AD35</f>
        <v>-6020.0066666666671</v>
      </c>
      <c r="AF35" s="75">
        <f>(1+INDEX('Inputs &amp; Drivers'!$G$52:$G$62,MATCH(Model!AF$4,'Inputs &amp; Drivers'!$B$52:$B$62,0))*(AF$4&lt;&gt;AE$4))*AE35</f>
        <v>-6020.0066666666671</v>
      </c>
      <c r="AG35" s="75">
        <f>(1+INDEX('Inputs &amp; Drivers'!$G$52:$G$62,MATCH(Model!AG$4,'Inputs &amp; Drivers'!$B$52:$B$62,0))*(AG$4&lt;&gt;AF$4))*AF35</f>
        <v>-6020.0066666666671</v>
      </c>
      <c r="AH35" s="75">
        <f>(1+INDEX('Inputs &amp; Drivers'!$G$52:$G$62,MATCH(Model!AH$4,'Inputs &amp; Drivers'!$B$52:$B$62,0))*(AH$4&lt;&gt;AG$4))*AG35</f>
        <v>-6200.606866666667</v>
      </c>
      <c r="AI35" s="75">
        <f>(1+INDEX('Inputs &amp; Drivers'!$G$52:$G$62,MATCH(Model!AI$4,'Inputs &amp; Drivers'!$B$52:$B$62,0))*(AI$4&lt;&gt;AH$4))*AH35</f>
        <v>-6200.606866666667</v>
      </c>
      <c r="AJ35" s="75">
        <f>(1+INDEX('Inputs &amp; Drivers'!$G$52:$G$62,MATCH(Model!AJ$4,'Inputs &amp; Drivers'!$B$52:$B$62,0))*(AJ$4&lt;&gt;AI$4))*AI35</f>
        <v>-6200.606866666667</v>
      </c>
      <c r="AK35" s="75">
        <f>(1+INDEX('Inputs &amp; Drivers'!$G$52:$G$62,MATCH(Model!AK$4,'Inputs &amp; Drivers'!$B$52:$B$62,0))*(AK$4&lt;&gt;AJ$4))*AJ35</f>
        <v>-6200.606866666667</v>
      </c>
      <c r="AL35" s="75">
        <f>(1+INDEX('Inputs &amp; Drivers'!$G$52:$G$62,MATCH(Model!AL$4,'Inputs &amp; Drivers'!$B$52:$B$62,0))*(AL$4&lt;&gt;AK$4))*AK35</f>
        <v>-6200.606866666667</v>
      </c>
      <c r="AM35" s="75">
        <f>(1+INDEX('Inputs &amp; Drivers'!$G$52:$G$62,MATCH(Model!AM$4,'Inputs &amp; Drivers'!$B$52:$B$62,0))*(AM$4&lt;&gt;AL$4))*AL35</f>
        <v>-6200.606866666667</v>
      </c>
      <c r="AN35" s="75">
        <f>(1+INDEX('Inputs &amp; Drivers'!$G$52:$G$62,MATCH(Model!AN$4,'Inputs &amp; Drivers'!$B$52:$B$62,0))*(AN$4&lt;&gt;AM$4))*AM35</f>
        <v>-6200.606866666667</v>
      </c>
      <c r="AO35" s="75">
        <f>(1+INDEX('Inputs &amp; Drivers'!$G$52:$G$62,MATCH(Model!AO$4,'Inputs &amp; Drivers'!$B$52:$B$62,0))*(AO$4&lt;&gt;AN$4))*AN35</f>
        <v>-6200.606866666667</v>
      </c>
      <c r="AP35" s="75">
        <f>(1+INDEX('Inputs &amp; Drivers'!$G$52:$G$62,MATCH(Model!AP$4,'Inputs &amp; Drivers'!$B$52:$B$62,0))*(AP$4&lt;&gt;AO$4))*AO35</f>
        <v>-6200.606866666667</v>
      </c>
      <c r="AQ35" s="75">
        <f>(1+INDEX('Inputs &amp; Drivers'!$G$52:$G$62,MATCH(Model!AQ$4,'Inputs &amp; Drivers'!$B$52:$B$62,0))*(AQ$4&lt;&gt;AP$4))*AP35</f>
        <v>-6200.606866666667</v>
      </c>
      <c r="AR35" s="75">
        <f>(1+INDEX('Inputs &amp; Drivers'!$G$52:$G$62,MATCH(Model!AR$4,'Inputs &amp; Drivers'!$B$52:$B$62,0))*(AR$4&lt;&gt;AQ$4))*AQ35</f>
        <v>-6200.606866666667</v>
      </c>
      <c r="AS35" s="75">
        <f>(1+INDEX('Inputs &amp; Drivers'!$G$52:$G$62,MATCH(Model!AS$4,'Inputs &amp; Drivers'!$B$52:$B$62,0))*(AS$4&lt;&gt;AR$4))*AR35</f>
        <v>-6200.606866666667</v>
      </c>
      <c r="AT35" s="75">
        <f>(1+INDEX('Inputs &amp; Drivers'!$G$52:$G$62,MATCH(Model!AT$4,'Inputs &amp; Drivers'!$B$52:$B$62,0))*(AT$4&lt;&gt;AS$4))*AS35</f>
        <v>-6386.6250726666667</v>
      </c>
      <c r="AU35" s="75">
        <f>(1+INDEX('Inputs &amp; Drivers'!$G$52:$G$62,MATCH(Model!AU$4,'Inputs &amp; Drivers'!$B$52:$B$62,0))*(AU$4&lt;&gt;AT$4))*AT35</f>
        <v>-6386.6250726666667</v>
      </c>
      <c r="AV35" s="75">
        <f>(1+INDEX('Inputs &amp; Drivers'!$G$52:$G$62,MATCH(Model!AV$4,'Inputs &amp; Drivers'!$B$52:$B$62,0))*(AV$4&lt;&gt;AU$4))*AU35</f>
        <v>-6386.6250726666667</v>
      </c>
      <c r="AW35" s="75">
        <f>(1+INDEX('Inputs &amp; Drivers'!$G$52:$G$62,MATCH(Model!AW$4,'Inputs &amp; Drivers'!$B$52:$B$62,0))*(AW$4&lt;&gt;AV$4))*AV35</f>
        <v>-6386.6250726666667</v>
      </c>
      <c r="AX35" s="75">
        <f>(1+INDEX('Inputs &amp; Drivers'!$G$52:$G$62,MATCH(Model!AX$4,'Inputs &amp; Drivers'!$B$52:$B$62,0))*(AX$4&lt;&gt;AW$4))*AW35</f>
        <v>-6386.6250726666667</v>
      </c>
      <c r="AY35" s="75">
        <f>(1+INDEX('Inputs &amp; Drivers'!$G$52:$G$62,MATCH(Model!AY$4,'Inputs &amp; Drivers'!$B$52:$B$62,0))*(AY$4&lt;&gt;AX$4))*AX35</f>
        <v>-6386.6250726666667</v>
      </c>
      <c r="AZ35" s="75">
        <f>(1+INDEX('Inputs &amp; Drivers'!$G$52:$G$62,MATCH(Model!AZ$4,'Inputs &amp; Drivers'!$B$52:$B$62,0))*(AZ$4&lt;&gt;AY$4))*AY35</f>
        <v>-6386.6250726666667</v>
      </c>
      <c r="BA35" s="75">
        <f>(1+INDEX('Inputs &amp; Drivers'!$G$52:$G$62,MATCH(Model!BA$4,'Inputs &amp; Drivers'!$B$52:$B$62,0))*(BA$4&lt;&gt;AZ$4))*AZ35</f>
        <v>-6386.6250726666667</v>
      </c>
      <c r="BB35" s="75">
        <f>(1+INDEX('Inputs &amp; Drivers'!$G$52:$G$62,MATCH(Model!BB$4,'Inputs &amp; Drivers'!$B$52:$B$62,0))*(BB$4&lt;&gt;BA$4))*BA35</f>
        <v>-6386.6250726666667</v>
      </c>
      <c r="BC35" s="75">
        <f>(1+INDEX('Inputs &amp; Drivers'!$G$52:$G$62,MATCH(Model!BC$4,'Inputs &amp; Drivers'!$B$52:$B$62,0))*(BC$4&lt;&gt;BB$4))*BB35</f>
        <v>-6386.6250726666667</v>
      </c>
      <c r="BD35" s="75">
        <f>(1+INDEX('Inputs &amp; Drivers'!$G$52:$G$62,MATCH(Model!BD$4,'Inputs &amp; Drivers'!$B$52:$B$62,0))*(BD$4&lt;&gt;BC$4))*BC35</f>
        <v>-6386.6250726666667</v>
      </c>
      <c r="BE35" s="75">
        <f>(1+INDEX('Inputs &amp; Drivers'!$G$52:$G$62,MATCH(Model!BE$4,'Inputs &amp; Drivers'!$B$52:$B$62,0))*(BE$4&lt;&gt;BD$4))*BD35</f>
        <v>-6386.6250726666667</v>
      </c>
      <c r="BF35" s="75">
        <f>(1+INDEX('Inputs &amp; Drivers'!$G$52:$G$62,MATCH(Model!BF$4,'Inputs &amp; Drivers'!$B$52:$B$62,0))*(BF$4&lt;&gt;BE$4))*BE35</f>
        <v>-6578.2238248466665</v>
      </c>
      <c r="BG35" s="75">
        <f>(1+INDEX('Inputs &amp; Drivers'!$G$52:$G$62,MATCH(Model!BG$4,'Inputs &amp; Drivers'!$B$52:$B$62,0))*(BG$4&lt;&gt;BF$4))*BF35</f>
        <v>-6578.2238248466665</v>
      </c>
      <c r="BH35" s="75">
        <f>(1+INDEX('Inputs &amp; Drivers'!$G$52:$G$62,MATCH(Model!BH$4,'Inputs &amp; Drivers'!$B$52:$B$62,0))*(BH$4&lt;&gt;BG$4))*BG35</f>
        <v>-6578.2238248466665</v>
      </c>
      <c r="BI35" s="75">
        <f>(1+INDEX('Inputs &amp; Drivers'!$G$52:$G$62,MATCH(Model!BI$4,'Inputs &amp; Drivers'!$B$52:$B$62,0))*(BI$4&lt;&gt;BH$4))*BH35</f>
        <v>-6578.2238248466665</v>
      </c>
      <c r="BJ35" s="75">
        <f>(1+INDEX('Inputs &amp; Drivers'!$G$52:$G$62,MATCH(Model!BJ$4,'Inputs &amp; Drivers'!$B$52:$B$62,0))*(BJ$4&lt;&gt;BI$4))*BI35</f>
        <v>-6578.2238248466665</v>
      </c>
      <c r="BK35" s="75">
        <f>(1+INDEX('Inputs &amp; Drivers'!$G$52:$G$62,MATCH(Model!BK$4,'Inputs &amp; Drivers'!$B$52:$B$62,0))*(BK$4&lt;&gt;BJ$4))*BJ35</f>
        <v>-6578.2238248466665</v>
      </c>
      <c r="BL35" s="75">
        <f>(1+INDEX('Inputs &amp; Drivers'!$G$52:$G$62,MATCH(Model!BL$4,'Inputs &amp; Drivers'!$B$52:$B$62,0))*(BL$4&lt;&gt;BK$4))*BK35</f>
        <v>-6578.2238248466665</v>
      </c>
      <c r="BM35" s="75">
        <f>(1+INDEX('Inputs &amp; Drivers'!$G$52:$G$62,MATCH(Model!BM$4,'Inputs &amp; Drivers'!$B$52:$B$62,0))*(BM$4&lt;&gt;BL$4))*BL35</f>
        <v>-6578.2238248466665</v>
      </c>
      <c r="BN35" s="75">
        <f>(1+INDEX('Inputs &amp; Drivers'!$G$52:$G$62,MATCH(Model!BN$4,'Inputs &amp; Drivers'!$B$52:$B$62,0))*(BN$4&lt;&gt;BM$4))*BM35</f>
        <v>-6578.2238248466665</v>
      </c>
      <c r="BO35" s="75">
        <f>(1+INDEX('Inputs &amp; Drivers'!$G$52:$G$62,MATCH(Model!BO$4,'Inputs &amp; Drivers'!$B$52:$B$62,0))*(BO$4&lt;&gt;BN$4))*BN35</f>
        <v>-6578.2238248466665</v>
      </c>
      <c r="BP35" s="75">
        <f>(1+INDEX('Inputs &amp; Drivers'!$G$52:$G$62,MATCH(Model!BP$4,'Inputs &amp; Drivers'!$B$52:$B$62,0))*(BP$4&lt;&gt;BO$4))*BO35</f>
        <v>-6578.2238248466665</v>
      </c>
      <c r="BQ35" s="75">
        <f>(1+INDEX('Inputs &amp; Drivers'!$G$52:$G$62,MATCH(Model!BQ$4,'Inputs &amp; Drivers'!$B$52:$B$62,0))*(BQ$4&lt;&gt;BP$4))*BP35</f>
        <v>-6578.2238248466665</v>
      </c>
      <c r="BR35" s="75">
        <f>(1+INDEX('Inputs &amp; Drivers'!$G$52:$G$62,MATCH(Model!BR$4,'Inputs &amp; Drivers'!$B$52:$B$62,0))*(BR$4&lt;&gt;BQ$4))*BQ35</f>
        <v>-6775.5705395920668</v>
      </c>
      <c r="BS35" s="75">
        <f>(1+INDEX('Inputs &amp; Drivers'!$G$52:$G$62,MATCH(Model!BS$4,'Inputs &amp; Drivers'!$B$52:$B$62,0))*(BS$4&lt;&gt;BR$4))*BR35</f>
        <v>-6775.5705395920668</v>
      </c>
      <c r="BT35" s="75">
        <f>(1+INDEX('Inputs &amp; Drivers'!$G$52:$G$62,MATCH(Model!BT$4,'Inputs &amp; Drivers'!$B$52:$B$62,0))*(BT$4&lt;&gt;BS$4))*BS35</f>
        <v>-6775.5705395920668</v>
      </c>
      <c r="BU35" s="75">
        <f>(1+INDEX('Inputs &amp; Drivers'!$G$52:$G$62,MATCH(Model!BU$4,'Inputs &amp; Drivers'!$B$52:$B$62,0))*(BU$4&lt;&gt;BT$4))*BT35</f>
        <v>-6775.5705395920668</v>
      </c>
      <c r="BV35" s="75">
        <f>(1+INDEX('Inputs &amp; Drivers'!$G$52:$G$62,MATCH(Model!BV$4,'Inputs &amp; Drivers'!$B$52:$B$62,0))*(BV$4&lt;&gt;BU$4))*BU35</f>
        <v>-6775.5705395920668</v>
      </c>
      <c r="BW35" s="75">
        <f>(1+INDEX('Inputs &amp; Drivers'!$G$52:$G$62,MATCH(Model!BW$4,'Inputs &amp; Drivers'!$B$52:$B$62,0))*(BW$4&lt;&gt;BV$4))*BV35</f>
        <v>-6775.5705395920668</v>
      </c>
      <c r="BX35" s="75">
        <f>(1+INDEX('Inputs &amp; Drivers'!$G$52:$G$62,MATCH(Model!BX$4,'Inputs &amp; Drivers'!$B$52:$B$62,0))*(BX$4&lt;&gt;BW$4))*BW35</f>
        <v>-6775.5705395920668</v>
      </c>
      <c r="BY35" s="75">
        <f>(1+INDEX('Inputs &amp; Drivers'!$G$52:$G$62,MATCH(Model!BY$4,'Inputs &amp; Drivers'!$B$52:$B$62,0))*(BY$4&lt;&gt;BX$4))*BX35</f>
        <v>-6775.5705395920668</v>
      </c>
      <c r="BZ35" s="75">
        <f>(1+INDEX('Inputs &amp; Drivers'!$G$52:$G$62,MATCH(Model!BZ$4,'Inputs &amp; Drivers'!$B$52:$B$62,0))*(BZ$4&lt;&gt;BY$4))*BY35</f>
        <v>-6775.5705395920668</v>
      </c>
      <c r="CA35" s="75">
        <f>(1+INDEX('Inputs &amp; Drivers'!$G$52:$G$62,MATCH(Model!CA$4,'Inputs &amp; Drivers'!$B$52:$B$62,0))*(CA$4&lt;&gt;BZ$4))*BZ35</f>
        <v>-6775.5705395920668</v>
      </c>
      <c r="CB35" s="75">
        <f>(1+INDEX('Inputs &amp; Drivers'!$G$52:$G$62,MATCH(Model!CB$4,'Inputs &amp; Drivers'!$B$52:$B$62,0))*(CB$4&lt;&gt;CA$4))*CA35</f>
        <v>-6775.5705395920668</v>
      </c>
      <c r="CC35" s="75">
        <f>(1+INDEX('Inputs &amp; Drivers'!$G$52:$G$62,MATCH(Model!CC$4,'Inputs &amp; Drivers'!$B$52:$B$62,0))*(CC$4&lt;&gt;CB$4))*CB35</f>
        <v>-6775.5705395920668</v>
      </c>
      <c r="CD35" s="75">
        <f>(1+INDEX('Inputs &amp; Drivers'!$G$52:$G$62,MATCH(Model!CD$4,'Inputs &amp; Drivers'!$B$52:$B$62,0))*(CD$4&lt;&gt;CC$4))*CC35</f>
        <v>-6978.8376557798292</v>
      </c>
      <c r="CE35" s="75">
        <f>(1+INDEX('Inputs &amp; Drivers'!$G$52:$G$62,MATCH(Model!CE$4,'Inputs &amp; Drivers'!$B$52:$B$62,0))*(CE$4&lt;&gt;CD$4))*CD35</f>
        <v>-6978.8376557798292</v>
      </c>
      <c r="CF35" s="75">
        <f>(1+INDEX('Inputs &amp; Drivers'!$G$52:$G$62,MATCH(Model!CF$4,'Inputs &amp; Drivers'!$B$52:$B$62,0))*(CF$4&lt;&gt;CE$4))*CE35</f>
        <v>-6978.8376557798292</v>
      </c>
      <c r="CG35" s="75">
        <f>(1+INDEX('Inputs &amp; Drivers'!$G$52:$G$62,MATCH(Model!CG$4,'Inputs &amp; Drivers'!$B$52:$B$62,0))*(CG$4&lt;&gt;CF$4))*CF35</f>
        <v>-6978.8376557798292</v>
      </c>
      <c r="CH35" s="75">
        <f>(1+INDEX('Inputs &amp; Drivers'!$G$52:$G$62,MATCH(Model!CH$4,'Inputs &amp; Drivers'!$B$52:$B$62,0))*(CH$4&lt;&gt;CG$4))*CG35</f>
        <v>-6978.8376557798292</v>
      </c>
      <c r="CI35" s="75">
        <f>(1+INDEX('Inputs &amp; Drivers'!$G$52:$G$62,MATCH(Model!CI$4,'Inputs &amp; Drivers'!$B$52:$B$62,0))*(CI$4&lt;&gt;CH$4))*CH35</f>
        <v>-6978.8376557798292</v>
      </c>
      <c r="CJ35" s="75">
        <f>(1+INDEX('Inputs &amp; Drivers'!$G$52:$G$62,MATCH(Model!CJ$4,'Inputs &amp; Drivers'!$B$52:$B$62,0))*(CJ$4&lt;&gt;CI$4))*CI35</f>
        <v>-6978.8376557798292</v>
      </c>
      <c r="CK35" s="75">
        <f>(1+INDEX('Inputs &amp; Drivers'!$G$52:$G$62,MATCH(Model!CK$4,'Inputs &amp; Drivers'!$B$52:$B$62,0))*(CK$4&lt;&gt;CJ$4))*CJ35</f>
        <v>-6978.8376557798292</v>
      </c>
      <c r="CL35" s="75">
        <f>(1+INDEX('Inputs &amp; Drivers'!$G$52:$G$62,MATCH(Model!CL$4,'Inputs &amp; Drivers'!$B$52:$B$62,0))*(CL$4&lt;&gt;CK$4))*CK35</f>
        <v>-6978.8376557798292</v>
      </c>
      <c r="CM35" s="75">
        <f>(1+INDEX('Inputs &amp; Drivers'!$G$52:$G$62,MATCH(Model!CM$4,'Inputs &amp; Drivers'!$B$52:$B$62,0))*(CM$4&lt;&gt;CL$4))*CL35</f>
        <v>-6978.8376557798292</v>
      </c>
      <c r="CN35" s="75">
        <f>(1+INDEX('Inputs &amp; Drivers'!$G$52:$G$62,MATCH(Model!CN$4,'Inputs &amp; Drivers'!$B$52:$B$62,0))*(CN$4&lt;&gt;CM$4))*CM35</f>
        <v>-6978.8376557798292</v>
      </c>
      <c r="CO35" s="75">
        <f>(1+INDEX('Inputs &amp; Drivers'!$G$52:$G$62,MATCH(Model!CO$4,'Inputs &amp; Drivers'!$B$52:$B$62,0))*(CO$4&lt;&gt;CN$4))*CN35</f>
        <v>-6978.8376557798292</v>
      </c>
      <c r="CP35" s="75">
        <f>(1+INDEX('Inputs &amp; Drivers'!$G$52:$G$62,MATCH(Model!CP$4,'Inputs &amp; Drivers'!$B$52:$B$62,0))*(CP$4&lt;&gt;CO$4))*CO35</f>
        <v>-7188.2027854532244</v>
      </c>
      <c r="CQ35" s="75">
        <f>(1+INDEX('Inputs &amp; Drivers'!$G$52:$G$62,MATCH(Model!CQ$4,'Inputs &amp; Drivers'!$B$52:$B$62,0))*(CQ$4&lt;&gt;CP$4))*CP35</f>
        <v>-7188.2027854532244</v>
      </c>
      <c r="CR35" s="75">
        <f>(1+INDEX('Inputs &amp; Drivers'!$G$52:$G$62,MATCH(Model!CR$4,'Inputs &amp; Drivers'!$B$52:$B$62,0))*(CR$4&lt;&gt;CQ$4))*CQ35</f>
        <v>-7188.2027854532244</v>
      </c>
      <c r="CS35" s="75">
        <f>(1+INDEX('Inputs &amp; Drivers'!$G$52:$G$62,MATCH(Model!CS$4,'Inputs &amp; Drivers'!$B$52:$B$62,0))*(CS$4&lt;&gt;CR$4))*CR35</f>
        <v>-7188.2027854532244</v>
      </c>
      <c r="CT35" s="75">
        <f>(1+INDEX('Inputs &amp; Drivers'!$G$52:$G$62,MATCH(Model!CT$4,'Inputs &amp; Drivers'!$B$52:$B$62,0))*(CT$4&lt;&gt;CS$4))*CS35</f>
        <v>-7188.2027854532244</v>
      </c>
      <c r="CU35" s="75">
        <f>(1+INDEX('Inputs &amp; Drivers'!$G$52:$G$62,MATCH(Model!CU$4,'Inputs &amp; Drivers'!$B$52:$B$62,0))*(CU$4&lt;&gt;CT$4))*CT35</f>
        <v>-7188.2027854532244</v>
      </c>
      <c r="CV35" s="75">
        <f>(1+INDEX('Inputs &amp; Drivers'!$G$52:$G$62,MATCH(Model!CV$4,'Inputs &amp; Drivers'!$B$52:$B$62,0))*(CV$4&lt;&gt;CU$4))*CU35</f>
        <v>-7188.2027854532244</v>
      </c>
      <c r="CW35" s="75">
        <f>(1+INDEX('Inputs &amp; Drivers'!$G$52:$G$62,MATCH(Model!CW$4,'Inputs &amp; Drivers'!$B$52:$B$62,0))*(CW$4&lt;&gt;CV$4))*CV35</f>
        <v>-7188.2027854532244</v>
      </c>
      <c r="CX35" s="75">
        <f>(1+INDEX('Inputs &amp; Drivers'!$G$52:$G$62,MATCH(Model!CX$4,'Inputs &amp; Drivers'!$B$52:$B$62,0))*(CX$4&lt;&gt;CW$4))*CW35</f>
        <v>-7188.2027854532244</v>
      </c>
      <c r="CY35" s="75">
        <f>(1+INDEX('Inputs &amp; Drivers'!$G$52:$G$62,MATCH(Model!CY$4,'Inputs &amp; Drivers'!$B$52:$B$62,0))*(CY$4&lt;&gt;CX$4))*CX35</f>
        <v>-7188.2027854532244</v>
      </c>
      <c r="CZ35" s="75">
        <f>(1+INDEX('Inputs &amp; Drivers'!$G$52:$G$62,MATCH(Model!CZ$4,'Inputs &amp; Drivers'!$B$52:$B$62,0))*(CZ$4&lt;&gt;CY$4))*CY35</f>
        <v>-7188.2027854532244</v>
      </c>
      <c r="DA35" s="75">
        <f>(1+INDEX('Inputs &amp; Drivers'!$G$52:$G$62,MATCH(Model!DA$4,'Inputs &amp; Drivers'!$B$52:$B$62,0))*(DA$4&lt;&gt;CZ$4))*CZ35</f>
        <v>-7188.2027854532244</v>
      </c>
      <c r="DB35" s="75">
        <f>(1+INDEX('Inputs &amp; Drivers'!$G$52:$G$62,MATCH(Model!DB$4,'Inputs &amp; Drivers'!$B$52:$B$62,0))*(DB$4&lt;&gt;DA$4))*DA35</f>
        <v>-7403.8488690168215</v>
      </c>
      <c r="DC35" s="75">
        <f>(1+INDEX('Inputs &amp; Drivers'!$G$52:$G$62,MATCH(Model!DC$4,'Inputs &amp; Drivers'!$B$52:$B$62,0))*(DC$4&lt;&gt;DB$4))*DB35</f>
        <v>-7403.8488690168215</v>
      </c>
      <c r="DD35" s="75">
        <f>(1+INDEX('Inputs &amp; Drivers'!$G$52:$G$62,MATCH(Model!DD$4,'Inputs &amp; Drivers'!$B$52:$B$62,0))*(DD$4&lt;&gt;DC$4))*DC35</f>
        <v>-7403.8488690168215</v>
      </c>
      <c r="DE35" s="75">
        <f>(1+INDEX('Inputs &amp; Drivers'!$G$52:$G$62,MATCH(Model!DE$4,'Inputs &amp; Drivers'!$B$52:$B$62,0))*(DE$4&lt;&gt;DD$4))*DD35</f>
        <v>-7403.8488690168215</v>
      </c>
      <c r="DF35" s="75">
        <f>(1+INDEX('Inputs &amp; Drivers'!$G$52:$G$62,MATCH(Model!DF$4,'Inputs &amp; Drivers'!$B$52:$B$62,0))*(DF$4&lt;&gt;DE$4))*DE35</f>
        <v>-7403.8488690168215</v>
      </c>
      <c r="DG35" s="75">
        <f>(1+INDEX('Inputs &amp; Drivers'!$G$52:$G$62,MATCH(Model!DG$4,'Inputs &amp; Drivers'!$B$52:$B$62,0))*(DG$4&lt;&gt;DF$4))*DF35</f>
        <v>-7403.8488690168215</v>
      </c>
      <c r="DH35" s="75">
        <f>(1+INDEX('Inputs &amp; Drivers'!$G$52:$G$62,MATCH(Model!DH$4,'Inputs &amp; Drivers'!$B$52:$B$62,0))*(DH$4&lt;&gt;DG$4))*DG35</f>
        <v>-7403.8488690168215</v>
      </c>
      <c r="DI35" s="75">
        <f>(1+INDEX('Inputs &amp; Drivers'!$G$52:$G$62,MATCH(Model!DI$4,'Inputs &amp; Drivers'!$B$52:$B$62,0))*(DI$4&lt;&gt;DH$4))*DH35</f>
        <v>-7403.8488690168215</v>
      </c>
      <c r="DJ35" s="75">
        <f>(1+INDEX('Inputs &amp; Drivers'!$G$52:$G$62,MATCH(Model!DJ$4,'Inputs &amp; Drivers'!$B$52:$B$62,0))*(DJ$4&lt;&gt;DI$4))*DI35</f>
        <v>-7403.8488690168215</v>
      </c>
      <c r="DK35" s="75">
        <f>(1+INDEX('Inputs &amp; Drivers'!$G$52:$G$62,MATCH(Model!DK$4,'Inputs &amp; Drivers'!$B$52:$B$62,0))*(DK$4&lt;&gt;DJ$4))*DJ35</f>
        <v>-7403.8488690168215</v>
      </c>
      <c r="DL35" s="75">
        <f>(1+INDEX('Inputs &amp; Drivers'!$G$52:$G$62,MATCH(Model!DL$4,'Inputs &amp; Drivers'!$B$52:$B$62,0))*(DL$4&lt;&gt;DK$4))*DK35</f>
        <v>-7403.8488690168215</v>
      </c>
      <c r="DM35" s="75">
        <f>(1+INDEX('Inputs &amp; Drivers'!$G$52:$G$62,MATCH(Model!DM$4,'Inputs &amp; Drivers'!$B$52:$B$62,0))*(DM$4&lt;&gt;DL$4))*DL35</f>
        <v>-7403.8488690168215</v>
      </c>
      <c r="DN35" s="75">
        <f>(1+INDEX('Inputs &amp; Drivers'!$G$52:$G$62,MATCH(Model!DN$4,'Inputs &amp; Drivers'!$B$52:$B$62,0))*(DN$4&lt;&gt;DM$4))*DM35</f>
        <v>-7625.9643350873266</v>
      </c>
      <c r="DO35" s="75">
        <f>(1+INDEX('Inputs &amp; Drivers'!$G$52:$G$62,MATCH(Model!DO$4,'Inputs &amp; Drivers'!$B$52:$B$62,0))*(DO$4&lt;&gt;DN$4))*DN35</f>
        <v>-7625.9643350873266</v>
      </c>
      <c r="DP35" s="75">
        <f>(1+INDEX('Inputs &amp; Drivers'!$G$52:$G$62,MATCH(Model!DP$4,'Inputs &amp; Drivers'!$B$52:$B$62,0))*(DP$4&lt;&gt;DO$4))*DO35</f>
        <v>-7625.9643350873266</v>
      </c>
      <c r="DQ35" s="75">
        <f>(1+INDEX('Inputs &amp; Drivers'!$G$52:$G$62,MATCH(Model!DQ$4,'Inputs &amp; Drivers'!$B$52:$B$62,0))*(DQ$4&lt;&gt;DP$4))*DP35</f>
        <v>-7625.9643350873266</v>
      </c>
      <c r="DR35" s="75">
        <f>(1+INDEX('Inputs &amp; Drivers'!$G$52:$G$62,MATCH(Model!DR$4,'Inputs &amp; Drivers'!$B$52:$B$62,0))*(DR$4&lt;&gt;DQ$4))*DQ35</f>
        <v>-7625.9643350873266</v>
      </c>
      <c r="DS35" s="75">
        <f>(1+INDEX('Inputs &amp; Drivers'!$G$52:$G$62,MATCH(Model!DS$4,'Inputs &amp; Drivers'!$B$52:$B$62,0))*(DS$4&lt;&gt;DR$4))*DR35</f>
        <v>-7625.9643350873266</v>
      </c>
      <c r="DT35" s="75">
        <f>(1+INDEX('Inputs &amp; Drivers'!$G$52:$G$62,MATCH(Model!DT$4,'Inputs &amp; Drivers'!$B$52:$B$62,0))*(DT$4&lt;&gt;DS$4))*DS35</f>
        <v>-7625.9643350873266</v>
      </c>
      <c r="DU35" s="75">
        <f>(1+INDEX('Inputs &amp; Drivers'!$G$52:$G$62,MATCH(Model!DU$4,'Inputs &amp; Drivers'!$B$52:$B$62,0))*(DU$4&lt;&gt;DT$4))*DT35</f>
        <v>-7625.9643350873266</v>
      </c>
      <c r="DV35" s="75">
        <f>(1+INDEX('Inputs &amp; Drivers'!$G$52:$G$62,MATCH(Model!DV$4,'Inputs &amp; Drivers'!$B$52:$B$62,0))*(DV$4&lt;&gt;DU$4))*DU35</f>
        <v>-7625.9643350873266</v>
      </c>
      <c r="DW35" s="75">
        <f>(1+INDEX('Inputs &amp; Drivers'!$G$52:$G$62,MATCH(Model!DW$4,'Inputs &amp; Drivers'!$B$52:$B$62,0))*(DW$4&lt;&gt;DV$4))*DV35</f>
        <v>-7625.9643350873266</v>
      </c>
      <c r="DX35" s="75">
        <f>(1+INDEX('Inputs &amp; Drivers'!$G$52:$G$62,MATCH(Model!DX$4,'Inputs &amp; Drivers'!$B$52:$B$62,0))*(DX$4&lt;&gt;DW$4))*DW35</f>
        <v>-7625.9643350873266</v>
      </c>
      <c r="DY35" s="75">
        <f>(1+INDEX('Inputs &amp; Drivers'!$G$52:$G$62,MATCH(Model!DY$4,'Inputs &amp; Drivers'!$B$52:$B$62,0))*(DY$4&lt;&gt;DX$4))*DX35</f>
        <v>-7625.9643350873266</v>
      </c>
      <c r="DZ35" s="75">
        <f>(1+INDEX('Inputs &amp; Drivers'!$G$52:$G$62,MATCH(Model!DZ$4,'Inputs &amp; Drivers'!$B$52:$B$62,0))*(DZ$4&lt;&gt;DY$4))*DY35</f>
        <v>-7854.7432651399467</v>
      </c>
      <c r="EA35" s="75">
        <f>(1+INDEX('Inputs &amp; Drivers'!$G$52:$G$62,MATCH(Model!EA$4,'Inputs &amp; Drivers'!$B$52:$B$62,0))*(EA$4&lt;&gt;DZ$4))*DZ35</f>
        <v>-7854.7432651399467</v>
      </c>
      <c r="EB35" s="75">
        <f>(1+INDEX('Inputs &amp; Drivers'!$G$52:$G$62,MATCH(Model!EB$4,'Inputs &amp; Drivers'!$B$52:$B$62,0))*(EB$4&lt;&gt;EA$4))*EA35</f>
        <v>-7854.7432651399467</v>
      </c>
      <c r="EC35" s="75">
        <f>(1+INDEX('Inputs &amp; Drivers'!$G$52:$G$62,MATCH(Model!EC$4,'Inputs &amp; Drivers'!$B$52:$B$62,0))*(EC$4&lt;&gt;EB$4))*EB35</f>
        <v>-7854.7432651399467</v>
      </c>
      <c r="ED35" s="75">
        <f>(1+INDEX('Inputs &amp; Drivers'!$G$52:$G$62,MATCH(Model!ED$4,'Inputs &amp; Drivers'!$B$52:$B$62,0))*(ED$4&lt;&gt;EC$4))*EC35</f>
        <v>-7854.7432651399467</v>
      </c>
      <c r="EE35" s="75">
        <f>(1+INDEX('Inputs &amp; Drivers'!$G$52:$G$62,MATCH(Model!EE$4,'Inputs &amp; Drivers'!$B$52:$B$62,0))*(EE$4&lt;&gt;ED$4))*ED35</f>
        <v>-7854.7432651399467</v>
      </c>
      <c r="EF35" s="75">
        <f>(1+INDEX('Inputs &amp; Drivers'!$G$52:$G$62,MATCH(Model!EF$4,'Inputs &amp; Drivers'!$B$52:$B$62,0))*(EF$4&lt;&gt;EE$4))*EE35</f>
        <v>-7854.7432651399467</v>
      </c>
      <c r="EG35" s="75">
        <f>(1+INDEX('Inputs &amp; Drivers'!$G$52:$G$62,MATCH(Model!EG$4,'Inputs &amp; Drivers'!$B$52:$B$62,0))*(EG$4&lt;&gt;EF$4))*EF35</f>
        <v>-7854.7432651399467</v>
      </c>
      <c r="EH35" s="75">
        <f>(1+INDEX('Inputs &amp; Drivers'!$G$52:$G$62,MATCH(Model!EH$4,'Inputs &amp; Drivers'!$B$52:$B$62,0))*(EH$4&lt;&gt;EG$4))*EG35</f>
        <v>-7854.7432651399467</v>
      </c>
      <c r="EI35" s="75">
        <f>(1+INDEX('Inputs &amp; Drivers'!$G$52:$G$62,MATCH(Model!EI$4,'Inputs &amp; Drivers'!$B$52:$B$62,0))*(EI$4&lt;&gt;EH$4))*EH35</f>
        <v>-7854.7432651399467</v>
      </c>
      <c r="EJ35" s="75">
        <f>(1+INDEX('Inputs &amp; Drivers'!$G$52:$G$62,MATCH(Model!EJ$4,'Inputs &amp; Drivers'!$B$52:$B$62,0))*(EJ$4&lt;&gt;EI$4))*EI35</f>
        <v>-7854.7432651399467</v>
      </c>
      <c r="EK35" s="75">
        <f>(1+INDEX('Inputs &amp; Drivers'!$G$52:$G$62,MATCH(Model!EK$4,'Inputs &amp; Drivers'!$B$52:$B$62,0))*(EK$4&lt;&gt;EJ$4))*EJ35</f>
        <v>-7854.7432651399467</v>
      </c>
      <c r="EM35" s="109">
        <f t="shared" si="517"/>
        <v>0</v>
      </c>
      <c r="EN35" s="109">
        <f t="shared" si="517"/>
        <v>-70135.999999999985</v>
      </c>
      <c r="EO35" s="109">
        <f t="shared" si="517"/>
        <v>-72240.08</v>
      </c>
      <c r="EP35" s="109">
        <f t="shared" si="517"/>
        <v>-74407.282400000011</v>
      </c>
      <c r="EQ35" s="109">
        <f t="shared" si="517"/>
        <v>-76639.500872000004</v>
      </c>
      <c r="ER35" s="109">
        <f t="shared" si="517"/>
        <v>-78938.68589815998</v>
      </c>
      <c r="ES35" s="109">
        <f t="shared" si="517"/>
        <v>-81306.846475104801</v>
      </c>
      <c r="ET35" s="109">
        <f t="shared" si="517"/>
        <v>-83746.05186935798</v>
      </c>
      <c r="EU35" s="109">
        <f t="shared" si="517"/>
        <v>-86258.433425438663</v>
      </c>
      <c r="EV35" s="109">
        <f t="shared" si="517"/>
        <v>-88846.186428201851</v>
      </c>
      <c r="EW35" s="109">
        <f t="shared" si="517"/>
        <v>-91511.57202104789</v>
      </c>
      <c r="EX35" s="109">
        <f t="shared" si="517"/>
        <v>-94256.919181679332</v>
      </c>
    </row>
    <row r="36" spans="2:154" x14ac:dyDescent="0.3">
      <c r="B36" s="1" t="s">
        <v>87</v>
      </c>
      <c r="E36" s="70">
        <f>SUM('Historical Financials'!M32:O32)*4</f>
        <v>-379892</v>
      </c>
      <c r="F36" s="70">
        <f>SUM('Historical Financials'!D32:O32)</f>
        <v>-404335</v>
      </c>
      <c r="G36" s="7">
        <f t="shared" si="518"/>
        <v>1519.568</v>
      </c>
      <c r="J36" s="41">
        <f>-'Inputs &amp; Drivers'!$J39/12</f>
        <v>-31657.666666666668</v>
      </c>
      <c r="K36" s="75">
        <f>(1+INDEX('Inputs &amp; Drivers'!$G$52:$G$62,MATCH(Model!K$4,'Inputs &amp; Drivers'!$B$52:$B$62,0))*(K$4&lt;&gt;J$4))*J36</f>
        <v>-31657.666666666668</v>
      </c>
      <c r="L36" s="75">
        <f>(1+INDEX('Inputs &amp; Drivers'!$G$52:$G$62,MATCH(Model!L$4,'Inputs &amp; Drivers'!$B$52:$B$62,0))*(L$4&lt;&gt;K$4))*K36</f>
        <v>-31657.666666666668</v>
      </c>
      <c r="M36" s="75">
        <f>(1+INDEX('Inputs &amp; Drivers'!$G$52:$G$62,MATCH(Model!M$4,'Inputs &amp; Drivers'!$B$52:$B$62,0))*(M$4&lt;&gt;L$4))*L36</f>
        <v>-31657.666666666668</v>
      </c>
      <c r="N36" s="75">
        <f>(1+INDEX('Inputs &amp; Drivers'!$G$52:$G$62,MATCH(Model!N$4,'Inputs &amp; Drivers'!$B$52:$B$62,0))*(N$4&lt;&gt;M$4))*M36</f>
        <v>-31657.666666666668</v>
      </c>
      <c r="O36" s="75">
        <f>(1+INDEX('Inputs &amp; Drivers'!$G$52:$G$62,MATCH(Model!O$4,'Inputs &amp; Drivers'!$B$52:$B$62,0))*(O$4&lt;&gt;N$4))*N36</f>
        <v>-31657.666666666668</v>
      </c>
      <c r="P36" s="75">
        <f>(1+INDEX('Inputs &amp; Drivers'!$G$52:$G$62,MATCH(Model!P$4,'Inputs &amp; Drivers'!$B$52:$B$62,0))*(P$4&lt;&gt;O$4))*O36</f>
        <v>-31657.666666666668</v>
      </c>
      <c r="Q36" s="75">
        <f>(1+INDEX('Inputs &amp; Drivers'!$G$52:$G$62,MATCH(Model!Q$4,'Inputs &amp; Drivers'!$B$52:$B$62,0))*(Q$4&lt;&gt;P$4))*P36</f>
        <v>-31657.666666666668</v>
      </c>
      <c r="R36" s="75">
        <f>(1+INDEX('Inputs &amp; Drivers'!$G$52:$G$62,MATCH(Model!R$4,'Inputs &amp; Drivers'!$B$52:$B$62,0))*(R$4&lt;&gt;Q$4))*Q36</f>
        <v>-31657.666666666668</v>
      </c>
      <c r="S36" s="75">
        <f>(1+INDEX('Inputs &amp; Drivers'!$G$52:$G$62,MATCH(Model!S$4,'Inputs &amp; Drivers'!$B$52:$B$62,0))*(S$4&lt;&gt;R$4))*R36</f>
        <v>-31657.666666666668</v>
      </c>
      <c r="T36" s="75">
        <f>(1+INDEX('Inputs &amp; Drivers'!$G$52:$G$62,MATCH(Model!T$4,'Inputs &amp; Drivers'!$B$52:$B$62,0))*(T$4&lt;&gt;S$4))*S36</f>
        <v>-31657.666666666668</v>
      </c>
      <c r="U36" s="75">
        <f>(1+INDEX('Inputs &amp; Drivers'!$G$52:$G$62,MATCH(Model!U$4,'Inputs &amp; Drivers'!$B$52:$B$62,0))*(U$4&lt;&gt;T$4))*T36</f>
        <v>-31657.666666666668</v>
      </c>
      <c r="V36" s="75">
        <f>(1+INDEX('Inputs &amp; Drivers'!$G$52:$G$62,MATCH(Model!V$4,'Inputs &amp; Drivers'!$B$52:$B$62,0))*(V$4&lt;&gt;U$4))*U36</f>
        <v>-32607.396666666667</v>
      </c>
      <c r="W36" s="75">
        <f>(1+INDEX('Inputs &amp; Drivers'!$G$52:$G$62,MATCH(Model!W$4,'Inputs &amp; Drivers'!$B$52:$B$62,0))*(W$4&lt;&gt;V$4))*V36</f>
        <v>-32607.396666666667</v>
      </c>
      <c r="X36" s="75">
        <f>(1+INDEX('Inputs &amp; Drivers'!$G$52:$G$62,MATCH(Model!X$4,'Inputs &amp; Drivers'!$B$52:$B$62,0))*(X$4&lt;&gt;W$4))*W36</f>
        <v>-32607.396666666667</v>
      </c>
      <c r="Y36" s="75">
        <f>(1+INDEX('Inputs &amp; Drivers'!$G$52:$G$62,MATCH(Model!Y$4,'Inputs &amp; Drivers'!$B$52:$B$62,0))*(Y$4&lt;&gt;X$4))*X36</f>
        <v>-32607.396666666667</v>
      </c>
      <c r="Z36" s="75">
        <f>(1+INDEX('Inputs &amp; Drivers'!$G$52:$G$62,MATCH(Model!Z$4,'Inputs &amp; Drivers'!$B$52:$B$62,0))*(Z$4&lt;&gt;Y$4))*Y36</f>
        <v>-32607.396666666667</v>
      </c>
      <c r="AA36" s="75">
        <f>(1+INDEX('Inputs &amp; Drivers'!$G$52:$G$62,MATCH(Model!AA$4,'Inputs &amp; Drivers'!$B$52:$B$62,0))*(AA$4&lt;&gt;Z$4))*Z36</f>
        <v>-32607.396666666667</v>
      </c>
      <c r="AB36" s="75">
        <f>(1+INDEX('Inputs &amp; Drivers'!$G$52:$G$62,MATCH(Model!AB$4,'Inputs &amp; Drivers'!$B$52:$B$62,0))*(AB$4&lt;&gt;AA$4))*AA36</f>
        <v>-32607.396666666667</v>
      </c>
      <c r="AC36" s="75">
        <f>(1+INDEX('Inputs &amp; Drivers'!$G$52:$G$62,MATCH(Model!AC$4,'Inputs &amp; Drivers'!$B$52:$B$62,0))*(AC$4&lt;&gt;AB$4))*AB36</f>
        <v>-32607.396666666667</v>
      </c>
      <c r="AD36" s="75">
        <f>(1+INDEX('Inputs &amp; Drivers'!$G$52:$G$62,MATCH(Model!AD$4,'Inputs &amp; Drivers'!$B$52:$B$62,0))*(AD$4&lt;&gt;AC$4))*AC36</f>
        <v>-32607.396666666667</v>
      </c>
      <c r="AE36" s="75">
        <f>(1+INDEX('Inputs &amp; Drivers'!$G$52:$G$62,MATCH(Model!AE$4,'Inputs &amp; Drivers'!$B$52:$B$62,0))*(AE$4&lt;&gt;AD$4))*AD36</f>
        <v>-32607.396666666667</v>
      </c>
      <c r="AF36" s="75">
        <f>(1+INDEX('Inputs &amp; Drivers'!$G$52:$G$62,MATCH(Model!AF$4,'Inputs &amp; Drivers'!$B$52:$B$62,0))*(AF$4&lt;&gt;AE$4))*AE36</f>
        <v>-32607.396666666667</v>
      </c>
      <c r="AG36" s="75">
        <f>(1+INDEX('Inputs &amp; Drivers'!$G$52:$G$62,MATCH(Model!AG$4,'Inputs &amp; Drivers'!$B$52:$B$62,0))*(AG$4&lt;&gt;AF$4))*AF36</f>
        <v>-32607.396666666667</v>
      </c>
      <c r="AH36" s="75">
        <f>(1+INDEX('Inputs &amp; Drivers'!$G$52:$G$62,MATCH(Model!AH$4,'Inputs &amp; Drivers'!$B$52:$B$62,0))*(AH$4&lt;&gt;AG$4))*AG36</f>
        <v>-33585.618566666672</v>
      </c>
      <c r="AI36" s="75">
        <f>(1+INDEX('Inputs &amp; Drivers'!$G$52:$G$62,MATCH(Model!AI$4,'Inputs &amp; Drivers'!$B$52:$B$62,0))*(AI$4&lt;&gt;AH$4))*AH36</f>
        <v>-33585.618566666672</v>
      </c>
      <c r="AJ36" s="75">
        <f>(1+INDEX('Inputs &amp; Drivers'!$G$52:$G$62,MATCH(Model!AJ$4,'Inputs &amp; Drivers'!$B$52:$B$62,0))*(AJ$4&lt;&gt;AI$4))*AI36</f>
        <v>-33585.618566666672</v>
      </c>
      <c r="AK36" s="75">
        <f>(1+INDEX('Inputs &amp; Drivers'!$G$52:$G$62,MATCH(Model!AK$4,'Inputs &amp; Drivers'!$B$52:$B$62,0))*(AK$4&lt;&gt;AJ$4))*AJ36</f>
        <v>-33585.618566666672</v>
      </c>
      <c r="AL36" s="75">
        <f>(1+INDEX('Inputs &amp; Drivers'!$G$52:$G$62,MATCH(Model!AL$4,'Inputs &amp; Drivers'!$B$52:$B$62,0))*(AL$4&lt;&gt;AK$4))*AK36</f>
        <v>-33585.618566666672</v>
      </c>
      <c r="AM36" s="75">
        <f>(1+INDEX('Inputs &amp; Drivers'!$G$52:$G$62,MATCH(Model!AM$4,'Inputs &amp; Drivers'!$B$52:$B$62,0))*(AM$4&lt;&gt;AL$4))*AL36</f>
        <v>-33585.618566666672</v>
      </c>
      <c r="AN36" s="75">
        <f>(1+INDEX('Inputs &amp; Drivers'!$G$52:$G$62,MATCH(Model!AN$4,'Inputs &amp; Drivers'!$B$52:$B$62,0))*(AN$4&lt;&gt;AM$4))*AM36</f>
        <v>-33585.618566666672</v>
      </c>
      <c r="AO36" s="75">
        <f>(1+INDEX('Inputs &amp; Drivers'!$G$52:$G$62,MATCH(Model!AO$4,'Inputs &amp; Drivers'!$B$52:$B$62,0))*(AO$4&lt;&gt;AN$4))*AN36</f>
        <v>-33585.618566666672</v>
      </c>
      <c r="AP36" s="75">
        <f>(1+INDEX('Inputs &amp; Drivers'!$G$52:$G$62,MATCH(Model!AP$4,'Inputs &amp; Drivers'!$B$52:$B$62,0))*(AP$4&lt;&gt;AO$4))*AO36</f>
        <v>-33585.618566666672</v>
      </c>
      <c r="AQ36" s="75">
        <f>(1+INDEX('Inputs &amp; Drivers'!$G$52:$G$62,MATCH(Model!AQ$4,'Inputs &amp; Drivers'!$B$52:$B$62,0))*(AQ$4&lt;&gt;AP$4))*AP36</f>
        <v>-33585.618566666672</v>
      </c>
      <c r="AR36" s="75">
        <f>(1+INDEX('Inputs &amp; Drivers'!$G$52:$G$62,MATCH(Model!AR$4,'Inputs &amp; Drivers'!$B$52:$B$62,0))*(AR$4&lt;&gt;AQ$4))*AQ36</f>
        <v>-33585.618566666672</v>
      </c>
      <c r="AS36" s="75">
        <f>(1+INDEX('Inputs &amp; Drivers'!$G$52:$G$62,MATCH(Model!AS$4,'Inputs &amp; Drivers'!$B$52:$B$62,0))*(AS$4&lt;&gt;AR$4))*AR36</f>
        <v>-33585.618566666672</v>
      </c>
      <c r="AT36" s="75">
        <f>(1+INDEX('Inputs &amp; Drivers'!$G$52:$G$62,MATCH(Model!AT$4,'Inputs &amp; Drivers'!$B$52:$B$62,0))*(AT$4&lt;&gt;AS$4))*AS36</f>
        <v>-34593.18712366667</v>
      </c>
      <c r="AU36" s="75">
        <f>(1+INDEX('Inputs &amp; Drivers'!$G$52:$G$62,MATCH(Model!AU$4,'Inputs &amp; Drivers'!$B$52:$B$62,0))*(AU$4&lt;&gt;AT$4))*AT36</f>
        <v>-34593.18712366667</v>
      </c>
      <c r="AV36" s="75">
        <f>(1+INDEX('Inputs &amp; Drivers'!$G$52:$G$62,MATCH(Model!AV$4,'Inputs &amp; Drivers'!$B$52:$B$62,0))*(AV$4&lt;&gt;AU$4))*AU36</f>
        <v>-34593.18712366667</v>
      </c>
      <c r="AW36" s="75">
        <f>(1+INDEX('Inputs &amp; Drivers'!$G$52:$G$62,MATCH(Model!AW$4,'Inputs &amp; Drivers'!$B$52:$B$62,0))*(AW$4&lt;&gt;AV$4))*AV36</f>
        <v>-34593.18712366667</v>
      </c>
      <c r="AX36" s="75">
        <f>(1+INDEX('Inputs &amp; Drivers'!$G$52:$G$62,MATCH(Model!AX$4,'Inputs &amp; Drivers'!$B$52:$B$62,0))*(AX$4&lt;&gt;AW$4))*AW36</f>
        <v>-34593.18712366667</v>
      </c>
      <c r="AY36" s="75">
        <f>(1+INDEX('Inputs &amp; Drivers'!$G$52:$G$62,MATCH(Model!AY$4,'Inputs &amp; Drivers'!$B$52:$B$62,0))*(AY$4&lt;&gt;AX$4))*AX36</f>
        <v>-34593.18712366667</v>
      </c>
      <c r="AZ36" s="75">
        <f>(1+INDEX('Inputs &amp; Drivers'!$G$52:$G$62,MATCH(Model!AZ$4,'Inputs &amp; Drivers'!$B$52:$B$62,0))*(AZ$4&lt;&gt;AY$4))*AY36</f>
        <v>-34593.18712366667</v>
      </c>
      <c r="BA36" s="75">
        <f>(1+INDEX('Inputs &amp; Drivers'!$G$52:$G$62,MATCH(Model!BA$4,'Inputs &amp; Drivers'!$B$52:$B$62,0))*(BA$4&lt;&gt;AZ$4))*AZ36</f>
        <v>-34593.18712366667</v>
      </c>
      <c r="BB36" s="75">
        <f>(1+INDEX('Inputs &amp; Drivers'!$G$52:$G$62,MATCH(Model!BB$4,'Inputs &amp; Drivers'!$B$52:$B$62,0))*(BB$4&lt;&gt;BA$4))*BA36</f>
        <v>-34593.18712366667</v>
      </c>
      <c r="BC36" s="75">
        <f>(1+INDEX('Inputs &amp; Drivers'!$G$52:$G$62,MATCH(Model!BC$4,'Inputs &amp; Drivers'!$B$52:$B$62,0))*(BC$4&lt;&gt;BB$4))*BB36</f>
        <v>-34593.18712366667</v>
      </c>
      <c r="BD36" s="75">
        <f>(1+INDEX('Inputs &amp; Drivers'!$G$52:$G$62,MATCH(Model!BD$4,'Inputs &amp; Drivers'!$B$52:$B$62,0))*(BD$4&lt;&gt;BC$4))*BC36</f>
        <v>-34593.18712366667</v>
      </c>
      <c r="BE36" s="75">
        <f>(1+INDEX('Inputs &amp; Drivers'!$G$52:$G$62,MATCH(Model!BE$4,'Inputs &amp; Drivers'!$B$52:$B$62,0))*(BE$4&lt;&gt;BD$4))*BD36</f>
        <v>-34593.18712366667</v>
      </c>
      <c r="BF36" s="75">
        <f>(1+INDEX('Inputs &amp; Drivers'!$G$52:$G$62,MATCH(Model!BF$4,'Inputs &amp; Drivers'!$B$52:$B$62,0))*(BF$4&lt;&gt;BE$4))*BE36</f>
        <v>-35630.982737376675</v>
      </c>
      <c r="BG36" s="75">
        <f>(1+INDEX('Inputs &amp; Drivers'!$G$52:$G$62,MATCH(Model!BG$4,'Inputs &amp; Drivers'!$B$52:$B$62,0))*(BG$4&lt;&gt;BF$4))*BF36</f>
        <v>-35630.982737376675</v>
      </c>
      <c r="BH36" s="75">
        <f>(1+INDEX('Inputs &amp; Drivers'!$G$52:$G$62,MATCH(Model!BH$4,'Inputs &amp; Drivers'!$B$52:$B$62,0))*(BH$4&lt;&gt;BG$4))*BG36</f>
        <v>-35630.982737376675</v>
      </c>
      <c r="BI36" s="75">
        <f>(1+INDEX('Inputs &amp; Drivers'!$G$52:$G$62,MATCH(Model!BI$4,'Inputs &amp; Drivers'!$B$52:$B$62,0))*(BI$4&lt;&gt;BH$4))*BH36</f>
        <v>-35630.982737376675</v>
      </c>
      <c r="BJ36" s="75">
        <f>(1+INDEX('Inputs &amp; Drivers'!$G$52:$G$62,MATCH(Model!BJ$4,'Inputs &amp; Drivers'!$B$52:$B$62,0))*(BJ$4&lt;&gt;BI$4))*BI36</f>
        <v>-35630.982737376675</v>
      </c>
      <c r="BK36" s="75">
        <f>(1+INDEX('Inputs &amp; Drivers'!$G$52:$G$62,MATCH(Model!BK$4,'Inputs &amp; Drivers'!$B$52:$B$62,0))*(BK$4&lt;&gt;BJ$4))*BJ36</f>
        <v>-35630.982737376675</v>
      </c>
      <c r="BL36" s="75">
        <f>(1+INDEX('Inputs &amp; Drivers'!$G$52:$G$62,MATCH(Model!BL$4,'Inputs &amp; Drivers'!$B$52:$B$62,0))*(BL$4&lt;&gt;BK$4))*BK36</f>
        <v>-35630.982737376675</v>
      </c>
      <c r="BM36" s="75">
        <f>(1+INDEX('Inputs &amp; Drivers'!$G$52:$G$62,MATCH(Model!BM$4,'Inputs &amp; Drivers'!$B$52:$B$62,0))*(BM$4&lt;&gt;BL$4))*BL36</f>
        <v>-35630.982737376675</v>
      </c>
      <c r="BN36" s="75">
        <f>(1+INDEX('Inputs &amp; Drivers'!$G$52:$G$62,MATCH(Model!BN$4,'Inputs &amp; Drivers'!$B$52:$B$62,0))*(BN$4&lt;&gt;BM$4))*BM36</f>
        <v>-35630.982737376675</v>
      </c>
      <c r="BO36" s="75">
        <f>(1+INDEX('Inputs &amp; Drivers'!$G$52:$G$62,MATCH(Model!BO$4,'Inputs &amp; Drivers'!$B$52:$B$62,0))*(BO$4&lt;&gt;BN$4))*BN36</f>
        <v>-35630.982737376675</v>
      </c>
      <c r="BP36" s="75">
        <f>(1+INDEX('Inputs &amp; Drivers'!$G$52:$G$62,MATCH(Model!BP$4,'Inputs &amp; Drivers'!$B$52:$B$62,0))*(BP$4&lt;&gt;BO$4))*BO36</f>
        <v>-35630.982737376675</v>
      </c>
      <c r="BQ36" s="75">
        <f>(1+INDEX('Inputs &amp; Drivers'!$G$52:$G$62,MATCH(Model!BQ$4,'Inputs &amp; Drivers'!$B$52:$B$62,0))*(BQ$4&lt;&gt;BP$4))*BP36</f>
        <v>-35630.982737376675</v>
      </c>
      <c r="BR36" s="75">
        <f>(1+INDEX('Inputs &amp; Drivers'!$G$52:$G$62,MATCH(Model!BR$4,'Inputs &amp; Drivers'!$B$52:$B$62,0))*(BR$4&lt;&gt;BQ$4))*BQ36</f>
        <v>-36699.912219497979</v>
      </c>
      <c r="BS36" s="75">
        <f>(1+INDEX('Inputs &amp; Drivers'!$G$52:$G$62,MATCH(Model!BS$4,'Inputs &amp; Drivers'!$B$52:$B$62,0))*(BS$4&lt;&gt;BR$4))*BR36</f>
        <v>-36699.912219497979</v>
      </c>
      <c r="BT36" s="75">
        <f>(1+INDEX('Inputs &amp; Drivers'!$G$52:$G$62,MATCH(Model!BT$4,'Inputs &amp; Drivers'!$B$52:$B$62,0))*(BT$4&lt;&gt;BS$4))*BS36</f>
        <v>-36699.912219497979</v>
      </c>
      <c r="BU36" s="75">
        <f>(1+INDEX('Inputs &amp; Drivers'!$G$52:$G$62,MATCH(Model!BU$4,'Inputs &amp; Drivers'!$B$52:$B$62,0))*(BU$4&lt;&gt;BT$4))*BT36</f>
        <v>-36699.912219497979</v>
      </c>
      <c r="BV36" s="75">
        <f>(1+INDEX('Inputs &amp; Drivers'!$G$52:$G$62,MATCH(Model!BV$4,'Inputs &amp; Drivers'!$B$52:$B$62,0))*(BV$4&lt;&gt;BU$4))*BU36</f>
        <v>-36699.912219497979</v>
      </c>
      <c r="BW36" s="75">
        <f>(1+INDEX('Inputs &amp; Drivers'!$G$52:$G$62,MATCH(Model!BW$4,'Inputs &amp; Drivers'!$B$52:$B$62,0))*(BW$4&lt;&gt;BV$4))*BV36</f>
        <v>-36699.912219497979</v>
      </c>
      <c r="BX36" s="75">
        <f>(1+INDEX('Inputs &amp; Drivers'!$G$52:$G$62,MATCH(Model!BX$4,'Inputs &amp; Drivers'!$B$52:$B$62,0))*(BX$4&lt;&gt;BW$4))*BW36</f>
        <v>-36699.912219497979</v>
      </c>
      <c r="BY36" s="75">
        <f>(1+INDEX('Inputs &amp; Drivers'!$G$52:$G$62,MATCH(Model!BY$4,'Inputs &amp; Drivers'!$B$52:$B$62,0))*(BY$4&lt;&gt;BX$4))*BX36</f>
        <v>-36699.912219497979</v>
      </c>
      <c r="BZ36" s="75">
        <f>(1+INDEX('Inputs &amp; Drivers'!$G$52:$G$62,MATCH(Model!BZ$4,'Inputs &amp; Drivers'!$B$52:$B$62,0))*(BZ$4&lt;&gt;BY$4))*BY36</f>
        <v>-36699.912219497979</v>
      </c>
      <c r="CA36" s="75">
        <f>(1+INDEX('Inputs &amp; Drivers'!$G$52:$G$62,MATCH(Model!CA$4,'Inputs &amp; Drivers'!$B$52:$B$62,0))*(CA$4&lt;&gt;BZ$4))*BZ36</f>
        <v>-36699.912219497979</v>
      </c>
      <c r="CB36" s="75">
        <f>(1+INDEX('Inputs &amp; Drivers'!$G$52:$G$62,MATCH(Model!CB$4,'Inputs &amp; Drivers'!$B$52:$B$62,0))*(CB$4&lt;&gt;CA$4))*CA36</f>
        <v>-36699.912219497979</v>
      </c>
      <c r="CC36" s="75">
        <f>(1+INDEX('Inputs &amp; Drivers'!$G$52:$G$62,MATCH(Model!CC$4,'Inputs &amp; Drivers'!$B$52:$B$62,0))*(CC$4&lt;&gt;CB$4))*CB36</f>
        <v>-36699.912219497979</v>
      </c>
      <c r="CD36" s="75">
        <f>(1+INDEX('Inputs &amp; Drivers'!$G$52:$G$62,MATCH(Model!CD$4,'Inputs &amp; Drivers'!$B$52:$B$62,0))*(CD$4&lt;&gt;CC$4))*CC36</f>
        <v>-37800.909586082918</v>
      </c>
      <c r="CE36" s="75">
        <f>(1+INDEX('Inputs &amp; Drivers'!$G$52:$G$62,MATCH(Model!CE$4,'Inputs &amp; Drivers'!$B$52:$B$62,0))*(CE$4&lt;&gt;CD$4))*CD36</f>
        <v>-37800.909586082918</v>
      </c>
      <c r="CF36" s="75">
        <f>(1+INDEX('Inputs &amp; Drivers'!$G$52:$G$62,MATCH(Model!CF$4,'Inputs &amp; Drivers'!$B$52:$B$62,0))*(CF$4&lt;&gt;CE$4))*CE36</f>
        <v>-37800.909586082918</v>
      </c>
      <c r="CG36" s="75">
        <f>(1+INDEX('Inputs &amp; Drivers'!$G$52:$G$62,MATCH(Model!CG$4,'Inputs &amp; Drivers'!$B$52:$B$62,0))*(CG$4&lt;&gt;CF$4))*CF36</f>
        <v>-37800.909586082918</v>
      </c>
      <c r="CH36" s="75">
        <f>(1+INDEX('Inputs &amp; Drivers'!$G$52:$G$62,MATCH(Model!CH$4,'Inputs &amp; Drivers'!$B$52:$B$62,0))*(CH$4&lt;&gt;CG$4))*CG36</f>
        <v>-37800.909586082918</v>
      </c>
      <c r="CI36" s="75">
        <f>(1+INDEX('Inputs &amp; Drivers'!$G$52:$G$62,MATCH(Model!CI$4,'Inputs &amp; Drivers'!$B$52:$B$62,0))*(CI$4&lt;&gt;CH$4))*CH36</f>
        <v>-37800.909586082918</v>
      </c>
      <c r="CJ36" s="75">
        <f>(1+INDEX('Inputs &amp; Drivers'!$G$52:$G$62,MATCH(Model!CJ$4,'Inputs &amp; Drivers'!$B$52:$B$62,0))*(CJ$4&lt;&gt;CI$4))*CI36</f>
        <v>-37800.909586082918</v>
      </c>
      <c r="CK36" s="75">
        <f>(1+INDEX('Inputs &amp; Drivers'!$G$52:$G$62,MATCH(Model!CK$4,'Inputs &amp; Drivers'!$B$52:$B$62,0))*(CK$4&lt;&gt;CJ$4))*CJ36</f>
        <v>-37800.909586082918</v>
      </c>
      <c r="CL36" s="75">
        <f>(1+INDEX('Inputs &amp; Drivers'!$G$52:$G$62,MATCH(Model!CL$4,'Inputs &amp; Drivers'!$B$52:$B$62,0))*(CL$4&lt;&gt;CK$4))*CK36</f>
        <v>-37800.909586082918</v>
      </c>
      <c r="CM36" s="75">
        <f>(1+INDEX('Inputs &amp; Drivers'!$G$52:$G$62,MATCH(Model!CM$4,'Inputs &amp; Drivers'!$B$52:$B$62,0))*(CM$4&lt;&gt;CL$4))*CL36</f>
        <v>-37800.909586082918</v>
      </c>
      <c r="CN36" s="75">
        <f>(1+INDEX('Inputs &amp; Drivers'!$G$52:$G$62,MATCH(Model!CN$4,'Inputs &amp; Drivers'!$B$52:$B$62,0))*(CN$4&lt;&gt;CM$4))*CM36</f>
        <v>-37800.909586082918</v>
      </c>
      <c r="CO36" s="75">
        <f>(1+INDEX('Inputs &amp; Drivers'!$G$52:$G$62,MATCH(Model!CO$4,'Inputs &amp; Drivers'!$B$52:$B$62,0))*(CO$4&lt;&gt;CN$4))*CN36</f>
        <v>-37800.909586082918</v>
      </c>
      <c r="CP36" s="75">
        <f>(1+INDEX('Inputs &amp; Drivers'!$G$52:$G$62,MATCH(Model!CP$4,'Inputs &amp; Drivers'!$B$52:$B$62,0))*(CP$4&lt;&gt;CO$4))*CO36</f>
        <v>-38934.936873665407</v>
      </c>
      <c r="CQ36" s="75">
        <f>(1+INDEX('Inputs &amp; Drivers'!$G$52:$G$62,MATCH(Model!CQ$4,'Inputs &amp; Drivers'!$B$52:$B$62,0))*(CQ$4&lt;&gt;CP$4))*CP36</f>
        <v>-38934.936873665407</v>
      </c>
      <c r="CR36" s="75">
        <f>(1+INDEX('Inputs &amp; Drivers'!$G$52:$G$62,MATCH(Model!CR$4,'Inputs &amp; Drivers'!$B$52:$B$62,0))*(CR$4&lt;&gt;CQ$4))*CQ36</f>
        <v>-38934.936873665407</v>
      </c>
      <c r="CS36" s="75">
        <f>(1+INDEX('Inputs &amp; Drivers'!$G$52:$G$62,MATCH(Model!CS$4,'Inputs &amp; Drivers'!$B$52:$B$62,0))*(CS$4&lt;&gt;CR$4))*CR36</f>
        <v>-38934.936873665407</v>
      </c>
      <c r="CT36" s="75">
        <f>(1+INDEX('Inputs &amp; Drivers'!$G$52:$G$62,MATCH(Model!CT$4,'Inputs &amp; Drivers'!$B$52:$B$62,0))*(CT$4&lt;&gt;CS$4))*CS36</f>
        <v>-38934.936873665407</v>
      </c>
      <c r="CU36" s="75">
        <f>(1+INDEX('Inputs &amp; Drivers'!$G$52:$G$62,MATCH(Model!CU$4,'Inputs &amp; Drivers'!$B$52:$B$62,0))*(CU$4&lt;&gt;CT$4))*CT36</f>
        <v>-38934.936873665407</v>
      </c>
      <c r="CV36" s="75">
        <f>(1+INDEX('Inputs &amp; Drivers'!$G$52:$G$62,MATCH(Model!CV$4,'Inputs &amp; Drivers'!$B$52:$B$62,0))*(CV$4&lt;&gt;CU$4))*CU36</f>
        <v>-38934.936873665407</v>
      </c>
      <c r="CW36" s="75">
        <f>(1+INDEX('Inputs &amp; Drivers'!$G$52:$G$62,MATCH(Model!CW$4,'Inputs &amp; Drivers'!$B$52:$B$62,0))*(CW$4&lt;&gt;CV$4))*CV36</f>
        <v>-38934.936873665407</v>
      </c>
      <c r="CX36" s="75">
        <f>(1+INDEX('Inputs &amp; Drivers'!$G$52:$G$62,MATCH(Model!CX$4,'Inputs &amp; Drivers'!$B$52:$B$62,0))*(CX$4&lt;&gt;CW$4))*CW36</f>
        <v>-38934.936873665407</v>
      </c>
      <c r="CY36" s="75">
        <f>(1+INDEX('Inputs &amp; Drivers'!$G$52:$G$62,MATCH(Model!CY$4,'Inputs &amp; Drivers'!$B$52:$B$62,0))*(CY$4&lt;&gt;CX$4))*CX36</f>
        <v>-38934.936873665407</v>
      </c>
      <c r="CZ36" s="75">
        <f>(1+INDEX('Inputs &amp; Drivers'!$G$52:$G$62,MATCH(Model!CZ$4,'Inputs &amp; Drivers'!$B$52:$B$62,0))*(CZ$4&lt;&gt;CY$4))*CY36</f>
        <v>-38934.936873665407</v>
      </c>
      <c r="DA36" s="75">
        <f>(1+INDEX('Inputs &amp; Drivers'!$G$52:$G$62,MATCH(Model!DA$4,'Inputs &amp; Drivers'!$B$52:$B$62,0))*(DA$4&lt;&gt;CZ$4))*CZ36</f>
        <v>-38934.936873665407</v>
      </c>
      <c r="DB36" s="75">
        <f>(1+INDEX('Inputs &amp; Drivers'!$G$52:$G$62,MATCH(Model!DB$4,'Inputs &amp; Drivers'!$B$52:$B$62,0))*(DB$4&lt;&gt;DA$4))*DA36</f>
        <v>-40102.984979875371</v>
      </c>
      <c r="DC36" s="75">
        <f>(1+INDEX('Inputs &amp; Drivers'!$G$52:$G$62,MATCH(Model!DC$4,'Inputs &amp; Drivers'!$B$52:$B$62,0))*(DC$4&lt;&gt;DB$4))*DB36</f>
        <v>-40102.984979875371</v>
      </c>
      <c r="DD36" s="75">
        <f>(1+INDEX('Inputs &amp; Drivers'!$G$52:$G$62,MATCH(Model!DD$4,'Inputs &amp; Drivers'!$B$52:$B$62,0))*(DD$4&lt;&gt;DC$4))*DC36</f>
        <v>-40102.984979875371</v>
      </c>
      <c r="DE36" s="75">
        <f>(1+INDEX('Inputs &amp; Drivers'!$G$52:$G$62,MATCH(Model!DE$4,'Inputs &amp; Drivers'!$B$52:$B$62,0))*(DE$4&lt;&gt;DD$4))*DD36</f>
        <v>-40102.984979875371</v>
      </c>
      <c r="DF36" s="75">
        <f>(1+INDEX('Inputs &amp; Drivers'!$G$52:$G$62,MATCH(Model!DF$4,'Inputs &amp; Drivers'!$B$52:$B$62,0))*(DF$4&lt;&gt;DE$4))*DE36</f>
        <v>-40102.984979875371</v>
      </c>
      <c r="DG36" s="75">
        <f>(1+INDEX('Inputs &amp; Drivers'!$G$52:$G$62,MATCH(Model!DG$4,'Inputs &amp; Drivers'!$B$52:$B$62,0))*(DG$4&lt;&gt;DF$4))*DF36</f>
        <v>-40102.984979875371</v>
      </c>
      <c r="DH36" s="75">
        <f>(1+INDEX('Inputs &amp; Drivers'!$G$52:$G$62,MATCH(Model!DH$4,'Inputs &amp; Drivers'!$B$52:$B$62,0))*(DH$4&lt;&gt;DG$4))*DG36</f>
        <v>-40102.984979875371</v>
      </c>
      <c r="DI36" s="75">
        <f>(1+INDEX('Inputs &amp; Drivers'!$G$52:$G$62,MATCH(Model!DI$4,'Inputs &amp; Drivers'!$B$52:$B$62,0))*(DI$4&lt;&gt;DH$4))*DH36</f>
        <v>-40102.984979875371</v>
      </c>
      <c r="DJ36" s="75">
        <f>(1+INDEX('Inputs &amp; Drivers'!$G$52:$G$62,MATCH(Model!DJ$4,'Inputs &amp; Drivers'!$B$52:$B$62,0))*(DJ$4&lt;&gt;DI$4))*DI36</f>
        <v>-40102.984979875371</v>
      </c>
      <c r="DK36" s="75">
        <f>(1+INDEX('Inputs &amp; Drivers'!$G$52:$G$62,MATCH(Model!DK$4,'Inputs &amp; Drivers'!$B$52:$B$62,0))*(DK$4&lt;&gt;DJ$4))*DJ36</f>
        <v>-40102.984979875371</v>
      </c>
      <c r="DL36" s="75">
        <f>(1+INDEX('Inputs &amp; Drivers'!$G$52:$G$62,MATCH(Model!DL$4,'Inputs &amp; Drivers'!$B$52:$B$62,0))*(DL$4&lt;&gt;DK$4))*DK36</f>
        <v>-40102.984979875371</v>
      </c>
      <c r="DM36" s="75">
        <f>(1+INDEX('Inputs &amp; Drivers'!$G$52:$G$62,MATCH(Model!DM$4,'Inputs &amp; Drivers'!$B$52:$B$62,0))*(DM$4&lt;&gt;DL$4))*DL36</f>
        <v>-40102.984979875371</v>
      </c>
      <c r="DN36" s="75">
        <f>(1+INDEX('Inputs &amp; Drivers'!$G$52:$G$62,MATCH(Model!DN$4,'Inputs &amp; Drivers'!$B$52:$B$62,0))*(DN$4&lt;&gt;DM$4))*DM36</f>
        <v>-41306.074529271631</v>
      </c>
      <c r="DO36" s="75">
        <f>(1+INDEX('Inputs &amp; Drivers'!$G$52:$G$62,MATCH(Model!DO$4,'Inputs &amp; Drivers'!$B$52:$B$62,0))*(DO$4&lt;&gt;DN$4))*DN36</f>
        <v>-41306.074529271631</v>
      </c>
      <c r="DP36" s="75">
        <f>(1+INDEX('Inputs &amp; Drivers'!$G$52:$G$62,MATCH(Model!DP$4,'Inputs &amp; Drivers'!$B$52:$B$62,0))*(DP$4&lt;&gt;DO$4))*DO36</f>
        <v>-41306.074529271631</v>
      </c>
      <c r="DQ36" s="75">
        <f>(1+INDEX('Inputs &amp; Drivers'!$G$52:$G$62,MATCH(Model!DQ$4,'Inputs &amp; Drivers'!$B$52:$B$62,0))*(DQ$4&lt;&gt;DP$4))*DP36</f>
        <v>-41306.074529271631</v>
      </c>
      <c r="DR36" s="75">
        <f>(1+INDEX('Inputs &amp; Drivers'!$G$52:$G$62,MATCH(Model!DR$4,'Inputs &amp; Drivers'!$B$52:$B$62,0))*(DR$4&lt;&gt;DQ$4))*DQ36</f>
        <v>-41306.074529271631</v>
      </c>
      <c r="DS36" s="75">
        <f>(1+INDEX('Inputs &amp; Drivers'!$G$52:$G$62,MATCH(Model!DS$4,'Inputs &amp; Drivers'!$B$52:$B$62,0))*(DS$4&lt;&gt;DR$4))*DR36</f>
        <v>-41306.074529271631</v>
      </c>
      <c r="DT36" s="75">
        <f>(1+INDEX('Inputs &amp; Drivers'!$G$52:$G$62,MATCH(Model!DT$4,'Inputs &amp; Drivers'!$B$52:$B$62,0))*(DT$4&lt;&gt;DS$4))*DS36</f>
        <v>-41306.074529271631</v>
      </c>
      <c r="DU36" s="75">
        <f>(1+INDEX('Inputs &amp; Drivers'!$G$52:$G$62,MATCH(Model!DU$4,'Inputs &amp; Drivers'!$B$52:$B$62,0))*(DU$4&lt;&gt;DT$4))*DT36</f>
        <v>-41306.074529271631</v>
      </c>
      <c r="DV36" s="75">
        <f>(1+INDEX('Inputs &amp; Drivers'!$G$52:$G$62,MATCH(Model!DV$4,'Inputs &amp; Drivers'!$B$52:$B$62,0))*(DV$4&lt;&gt;DU$4))*DU36</f>
        <v>-41306.074529271631</v>
      </c>
      <c r="DW36" s="75">
        <f>(1+INDEX('Inputs &amp; Drivers'!$G$52:$G$62,MATCH(Model!DW$4,'Inputs &amp; Drivers'!$B$52:$B$62,0))*(DW$4&lt;&gt;DV$4))*DV36</f>
        <v>-41306.074529271631</v>
      </c>
      <c r="DX36" s="75">
        <f>(1+INDEX('Inputs &amp; Drivers'!$G$52:$G$62,MATCH(Model!DX$4,'Inputs &amp; Drivers'!$B$52:$B$62,0))*(DX$4&lt;&gt;DW$4))*DW36</f>
        <v>-41306.074529271631</v>
      </c>
      <c r="DY36" s="75">
        <f>(1+INDEX('Inputs &amp; Drivers'!$G$52:$G$62,MATCH(Model!DY$4,'Inputs &amp; Drivers'!$B$52:$B$62,0))*(DY$4&lt;&gt;DX$4))*DX36</f>
        <v>-41306.074529271631</v>
      </c>
      <c r="DZ36" s="75">
        <f>(1+INDEX('Inputs &amp; Drivers'!$G$52:$G$62,MATCH(Model!DZ$4,'Inputs &amp; Drivers'!$B$52:$B$62,0))*(DZ$4&lt;&gt;DY$4))*DY36</f>
        <v>-42545.256765149781</v>
      </c>
      <c r="EA36" s="75">
        <f>(1+INDEX('Inputs &amp; Drivers'!$G$52:$G$62,MATCH(Model!EA$4,'Inputs &amp; Drivers'!$B$52:$B$62,0))*(EA$4&lt;&gt;DZ$4))*DZ36</f>
        <v>-42545.256765149781</v>
      </c>
      <c r="EB36" s="75">
        <f>(1+INDEX('Inputs &amp; Drivers'!$G$52:$G$62,MATCH(Model!EB$4,'Inputs &amp; Drivers'!$B$52:$B$62,0))*(EB$4&lt;&gt;EA$4))*EA36</f>
        <v>-42545.256765149781</v>
      </c>
      <c r="EC36" s="75">
        <f>(1+INDEX('Inputs &amp; Drivers'!$G$52:$G$62,MATCH(Model!EC$4,'Inputs &amp; Drivers'!$B$52:$B$62,0))*(EC$4&lt;&gt;EB$4))*EB36</f>
        <v>-42545.256765149781</v>
      </c>
      <c r="ED36" s="75">
        <f>(1+INDEX('Inputs &amp; Drivers'!$G$52:$G$62,MATCH(Model!ED$4,'Inputs &amp; Drivers'!$B$52:$B$62,0))*(ED$4&lt;&gt;EC$4))*EC36</f>
        <v>-42545.256765149781</v>
      </c>
      <c r="EE36" s="75">
        <f>(1+INDEX('Inputs &amp; Drivers'!$G$52:$G$62,MATCH(Model!EE$4,'Inputs &amp; Drivers'!$B$52:$B$62,0))*(EE$4&lt;&gt;ED$4))*ED36</f>
        <v>-42545.256765149781</v>
      </c>
      <c r="EF36" s="75">
        <f>(1+INDEX('Inputs &amp; Drivers'!$G$52:$G$62,MATCH(Model!EF$4,'Inputs &amp; Drivers'!$B$52:$B$62,0))*(EF$4&lt;&gt;EE$4))*EE36</f>
        <v>-42545.256765149781</v>
      </c>
      <c r="EG36" s="75">
        <f>(1+INDEX('Inputs &amp; Drivers'!$G$52:$G$62,MATCH(Model!EG$4,'Inputs &amp; Drivers'!$B$52:$B$62,0))*(EG$4&lt;&gt;EF$4))*EF36</f>
        <v>-42545.256765149781</v>
      </c>
      <c r="EH36" s="75">
        <f>(1+INDEX('Inputs &amp; Drivers'!$G$52:$G$62,MATCH(Model!EH$4,'Inputs &amp; Drivers'!$B$52:$B$62,0))*(EH$4&lt;&gt;EG$4))*EG36</f>
        <v>-42545.256765149781</v>
      </c>
      <c r="EI36" s="75">
        <f>(1+INDEX('Inputs &amp; Drivers'!$G$52:$G$62,MATCH(Model!EI$4,'Inputs &amp; Drivers'!$B$52:$B$62,0))*(EI$4&lt;&gt;EH$4))*EH36</f>
        <v>-42545.256765149781</v>
      </c>
      <c r="EJ36" s="75">
        <f>(1+INDEX('Inputs &amp; Drivers'!$G$52:$G$62,MATCH(Model!EJ$4,'Inputs &amp; Drivers'!$B$52:$B$62,0))*(EJ$4&lt;&gt;EI$4))*EI36</f>
        <v>-42545.256765149781</v>
      </c>
      <c r="EK36" s="75">
        <f>(1+INDEX('Inputs &amp; Drivers'!$G$52:$G$62,MATCH(Model!EK$4,'Inputs &amp; Drivers'!$B$52:$B$62,0))*(EK$4&lt;&gt;EJ$4))*EJ36</f>
        <v>-42545.256765149781</v>
      </c>
      <c r="EM36" s="109">
        <f t="shared" si="517"/>
        <v>0</v>
      </c>
      <c r="EN36" s="109">
        <f t="shared" si="517"/>
        <v>-379892.00000000006</v>
      </c>
      <c r="EO36" s="109">
        <f t="shared" si="517"/>
        <v>-391288.76</v>
      </c>
      <c r="EP36" s="109">
        <f t="shared" si="517"/>
        <v>-403027.42280000006</v>
      </c>
      <c r="EQ36" s="109">
        <f t="shared" si="517"/>
        <v>-415118.24548400013</v>
      </c>
      <c r="ER36" s="109">
        <f t="shared" si="517"/>
        <v>-427571.79284852021</v>
      </c>
      <c r="ES36" s="109">
        <f t="shared" si="517"/>
        <v>-440398.94663397566</v>
      </c>
      <c r="ET36" s="109">
        <f t="shared" si="517"/>
        <v>-453610.91503299499</v>
      </c>
      <c r="EU36" s="109">
        <f t="shared" si="517"/>
        <v>-467219.24248398497</v>
      </c>
      <c r="EV36" s="109">
        <f t="shared" si="517"/>
        <v>-481235.81975850457</v>
      </c>
      <c r="EW36" s="109">
        <f t="shared" si="517"/>
        <v>-495672.89435125957</v>
      </c>
      <c r="EX36" s="109">
        <f t="shared" si="517"/>
        <v>-510543.08118179726</v>
      </c>
    </row>
    <row r="37" spans="2:154" x14ac:dyDescent="0.3">
      <c r="B37" s="1" t="s">
        <v>28</v>
      </c>
      <c r="E37" s="70">
        <f>SUM('Historical Financials'!M33:O33)*4</f>
        <v>-164055.14279999997</v>
      </c>
      <c r="F37" s="70">
        <f>SUM('Historical Financials'!D33:O33)</f>
        <v>-165309.25079999998</v>
      </c>
      <c r="G37" s="7">
        <f t="shared" si="518"/>
        <v>656.22057119999988</v>
      </c>
      <c r="J37" s="74">
        <f>-'Inputs &amp; Drivers'!$H$40*J19</f>
        <v>-13824.128333302771</v>
      </c>
      <c r="K37" s="74">
        <f>-'Inputs &amp; Drivers'!$H$40*K19</f>
        <v>-13824.128333302771</v>
      </c>
      <c r="L37" s="74">
        <f>-'Inputs &amp; Drivers'!$H$40*L19</f>
        <v>-13859.185624045938</v>
      </c>
      <c r="M37" s="74">
        <f>-'Inputs &amp; Drivers'!$H$40*M19</f>
        <v>-13894.242914789103</v>
      </c>
      <c r="N37" s="74">
        <f>-'Inputs &amp; Drivers'!$H$40*N19</f>
        <v>-13929.300205532267</v>
      </c>
      <c r="O37" s="74">
        <f>-'Inputs &amp; Drivers'!$H$40*O19</f>
        <v>-13964.357496275434</v>
      </c>
      <c r="P37" s="74">
        <f>-'Inputs &amp; Drivers'!$H$40*P19</f>
        <v>-13999.414787018601</v>
      </c>
      <c r="Q37" s="74">
        <f>-'Inputs &amp; Drivers'!$H$40*Q19</f>
        <v>-14034.472077761766</v>
      </c>
      <c r="R37" s="74">
        <f>-'Inputs &amp; Drivers'!$H$40*R19</f>
        <v>-14069.529368504929</v>
      </c>
      <c r="S37" s="74">
        <f>-'Inputs &amp; Drivers'!$H$40*S19</f>
        <v>-14104.586659248096</v>
      </c>
      <c r="T37" s="74">
        <f>-'Inputs &amp; Drivers'!$H$40*T19</f>
        <v>-14139.643949991259</v>
      </c>
      <c r="U37" s="74">
        <f>-'Inputs &amp; Drivers'!$H$40*U19</f>
        <v>-14174.701240734425</v>
      </c>
      <c r="V37" s="74">
        <f>-'Inputs &amp; Drivers'!$H$40*V19</f>
        <v>-14401.831728731026</v>
      </c>
      <c r="W37" s="74">
        <f>-'Inputs &amp; Drivers'!$H$40*W19</f>
        <v>-14472.306524156553</v>
      </c>
      <c r="X37" s="74">
        <f>-'Inputs &amp; Drivers'!$H$40*X19</f>
        <v>-14542.868894189918</v>
      </c>
      <c r="Y37" s="74">
        <f>-'Inputs &amp; Drivers'!$H$40*Y19</f>
        <v>-14613.519057767637</v>
      </c>
      <c r="Z37" s="74">
        <f>-'Inputs &amp; Drivers'!$H$40*Z19</f>
        <v>-14684.257234373566</v>
      </c>
      <c r="AA37" s="74">
        <f>-'Inputs &amp; Drivers'!$H$40*AA19</f>
        <v>-14755.083644040289</v>
      </c>
      <c r="AB37" s="74">
        <f>-'Inputs &amp; Drivers'!$H$40*AB19</f>
        <v>-14825.998507350441</v>
      </c>
      <c r="AC37" s="74">
        <f>-'Inputs &amp; Drivers'!$H$40*AC19</f>
        <v>-14897.002045438145</v>
      </c>
      <c r="AD37" s="74">
        <f>-'Inputs &amp; Drivers'!$H$40*AD19</f>
        <v>-14968.094479990335</v>
      </c>
      <c r="AE37" s="74">
        <f>-'Inputs &amp; Drivers'!$H$40*AE19</f>
        <v>-15039.276033248176</v>
      </c>
      <c r="AF37" s="74">
        <f>-'Inputs &amp; Drivers'!$H$40*AF19</f>
        <v>-15110.546928008434</v>
      </c>
      <c r="AG37" s="74">
        <f>-'Inputs &amp; Drivers'!$H$40*AG19</f>
        <v>-15181.907387624866</v>
      </c>
      <c r="AH37" s="74">
        <f>-'Inputs &amp; Drivers'!$H$40*AH19</f>
        <v>-15432.316682516272</v>
      </c>
      <c r="AI37" s="74">
        <f>-'Inputs &amp; Drivers'!$H$40*AI19</f>
        <v>-15516.84318490385</v>
      </c>
      <c r="AJ37" s="74">
        <f>-'Inputs &amp; Drivers'!$H$40*AJ19</f>
        <v>-15565.699386412976</v>
      </c>
      <c r="AK37" s="74">
        <f>-'Inputs &amp; Drivers'!$H$40*AK19</f>
        <v>-15614.718441927131</v>
      </c>
      <c r="AL37" s="74">
        <f>-'Inputs &amp; Drivers'!$H$40*AL19</f>
        <v>-15663.900894293</v>
      </c>
      <c r="AM37" s="74">
        <f>-'Inputs &amp; Drivers'!$H$40*AM19</f>
        <v>-15713.247288166758</v>
      </c>
      <c r="AN37" s="74">
        <f>-'Inputs &amp; Drivers'!$H$40*AN19</f>
        <v>-15762.758170020086</v>
      </c>
      <c r="AO37" s="74">
        <f>-'Inputs &amp; Drivers'!$H$40*AO19</f>
        <v>-15812.43408814627</v>
      </c>
      <c r="AP37" s="74">
        <f>-'Inputs &amp; Drivers'!$H$40*AP19</f>
        <v>-15862.275592666199</v>
      </c>
      <c r="AQ37" s="74">
        <f>-'Inputs &amp; Drivers'!$H$40*AQ19</f>
        <v>-15912.283235534533</v>
      </c>
      <c r="AR37" s="74">
        <f>-'Inputs &amp; Drivers'!$H$40*AR19</f>
        <v>-15962.457570545759</v>
      </c>
      <c r="AS37" s="74">
        <f>-'Inputs &amp; Drivers'!$H$40*AS19</f>
        <v>-16012.799153340356</v>
      </c>
      <c r="AT37" s="74">
        <f>-'Inputs &amp; Drivers'!$H$40*AT19</f>
        <v>-16050.681194393288</v>
      </c>
      <c r="AU37" s="74">
        <f>-'Inputs &amp; Drivers'!$H$40*AU19</f>
        <v>-16088.657940548856</v>
      </c>
      <c r="AV37" s="74">
        <f>-'Inputs &amp; Drivers'!$H$40*AV19</f>
        <v>-16126.72962856981</v>
      </c>
      <c r="AW37" s="74">
        <f>-'Inputs &amp; Drivers'!$H$40*AW19</f>
        <v>-16164.896495810821</v>
      </c>
      <c r="AX37" s="74">
        <f>-'Inputs &amp; Drivers'!$H$40*AX19</f>
        <v>-16203.158780219925</v>
      </c>
      <c r="AY37" s="74">
        <f>-'Inputs &amp; Drivers'!$H$40*AY19</f>
        <v>-16241.516720340058</v>
      </c>
      <c r="AZ37" s="74">
        <f>-'Inputs &amp; Drivers'!$H$40*AZ19</f>
        <v>-16279.970555310492</v>
      </c>
      <c r="BA37" s="74">
        <f>-'Inputs &amp; Drivers'!$H$40*BA19</f>
        <v>-16318.520524868351</v>
      </c>
      <c r="BB37" s="74">
        <f>-'Inputs &amp; Drivers'!$H$40*BB19</f>
        <v>-16357.166869350103</v>
      </c>
      <c r="BC37" s="74">
        <f>-'Inputs &amp; Drivers'!$H$40*BC19</f>
        <v>-16395.909829693061</v>
      </c>
      <c r="BD37" s="74">
        <f>-'Inputs &amp; Drivers'!$H$40*BD19</f>
        <v>-16434.749647436875</v>
      </c>
      <c r="BE37" s="74">
        <f>-'Inputs &amp; Drivers'!$H$40*BE19</f>
        <v>-16473.686564725049</v>
      </c>
      <c r="BF37" s="74">
        <f>-'Inputs &amp; Drivers'!$H$40*BF19</f>
        <v>-16512.720824306442</v>
      </c>
      <c r="BG37" s="74">
        <f>-'Inputs &amp; Drivers'!$H$40*BG19</f>
        <v>-16551.852669536791</v>
      </c>
      <c r="BH37" s="74">
        <f>-'Inputs &amp; Drivers'!$H$40*BH19</f>
        <v>-16591.082344380218</v>
      </c>
      <c r="BI37" s="74">
        <f>-'Inputs &amp; Drivers'!$H$40*BI19</f>
        <v>-16630.410093410752</v>
      </c>
      <c r="BJ37" s="74">
        <f>-'Inputs &amp; Drivers'!$H$40*BJ19</f>
        <v>-16669.836161813855</v>
      </c>
      <c r="BK37" s="74">
        <f>-'Inputs &amp; Drivers'!$H$40*BK19</f>
        <v>-16709.360795387973</v>
      </c>
      <c r="BL37" s="74">
        <f>-'Inputs &amp; Drivers'!$H$40*BL19</f>
        <v>-16748.984240546033</v>
      </c>
      <c r="BM37" s="74">
        <f>-'Inputs &amp; Drivers'!$H$40*BM19</f>
        <v>-16788.706744316973</v>
      </c>
      <c r="BN37" s="74">
        <f>-'Inputs &amp; Drivers'!$H$40*BN19</f>
        <v>-16828.528554347351</v>
      </c>
      <c r="BO37" s="74">
        <f>-'Inputs &amp; Drivers'!$H$40*BO19</f>
        <v>-16868.449918902803</v>
      </c>
      <c r="BP37" s="74">
        <f>-'Inputs &amp; Drivers'!$H$40*BP19</f>
        <v>-16908.471086869642</v>
      </c>
      <c r="BQ37" s="74">
        <f>-'Inputs &amp; Drivers'!$H$40*BQ19</f>
        <v>-16948.592307756397</v>
      </c>
      <c r="BR37" s="74">
        <f>-'Inputs &amp; Drivers'!$H$40*BR19</f>
        <v>-16988.81383169537</v>
      </c>
      <c r="BS37" s="74">
        <f>-'Inputs &amp; Drivers'!$H$40*BS19</f>
        <v>-17029.135909444187</v>
      </c>
      <c r="BT37" s="74">
        <f>-'Inputs &amp; Drivers'!$H$40*BT19</f>
        <v>-17069.558792387379</v>
      </c>
      <c r="BU37" s="74">
        <f>-'Inputs &amp; Drivers'!$H$40*BU19</f>
        <v>-17110.082732537932</v>
      </c>
      <c r="BV37" s="74">
        <f>-'Inputs &amp; Drivers'!$H$40*BV19</f>
        <v>-17150.707982538861</v>
      </c>
      <c r="BW37" s="74">
        <f>-'Inputs &amp; Drivers'!$H$40*BW19</f>
        <v>-17191.434795664791</v>
      </c>
      <c r="BX37" s="74">
        <f>-'Inputs &amp; Drivers'!$H$40*BX19</f>
        <v>-17232.263425823538</v>
      </c>
      <c r="BY37" s="74">
        <f>-'Inputs &amp; Drivers'!$H$40*BY19</f>
        <v>-17273.194127557679</v>
      </c>
      <c r="BZ37" s="74">
        <f>-'Inputs &amp; Drivers'!$H$40*BZ19</f>
        <v>-17314.227156046149</v>
      </c>
      <c r="CA37" s="74">
        <f>-'Inputs &amp; Drivers'!$H$40*CA19</f>
        <v>-17355.362767105853</v>
      </c>
      <c r="CB37" s="74">
        <f>-'Inputs &amp; Drivers'!$H$40*CB19</f>
        <v>-17396.601217193198</v>
      </c>
      <c r="CC37" s="74">
        <f>-'Inputs &amp; Drivers'!$H$40*CC19</f>
        <v>-17437.942763405761</v>
      </c>
      <c r="CD37" s="74">
        <f>-'Inputs &amp; Drivers'!$H$40*CD19</f>
        <v>-17479.387663483856</v>
      </c>
      <c r="CE37" s="74">
        <f>-'Inputs &amp; Drivers'!$H$40*CE19</f>
        <v>-17520.936175812149</v>
      </c>
      <c r="CF37" s="74">
        <f>-'Inputs &amp; Drivers'!$H$40*CF19</f>
        <v>-17562.588559421263</v>
      </c>
      <c r="CG37" s="74">
        <f>-'Inputs &amp; Drivers'!$H$40*CG19</f>
        <v>-17604.3450739894</v>
      </c>
      <c r="CH37" s="74">
        <f>-'Inputs &amp; Drivers'!$H$40*CH19</f>
        <v>-17646.205979843951</v>
      </c>
      <c r="CI37" s="74">
        <f>-'Inputs &amp; Drivers'!$H$40*CI19</f>
        <v>-17688.171537963146</v>
      </c>
      <c r="CJ37" s="74">
        <f>-'Inputs &amp; Drivers'!$H$40*CJ19</f>
        <v>-17730.242009977639</v>
      </c>
      <c r="CK37" s="74">
        <f>-'Inputs &amp; Drivers'!$H$40*CK19</f>
        <v>-17772.417658172159</v>
      </c>
      <c r="CL37" s="74">
        <f>-'Inputs &amp; Drivers'!$H$40*CL19</f>
        <v>-17814.698745487171</v>
      </c>
      <c r="CM37" s="74">
        <f>-'Inputs &amp; Drivers'!$H$40*CM19</f>
        <v>-17857.085535520473</v>
      </c>
      <c r="CN37" s="74">
        <f>-'Inputs &amp; Drivers'!$H$40*CN19</f>
        <v>-17899.578292528855</v>
      </c>
      <c r="CO37" s="74">
        <f>-'Inputs &amp; Drivers'!$H$40*CO19</f>
        <v>-17942.177281429758</v>
      </c>
      <c r="CP37" s="74">
        <f>-'Inputs &amp; Drivers'!$H$40*CP19</f>
        <v>-17984.882767802916</v>
      </c>
      <c r="CQ37" s="74">
        <f>-'Inputs &amp; Drivers'!$H$40*CQ19</f>
        <v>-18027.695017892009</v>
      </c>
      <c r="CR37" s="74">
        <f>-'Inputs &amp; Drivers'!$H$40*CR19</f>
        <v>-18070.614298606317</v>
      </c>
      <c r="CS37" s="74">
        <f>-'Inputs &amp; Drivers'!$H$40*CS19</f>
        <v>-18113.640877522419</v>
      </c>
      <c r="CT37" s="74">
        <f>-'Inputs &amp; Drivers'!$H$40*CT19</f>
        <v>-18156.775022885799</v>
      </c>
      <c r="CU37" s="74">
        <f>-'Inputs &amp; Drivers'!$H$40*CU19</f>
        <v>-18200.017003612596</v>
      </c>
      <c r="CV37" s="74">
        <f>-'Inputs &amp; Drivers'!$H$40*CV19</f>
        <v>-18243.367089291209</v>
      </c>
      <c r="CW37" s="74">
        <f>-'Inputs &amp; Drivers'!$H$40*CW19</f>
        <v>-18286.825550184021</v>
      </c>
      <c r="CX37" s="74">
        <f>-'Inputs &amp; Drivers'!$H$40*CX19</f>
        <v>-18330.392657229066</v>
      </c>
      <c r="CY37" s="74">
        <f>-'Inputs &amp; Drivers'!$H$40*CY19</f>
        <v>-18374.068682041718</v>
      </c>
      <c r="CZ37" s="74">
        <f>-'Inputs &amp; Drivers'!$H$40*CZ19</f>
        <v>-18417.853896916407</v>
      </c>
      <c r="DA37" s="74">
        <f>-'Inputs &amp; Drivers'!$H$40*DA19</f>
        <v>-18461.748574828282</v>
      </c>
      <c r="DB37" s="74">
        <f>-'Inputs &amp; Drivers'!$H$40*DB19</f>
        <v>-18505.752989434932</v>
      </c>
      <c r="DC37" s="74">
        <f>-'Inputs &amp; Drivers'!$H$40*DC19</f>
        <v>-18549.867415078101</v>
      </c>
      <c r="DD37" s="74">
        <f>-'Inputs &amp; Drivers'!$H$40*DD19</f>
        <v>-18594.092126785377</v>
      </c>
      <c r="DE37" s="74">
        <f>-'Inputs &amp; Drivers'!$H$40*DE19</f>
        <v>-18638.427400271925</v>
      </c>
      <c r="DF37" s="74">
        <f>-'Inputs &amp; Drivers'!$H$40*DF19</f>
        <v>-18682.873511942184</v>
      </c>
      <c r="DG37" s="74">
        <f>-'Inputs &amp; Drivers'!$H$40*DG19</f>
        <v>-18727.430738891624</v>
      </c>
      <c r="DH37" s="74">
        <f>-'Inputs &amp; Drivers'!$H$40*DH19</f>
        <v>-18772.099358908432</v>
      </c>
      <c r="DI37" s="74">
        <f>-'Inputs &amp; Drivers'!$H$40*DI19</f>
        <v>-18816.879650475283</v>
      </c>
      <c r="DJ37" s="74">
        <f>-'Inputs &amp; Drivers'!$H$40*DJ19</f>
        <v>-18861.771892771056</v>
      </c>
      <c r="DK37" s="74">
        <f>-'Inputs &amp; Drivers'!$H$40*DK19</f>
        <v>-18906.776365672562</v>
      </c>
      <c r="DL37" s="74">
        <f>-'Inputs &amp; Drivers'!$H$40*DL19</f>
        <v>-18951.893349756327</v>
      </c>
      <c r="DM37" s="74">
        <f>-'Inputs &amp; Drivers'!$H$40*DM19</f>
        <v>-18997.123126300299</v>
      </c>
      <c r="DN37" s="74">
        <f>-'Inputs &amp; Drivers'!$H$40*DN19</f>
        <v>-19042.465977285632</v>
      </c>
      <c r="DO37" s="74">
        <f>-'Inputs &amp; Drivers'!$H$40*DO19</f>
        <v>-19087.922185398427</v>
      </c>
      <c r="DP37" s="74">
        <f>-'Inputs &amp; Drivers'!$H$40*DP19</f>
        <v>-19133.492034031504</v>
      </c>
      <c r="DQ37" s="74">
        <f>-'Inputs &amp; Drivers'!$H$40*DQ19</f>
        <v>-19179.175807286167</v>
      </c>
      <c r="DR37" s="74">
        <f>-'Inputs &amp; Drivers'!$H$40*DR19</f>
        <v>-19224.973789973963</v>
      </c>
      <c r="DS37" s="74">
        <f>-'Inputs &amp; Drivers'!$H$40*DS19</f>
        <v>-19270.88626761848</v>
      </c>
      <c r="DT37" s="74">
        <f>-'Inputs &amp; Drivers'!$H$40*DT19</f>
        <v>-19316.913526457109</v>
      </c>
      <c r="DU37" s="74">
        <f>-'Inputs &amp; Drivers'!$H$40*DU19</f>
        <v>-19363.055853442835</v>
      </c>
      <c r="DV37" s="74">
        <f>-'Inputs &amp; Drivers'!$H$40*DV19</f>
        <v>-19409.31353624602</v>
      </c>
      <c r="DW37" s="74">
        <f>-'Inputs &amp; Drivers'!$H$40*DW19</f>
        <v>-19455.686863256222</v>
      </c>
      <c r="DX37" s="74">
        <f>-'Inputs &amp; Drivers'!$H$40*DX19</f>
        <v>-19502.176123583948</v>
      </c>
      <c r="DY37" s="74">
        <f>-'Inputs &amp; Drivers'!$H$40*DY19</f>
        <v>-19548.781607062487</v>
      </c>
      <c r="DZ37" s="74">
        <f>-'Inputs &amp; Drivers'!$H$40*DZ19</f>
        <v>-19595.503604249727</v>
      </c>
      <c r="EA37" s="74">
        <f>-'Inputs &amp; Drivers'!$H$40*EA19</f>
        <v>-19642.342406429932</v>
      </c>
      <c r="EB37" s="74">
        <f>-'Inputs &amp; Drivers'!$H$40*EB19</f>
        <v>-19689.298305615594</v>
      </c>
      <c r="EC37" s="74">
        <f>-'Inputs &amp; Drivers'!$H$40*EC19</f>
        <v>-19736.371594549215</v>
      </c>
      <c r="ED37" s="74">
        <f>-'Inputs &amp; Drivers'!$H$40*ED19</f>
        <v>-19783.562566705168</v>
      </c>
      <c r="EE37" s="74">
        <f>-'Inputs &amp; Drivers'!$H$40*EE19</f>
        <v>-19830.87151629151</v>
      </c>
      <c r="EF37" s="74">
        <f>-'Inputs &amp; Drivers'!$H$40*EF19</f>
        <v>-19878.298738251822</v>
      </c>
      <c r="EG37" s="74">
        <f>-'Inputs &amp; Drivers'!$H$40*EG19</f>
        <v>-19925.844528267033</v>
      </c>
      <c r="EH37" s="74">
        <f>-'Inputs &amp; Drivers'!$H$40*EH19</f>
        <v>-19973.50918275728</v>
      </c>
      <c r="EI37" s="74">
        <f>-'Inputs &amp; Drivers'!$H$40*EI19</f>
        <v>-20021.292998883757</v>
      </c>
      <c r="EJ37" s="74">
        <f>-'Inputs &amp; Drivers'!$H$40*EJ19</f>
        <v>-20069.196274550552</v>
      </c>
      <c r="EK37" s="74">
        <f>-'Inputs &amp; Drivers'!$H$40*EK19</f>
        <v>-20117.219308406515</v>
      </c>
      <c r="EM37" s="109">
        <f t="shared" si="517"/>
        <v>0</v>
      </c>
      <c r="EN37" s="109">
        <f t="shared" si="517"/>
        <v>-167817.69099050737</v>
      </c>
      <c r="EO37" s="109">
        <f t="shared" si="517"/>
        <v>-177492.69246491938</v>
      </c>
      <c r="EP37" s="109">
        <f t="shared" si="517"/>
        <v>-188831.73368847321</v>
      </c>
      <c r="EQ37" s="109">
        <f t="shared" si="517"/>
        <v>-195135.64475126666</v>
      </c>
      <c r="ER37" s="109">
        <f t="shared" si="517"/>
        <v>-200756.99574157523</v>
      </c>
      <c r="ES37" s="109">
        <f t="shared" si="517"/>
        <v>-206549.32550140072</v>
      </c>
      <c r="ET37" s="109">
        <f t="shared" si="517"/>
        <v>-212517.83451362984</v>
      </c>
      <c r="EU37" s="109">
        <f t="shared" si="517"/>
        <v>-218667.88143881276</v>
      </c>
      <c r="EV37" s="109">
        <f t="shared" si="517"/>
        <v>-225004.9879262881</v>
      </c>
      <c r="EW37" s="109">
        <f t="shared" si="517"/>
        <v>-231534.84357164282</v>
      </c>
      <c r="EX37" s="109">
        <f t="shared" si="517"/>
        <v>-238263.31102495812</v>
      </c>
    </row>
    <row r="38" spans="2:154" x14ac:dyDescent="0.3">
      <c r="B38" s="1" t="s">
        <v>29</v>
      </c>
      <c r="E38" s="70">
        <f>SUM('Historical Financials'!M34:O34)*4</f>
        <v>-145568</v>
      </c>
      <c r="F38" s="70">
        <f>SUM('Historical Financials'!D34:O34)</f>
        <v>-149581.28</v>
      </c>
      <c r="G38" s="7">
        <f t="shared" si="518"/>
        <v>582.27200000000005</v>
      </c>
      <c r="J38" s="41">
        <f>-'Inputs &amp; Drivers'!$J41/12</f>
        <v>-12130.666666666666</v>
      </c>
      <c r="K38" s="75">
        <f>(1+INDEX('Inputs &amp; Drivers'!$G$52:$G$62,MATCH(Model!K$4,'Inputs &amp; Drivers'!$B$52:$B$62,0))*(K$4&lt;&gt;J$4))*J38</f>
        <v>-12130.666666666666</v>
      </c>
      <c r="L38" s="75">
        <f>(1+INDEX('Inputs &amp; Drivers'!$G$52:$G$62,MATCH(Model!L$4,'Inputs &amp; Drivers'!$B$52:$B$62,0))*(L$4&lt;&gt;K$4))*K38</f>
        <v>-12130.666666666666</v>
      </c>
      <c r="M38" s="75">
        <f>(1+INDEX('Inputs &amp; Drivers'!$G$52:$G$62,MATCH(Model!M$4,'Inputs &amp; Drivers'!$B$52:$B$62,0))*(M$4&lt;&gt;L$4))*L38</f>
        <v>-12130.666666666666</v>
      </c>
      <c r="N38" s="75">
        <f>(1+INDEX('Inputs &amp; Drivers'!$G$52:$G$62,MATCH(Model!N$4,'Inputs &amp; Drivers'!$B$52:$B$62,0))*(N$4&lt;&gt;M$4))*M38</f>
        <v>-12130.666666666666</v>
      </c>
      <c r="O38" s="75">
        <f>(1+INDEX('Inputs &amp; Drivers'!$G$52:$G$62,MATCH(Model!O$4,'Inputs &amp; Drivers'!$B$52:$B$62,0))*(O$4&lt;&gt;N$4))*N38</f>
        <v>-12130.666666666666</v>
      </c>
      <c r="P38" s="75">
        <f>(1+INDEX('Inputs &amp; Drivers'!$G$52:$G$62,MATCH(Model!P$4,'Inputs &amp; Drivers'!$B$52:$B$62,0))*(P$4&lt;&gt;O$4))*O38</f>
        <v>-12130.666666666666</v>
      </c>
      <c r="Q38" s="75">
        <f>(1+INDEX('Inputs &amp; Drivers'!$G$52:$G$62,MATCH(Model!Q$4,'Inputs &amp; Drivers'!$B$52:$B$62,0))*(Q$4&lt;&gt;P$4))*P38</f>
        <v>-12130.666666666666</v>
      </c>
      <c r="R38" s="75">
        <f>(1+INDEX('Inputs &amp; Drivers'!$G$52:$G$62,MATCH(Model!R$4,'Inputs &amp; Drivers'!$B$52:$B$62,0))*(R$4&lt;&gt;Q$4))*Q38</f>
        <v>-12130.666666666666</v>
      </c>
      <c r="S38" s="75">
        <f>(1+INDEX('Inputs &amp; Drivers'!$G$52:$G$62,MATCH(Model!S$4,'Inputs &amp; Drivers'!$B$52:$B$62,0))*(S$4&lt;&gt;R$4))*R38</f>
        <v>-12130.666666666666</v>
      </c>
      <c r="T38" s="75">
        <f>(1+INDEX('Inputs &amp; Drivers'!$G$52:$G$62,MATCH(Model!T$4,'Inputs &amp; Drivers'!$B$52:$B$62,0))*(T$4&lt;&gt;S$4))*S38</f>
        <v>-12130.666666666666</v>
      </c>
      <c r="U38" s="75">
        <f>(1+INDEX('Inputs &amp; Drivers'!$G$52:$G$62,MATCH(Model!U$4,'Inputs &amp; Drivers'!$B$52:$B$62,0))*(U$4&lt;&gt;T$4))*T38</f>
        <v>-12130.666666666666</v>
      </c>
      <c r="V38" s="75">
        <f>(1+INDEX('Inputs &amp; Drivers'!$G$52:$G$62,MATCH(Model!V$4,'Inputs &amp; Drivers'!$B$52:$B$62,0))*(V$4&lt;&gt;U$4))*U38</f>
        <v>-12494.586666666666</v>
      </c>
      <c r="W38" s="75">
        <f>(1+INDEX('Inputs &amp; Drivers'!$G$52:$G$62,MATCH(Model!W$4,'Inputs &amp; Drivers'!$B$52:$B$62,0))*(W$4&lt;&gt;V$4))*V38</f>
        <v>-12494.586666666666</v>
      </c>
      <c r="X38" s="75">
        <f>(1+INDEX('Inputs &amp; Drivers'!$G$52:$G$62,MATCH(Model!X$4,'Inputs &amp; Drivers'!$B$52:$B$62,0))*(X$4&lt;&gt;W$4))*W38</f>
        <v>-12494.586666666666</v>
      </c>
      <c r="Y38" s="75">
        <f>(1+INDEX('Inputs &amp; Drivers'!$G$52:$G$62,MATCH(Model!Y$4,'Inputs &amp; Drivers'!$B$52:$B$62,0))*(Y$4&lt;&gt;X$4))*X38</f>
        <v>-12494.586666666666</v>
      </c>
      <c r="Z38" s="75">
        <f>(1+INDEX('Inputs &amp; Drivers'!$G$52:$G$62,MATCH(Model!Z$4,'Inputs &amp; Drivers'!$B$52:$B$62,0))*(Z$4&lt;&gt;Y$4))*Y38</f>
        <v>-12494.586666666666</v>
      </c>
      <c r="AA38" s="75">
        <f>(1+INDEX('Inputs &amp; Drivers'!$G$52:$G$62,MATCH(Model!AA$4,'Inputs &amp; Drivers'!$B$52:$B$62,0))*(AA$4&lt;&gt;Z$4))*Z38</f>
        <v>-12494.586666666666</v>
      </c>
      <c r="AB38" s="75">
        <f>(1+INDEX('Inputs &amp; Drivers'!$G$52:$G$62,MATCH(Model!AB$4,'Inputs &amp; Drivers'!$B$52:$B$62,0))*(AB$4&lt;&gt;AA$4))*AA38</f>
        <v>-12494.586666666666</v>
      </c>
      <c r="AC38" s="75">
        <f>(1+INDEX('Inputs &amp; Drivers'!$G$52:$G$62,MATCH(Model!AC$4,'Inputs &amp; Drivers'!$B$52:$B$62,0))*(AC$4&lt;&gt;AB$4))*AB38</f>
        <v>-12494.586666666666</v>
      </c>
      <c r="AD38" s="75">
        <f>(1+INDEX('Inputs &amp; Drivers'!$G$52:$G$62,MATCH(Model!AD$4,'Inputs &amp; Drivers'!$B$52:$B$62,0))*(AD$4&lt;&gt;AC$4))*AC38</f>
        <v>-12494.586666666666</v>
      </c>
      <c r="AE38" s="75">
        <f>(1+INDEX('Inputs &amp; Drivers'!$G$52:$G$62,MATCH(Model!AE$4,'Inputs &amp; Drivers'!$B$52:$B$62,0))*(AE$4&lt;&gt;AD$4))*AD38</f>
        <v>-12494.586666666666</v>
      </c>
      <c r="AF38" s="75">
        <f>(1+INDEX('Inputs &amp; Drivers'!$G$52:$G$62,MATCH(Model!AF$4,'Inputs &amp; Drivers'!$B$52:$B$62,0))*(AF$4&lt;&gt;AE$4))*AE38</f>
        <v>-12494.586666666666</v>
      </c>
      <c r="AG38" s="75">
        <f>(1+INDEX('Inputs &amp; Drivers'!$G$52:$G$62,MATCH(Model!AG$4,'Inputs &amp; Drivers'!$B$52:$B$62,0))*(AG$4&lt;&gt;AF$4))*AF38</f>
        <v>-12494.586666666666</v>
      </c>
      <c r="AH38" s="75">
        <f>(1+INDEX('Inputs &amp; Drivers'!$G$52:$G$62,MATCH(Model!AH$4,'Inputs &amp; Drivers'!$B$52:$B$62,0))*(AH$4&lt;&gt;AG$4))*AG38</f>
        <v>-12869.424266666667</v>
      </c>
      <c r="AI38" s="75">
        <f>(1+INDEX('Inputs &amp; Drivers'!$G$52:$G$62,MATCH(Model!AI$4,'Inputs &amp; Drivers'!$B$52:$B$62,0))*(AI$4&lt;&gt;AH$4))*AH38</f>
        <v>-12869.424266666667</v>
      </c>
      <c r="AJ38" s="75">
        <f>(1+INDEX('Inputs &amp; Drivers'!$G$52:$G$62,MATCH(Model!AJ$4,'Inputs &amp; Drivers'!$B$52:$B$62,0))*(AJ$4&lt;&gt;AI$4))*AI38</f>
        <v>-12869.424266666667</v>
      </c>
      <c r="AK38" s="75">
        <f>(1+INDEX('Inputs &amp; Drivers'!$G$52:$G$62,MATCH(Model!AK$4,'Inputs &amp; Drivers'!$B$52:$B$62,0))*(AK$4&lt;&gt;AJ$4))*AJ38</f>
        <v>-12869.424266666667</v>
      </c>
      <c r="AL38" s="75">
        <f>(1+INDEX('Inputs &amp; Drivers'!$G$52:$G$62,MATCH(Model!AL$4,'Inputs &amp; Drivers'!$B$52:$B$62,0))*(AL$4&lt;&gt;AK$4))*AK38</f>
        <v>-12869.424266666667</v>
      </c>
      <c r="AM38" s="75">
        <f>(1+INDEX('Inputs &amp; Drivers'!$G$52:$G$62,MATCH(Model!AM$4,'Inputs &amp; Drivers'!$B$52:$B$62,0))*(AM$4&lt;&gt;AL$4))*AL38</f>
        <v>-12869.424266666667</v>
      </c>
      <c r="AN38" s="75">
        <f>(1+INDEX('Inputs &amp; Drivers'!$G$52:$G$62,MATCH(Model!AN$4,'Inputs &amp; Drivers'!$B$52:$B$62,0))*(AN$4&lt;&gt;AM$4))*AM38</f>
        <v>-12869.424266666667</v>
      </c>
      <c r="AO38" s="75">
        <f>(1+INDEX('Inputs &amp; Drivers'!$G$52:$G$62,MATCH(Model!AO$4,'Inputs &amp; Drivers'!$B$52:$B$62,0))*(AO$4&lt;&gt;AN$4))*AN38</f>
        <v>-12869.424266666667</v>
      </c>
      <c r="AP38" s="75">
        <f>(1+INDEX('Inputs &amp; Drivers'!$G$52:$G$62,MATCH(Model!AP$4,'Inputs &amp; Drivers'!$B$52:$B$62,0))*(AP$4&lt;&gt;AO$4))*AO38</f>
        <v>-12869.424266666667</v>
      </c>
      <c r="AQ38" s="75">
        <f>(1+INDEX('Inputs &amp; Drivers'!$G$52:$G$62,MATCH(Model!AQ$4,'Inputs &amp; Drivers'!$B$52:$B$62,0))*(AQ$4&lt;&gt;AP$4))*AP38</f>
        <v>-12869.424266666667</v>
      </c>
      <c r="AR38" s="75">
        <f>(1+INDEX('Inputs &amp; Drivers'!$G$52:$G$62,MATCH(Model!AR$4,'Inputs &amp; Drivers'!$B$52:$B$62,0))*(AR$4&lt;&gt;AQ$4))*AQ38</f>
        <v>-12869.424266666667</v>
      </c>
      <c r="AS38" s="75">
        <f>(1+INDEX('Inputs &amp; Drivers'!$G$52:$G$62,MATCH(Model!AS$4,'Inputs &amp; Drivers'!$B$52:$B$62,0))*(AS$4&lt;&gt;AR$4))*AR38</f>
        <v>-12869.424266666667</v>
      </c>
      <c r="AT38" s="75">
        <f>(1+INDEX('Inputs &amp; Drivers'!$G$52:$G$62,MATCH(Model!AT$4,'Inputs &amp; Drivers'!$B$52:$B$62,0))*(AT$4&lt;&gt;AS$4))*AS38</f>
        <v>-13255.506994666668</v>
      </c>
      <c r="AU38" s="75">
        <f>(1+INDEX('Inputs &amp; Drivers'!$G$52:$G$62,MATCH(Model!AU$4,'Inputs &amp; Drivers'!$B$52:$B$62,0))*(AU$4&lt;&gt;AT$4))*AT38</f>
        <v>-13255.506994666668</v>
      </c>
      <c r="AV38" s="75">
        <f>(1+INDEX('Inputs &amp; Drivers'!$G$52:$G$62,MATCH(Model!AV$4,'Inputs &amp; Drivers'!$B$52:$B$62,0))*(AV$4&lt;&gt;AU$4))*AU38</f>
        <v>-13255.506994666668</v>
      </c>
      <c r="AW38" s="75">
        <f>(1+INDEX('Inputs &amp; Drivers'!$G$52:$G$62,MATCH(Model!AW$4,'Inputs &amp; Drivers'!$B$52:$B$62,0))*(AW$4&lt;&gt;AV$4))*AV38</f>
        <v>-13255.506994666668</v>
      </c>
      <c r="AX38" s="75">
        <f>(1+INDEX('Inputs &amp; Drivers'!$G$52:$G$62,MATCH(Model!AX$4,'Inputs &amp; Drivers'!$B$52:$B$62,0))*(AX$4&lt;&gt;AW$4))*AW38</f>
        <v>-13255.506994666668</v>
      </c>
      <c r="AY38" s="75">
        <f>(1+INDEX('Inputs &amp; Drivers'!$G$52:$G$62,MATCH(Model!AY$4,'Inputs &amp; Drivers'!$B$52:$B$62,0))*(AY$4&lt;&gt;AX$4))*AX38</f>
        <v>-13255.506994666668</v>
      </c>
      <c r="AZ38" s="75">
        <f>(1+INDEX('Inputs &amp; Drivers'!$G$52:$G$62,MATCH(Model!AZ$4,'Inputs &amp; Drivers'!$B$52:$B$62,0))*(AZ$4&lt;&gt;AY$4))*AY38</f>
        <v>-13255.506994666668</v>
      </c>
      <c r="BA38" s="75">
        <f>(1+INDEX('Inputs &amp; Drivers'!$G$52:$G$62,MATCH(Model!BA$4,'Inputs &amp; Drivers'!$B$52:$B$62,0))*(BA$4&lt;&gt;AZ$4))*AZ38</f>
        <v>-13255.506994666668</v>
      </c>
      <c r="BB38" s="75">
        <f>(1+INDEX('Inputs &amp; Drivers'!$G$52:$G$62,MATCH(Model!BB$4,'Inputs &amp; Drivers'!$B$52:$B$62,0))*(BB$4&lt;&gt;BA$4))*BA38</f>
        <v>-13255.506994666668</v>
      </c>
      <c r="BC38" s="75">
        <f>(1+INDEX('Inputs &amp; Drivers'!$G$52:$G$62,MATCH(Model!BC$4,'Inputs &amp; Drivers'!$B$52:$B$62,0))*(BC$4&lt;&gt;BB$4))*BB38</f>
        <v>-13255.506994666668</v>
      </c>
      <c r="BD38" s="75">
        <f>(1+INDEX('Inputs &amp; Drivers'!$G$52:$G$62,MATCH(Model!BD$4,'Inputs &amp; Drivers'!$B$52:$B$62,0))*(BD$4&lt;&gt;BC$4))*BC38</f>
        <v>-13255.506994666668</v>
      </c>
      <c r="BE38" s="75">
        <f>(1+INDEX('Inputs &amp; Drivers'!$G$52:$G$62,MATCH(Model!BE$4,'Inputs &amp; Drivers'!$B$52:$B$62,0))*(BE$4&lt;&gt;BD$4))*BD38</f>
        <v>-13255.506994666668</v>
      </c>
      <c r="BF38" s="75">
        <f>(1+INDEX('Inputs &amp; Drivers'!$G$52:$G$62,MATCH(Model!BF$4,'Inputs &amp; Drivers'!$B$52:$B$62,0))*(BF$4&lt;&gt;BE$4))*BE38</f>
        <v>-13653.172204506669</v>
      </c>
      <c r="BG38" s="75">
        <f>(1+INDEX('Inputs &amp; Drivers'!$G$52:$G$62,MATCH(Model!BG$4,'Inputs &amp; Drivers'!$B$52:$B$62,0))*(BG$4&lt;&gt;BF$4))*BF38</f>
        <v>-13653.172204506669</v>
      </c>
      <c r="BH38" s="75">
        <f>(1+INDEX('Inputs &amp; Drivers'!$G$52:$G$62,MATCH(Model!BH$4,'Inputs &amp; Drivers'!$B$52:$B$62,0))*(BH$4&lt;&gt;BG$4))*BG38</f>
        <v>-13653.172204506669</v>
      </c>
      <c r="BI38" s="75">
        <f>(1+INDEX('Inputs &amp; Drivers'!$G$52:$G$62,MATCH(Model!BI$4,'Inputs &amp; Drivers'!$B$52:$B$62,0))*(BI$4&lt;&gt;BH$4))*BH38</f>
        <v>-13653.172204506669</v>
      </c>
      <c r="BJ38" s="75">
        <f>(1+INDEX('Inputs &amp; Drivers'!$G$52:$G$62,MATCH(Model!BJ$4,'Inputs &amp; Drivers'!$B$52:$B$62,0))*(BJ$4&lt;&gt;BI$4))*BI38</f>
        <v>-13653.172204506669</v>
      </c>
      <c r="BK38" s="75">
        <f>(1+INDEX('Inputs &amp; Drivers'!$G$52:$G$62,MATCH(Model!BK$4,'Inputs &amp; Drivers'!$B$52:$B$62,0))*(BK$4&lt;&gt;BJ$4))*BJ38</f>
        <v>-13653.172204506669</v>
      </c>
      <c r="BL38" s="75">
        <f>(1+INDEX('Inputs &amp; Drivers'!$G$52:$G$62,MATCH(Model!BL$4,'Inputs &amp; Drivers'!$B$52:$B$62,0))*(BL$4&lt;&gt;BK$4))*BK38</f>
        <v>-13653.172204506669</v>
      </c>
      <c r="BM38" s="75">
        <f>(1+INDEX('Inputs &amp; Drivers'!$G$52:$G$62,MATCH(Model!BM$4,'Inputs &amp; Drivers'!$B$52:$B$62,0))*(BM$4&lt;&gt;BL$4))*BL38</f>
        <v>-13653.172204506669</v>
      </c>
      <c r="BN38" s="75">
        <f>(1+INDEX('Inputs &amp; Drivers'!$G$52:$G$62,MATCH(Model!BN$4,'Inputs &amp; Drivers'!$B$52:$B$62,0))*(BN$4&lt;&gt;BM$4))*BM38</f>
        <v>-13653.172204506669</v>
      </c>
      <c r="BO38" s="75">
        <f>(1+INDEX('Inputs &amp; Drivers'!$G$52:$G$62,MATCH(Model!BO$4,'Inputs &amp; Drivers'!$B$52:$B$62,0))*(BO$4&lt;&gt;BN$4))*BN38</f>
        <v>-13653.172204506669</v>
      </c>
      <c r="BP38" s="75">
        <f>(1+INDEX('Inputs &amp; Drivers'!$G$52:$G$62,MATCH(Model!BP$4,'Inputs &amp; Drivers'!$B$52:$B$62,0))*(BP$4&lt;&gt;BO$4))*BO38</f>
        <v>-13653.172204506669</v>
      </c>
      <c r="BQ38" s="75">
        <f>(1+INDEX('Inputs &amp; Drivers'!$G$52:$G$62,MATCH(Model!BQ$4,'Inputs &amp; Drivers'!$B$52:$B$62,0))*(BQ$4&lt;&gt;BP$4))*BP38</f>
        <v>-13653.172204506669</v>
      </c>
      <c r="BR38" s="75">
        <f>(1+INDEX('Inputs &amp; Drivers'!$G$52:$G$62,MATCH(Model!BR$4,'Inputs &amp; Drivers'!$B$52:$B$62,0))*(BR$4&lt;&gt;BQ$4))*BQ38</f>
        <v>-14062.76737064187</v>
      </c>
      <c r="BS38" s="75">
        <f>(1+INDEX('Inputs &amp; Drivers'!$G$52:$G$62,MATCH(Model!BS$4,'Inputs &amp; Drivers'!$B$52:$B$62,0))*(BS$4&lt;&gt;BR$4))*BR38</f>
        <v>-14062.76737064187</v>
      </c>
      <c r="BT38" s="75">
        <f>(1+INDEX('Inputs &amp; Drivers'!$G$52:$G$62,MATCH(Model!BT$4,'Inputs &amp; Drivers'!$B$52:$B$62,0))*(BT$4&lt;&gt;BS$4))*BS38</f>
        <v>-14062.76737064187</v>
      </c>
      <c r="BU38" s="75">
        <f>(1+INDEX('Inputs &amp; Drivers'!$G$52:$G$62,MATCH(Model!BU$4,'Inputs &amp; Drivers'!$B$52:$B$62,0))*(BU$4&lt;&gt;BT$4))*BT38</f>
        <v>-14062.76737064187</v>
      </c>
      <c r="BV38" s="75">
        <f>(1+INDEX('Inputs &amp; Drivers'!$G$52:$G$62,MATCH(Model!BV$4,'Inputs &amp; Drivers'!$B$52:$B$62,0))*(BV$4&lt;&gt;BU$4))*BU38</f>
        <v>-14062.76737064187</v>
      </c>
      <c r="BW38" s="75">
        <f>(1+INDEX('Inputs &amp; Drivers'!$G$52:$G$62,MATCH(Model!BW$4,'Inputs &amp; Drivers'!$B$52:$B$62,0))*(BW$4&lt;&gt;BV$4))*BV38</f>
        <v>-14062.76737064187</v>
      </c>
      <c r="BX38" s="75">
        <f>(1+INDEX('Inputs &amp; Drivers'!$G$52:$G$62,MATCH(Model!BX$4,'Inputs &amp; Drivers'!$B$52:$B$62,0))*(BX$4&lt;&gt;BW$4))*BW38</f>
        <v>-14062.76737064187</v>
      </c>
      <c r="BY38" s="75">
        <f>(1+INDEX('Inputs &amp; Drivers'!$G$52:$G$62,MATCH(Model!BY$4,'Inputs &amp; Drivers'!$B$52:$B$62,0))*(BY$4&lt;&gt;BX$4))*BX38</f>
        <v>-14062.76737064187</v>
      </c>
      <c r="BZ38" s="75">
        <f>(1+INDEX('Inputs &amp; Drivers'!$G$52:$G$62,MATCH(Model!BZ$4,'Inputs &amp; Drivers'!$B$52:$B$62,0))*(BZ$4&lt;&gt;BY$4))*BY38</f>
        <v>-14062.76737064187</v>
      </c>
      <c r="CA38" s="75">
        <f>(1+INDEX('Inputs &amp; Drivers'!$G$52:$G$62,MATCH(Model!CA$4,'Inputs &amp; Drivers'!$B$52:$B$62,0))*(CA$4&lt;&gt;BZ$4))*BZ38</f>
        <v>-14062.76737064187</v>
      </c>
      <c r="CB38" s="75">
        <f>(1+INDEX('Inputs &amp; Drivers'!$G$52:$G$62,MATCH(Model!CB$4,'Inputs &amp; Drivers'!$B$52:$B$62,0))*(CB$4&lt;&gt;CA$4))*CA38</f>
        <v>-14062.76737064187</v>
      </c>
      <c r="CC38" s="75">
        <f>(1+INDEX('Inputs &amp; Drivers'!$G$52:$G$62,MATCH(Model!CC$4,'Inputs &amp; Drivers'!$B$52:$B$62,0))*(CC$4&lt;&gt;CB$4))*CB38</f>
        <v>-14062.76737064187</v>
      </c>
      <c r="CD38" s="75">
        <f>(1+INDEX('Inputs &amp; Drivers'!$G$52:$G$62,MATCH(Model!CD$4,'Inputs &amp; Drivers'!$B$52:$B$62,0))*(CD$4&lt;&gt;CC$4))*CC38</f>
        <v>-14484.650391761126</v>
      </c>
      <c r="CE38" s="75">
        <f>(1+INDEX('Inputs &amp; Drivers'!$G$52:$G$62,MATCH(Model!CE$4,'Inputs &amp; Drivers'!$B$52:$B$62,0))*(CE$4&lt;&gt;CD$4))*CD38</f>
        <v>-14484.650391761126</v>
      </c>
      <c r="CF38" s="75">
        <f>(1+INDEX('Inputs &amp; Drivers'!$G$52:$G$62,MATCH(Model!CF$4,'Inputs &amp; Drivers'!$B$52:$B$62,0))*(CF$4&lt;&gt;CE$4))*CE38</f>
        <v>-14484.650391761126</v>
      </c>
      <c r="CG38" s="75">
        <f>(1+INDEX('Inputs &amp; Drivers'!$G$52:$G$62,MATCH(Model!CG$4,'Inputs &amp; Drivers'!$B$52:$B$62,0))*(CG$4&lt;&gt;CF$4))*CF38</f>
        <v>-14484.650391761126</v>
      </c>
      <c r="CH38" s="75">
        <f>(1+INDEX('Inputs &amp; Drivers'!$G$52:$G$62,MATCH(Model!CH$4,'Inputs &amp; Drivers'!$B$52:$B$62,0))*(CH$4&lt;&gt;CG$4))*CG38</f>
        <v>-14484.650391761126</v>
      </c>
      <c r="CI38" s="75">
        <f>(1+INDEX('Inputs &amp; Drivers'!$G$52:$G$62,MATCH(Model!CI$4,'Inputs &amp; Drivers'!$B$52:$B$62,0))*(CI$4&lt;&gt;CH$4))*CH38</f>
        <v>-14484.650391761126</v>
      </c>
      <c r="CJ38" s="75">
        <f>(1+INDEX('Inputs &amp; Drivers'!$G$52:$G$62,MATCH(Model!CJ$4,'Inputs &amp; Drivers'!$B$52:$B$62,0))*(CJ$4&lt;&gt;CI$4))*CI38</f>
        <v>-14484.650391761126</v>
      </c>
      <c r="CK38" s="75">
        <f>(1+INDEX('Inputs &amp; Drivers'!$G$52:$G$62,MATCH(Model!CK$4,'Inputs &amp; Drivers'!$B$52:$B$62,0))*(CK$4&lt;&gt;CJ$4))*CJ38</f>
        <v>-14484.650391761126</v>
      </c>
      <c r="CL38" s="75">
        <f>(1+INDEX('Inputs &amp; Drivers'!$G$52:$G$62,MATCH(Model!CL$4,'Inputs &amp; Drivers'!$B$52:$B$62,0))*(CL$4&lt;&gt;CK$4))*CK38</f>
        <v>-14484.650391761126</v>
      </c>
      <c r="CM38" s="75">
        <f>(1+INDEX('Inputs &amp; Drivers'!$G$52:$G$62,MATCH(Model!CM$4,'Inputs &amp; Drivers'!$B$52:$B$62,0))*(CM$4&lt;&gt;CL$4))*CL38</f>
        <v>-14484.650391761126</v>
      </c>
      <c r="CN38" s="75">
        <f>(1+INDEX('Inputs &amp; Drivers'!$G$52:$G$62,MATCH(Model!CN$4,'Inputs &amp; Drivers'!$B$52:$B$62,0))*(CN$4&lt;&gt;CM$4))*CM38</f>
        <v>-14484.650391761126</v>
      </c>
      <c r="CO38" s="75">
        <f>(1+INDEX('Inputs &amp; Drivers'!$G$52:$G$62,MATCH(Model!CO$4,'Inputs &amp; Drivers'!$B$52:$B$62,0))*(CO$4&lt;&gt;CN$4))*CN38</f>
        <v>-14484.650391761126</v>
      </c>
      <c r="CP38" s="75">
        <f>(1+INDEX('Inputs &amp; Drivers'!$G$52:$G$62,MATCH(Model!CP$4,'Inputs &amp; Drivers'!$B$52:$B$62,0))*(CP$4&lt;&gt;CO$4))*CO38</f>
        <v>-14919.18990351396</v>
      </c>
      <c r="CQ38" s="75">
        <f>(1+INDEX('Inputs &amp; Drivers'!$G$52:$G$62,MATCH(Model!CQ$4,'Inputs &amp; Drivers'!$B$52:$B$62,0))*(CQ$4&lt;&gt;CP$4))*CP38</f>
        <v>-14919.18990351396</v>
      </c>
      <c r="CR38" s="75">
        <f>(1+INDEX('Inputs &amp; Drivers'!$G$52:$G$62,MATCH(Model!CR$4,'Inputs &amp; Drivers'!$B$52:$B$62,0))*(CR$4&lt;&gt;CQ$4))*CQ38</f>
        <v>-14919.18990351396</v>
      </c>
      <c r="CS38" s="75">
        <f>(1+INDEX('Inputs &amp; Drivers'!$G$52:$G$62,MATCH(Model!CS$4,'Inputs &amp; Drivers'!$B$52:$B$62,0))*(CS$4&lt;&gt;CR$4))*CR38</f>
        <v>-14919.18990351396</v>
      </c>
      <c r="CT38" s="75">
        <f>(1+INDEX('Inputs &amp; Drivers'!$G$52:$G$62,MATCH(Model!CT$4,'Inputs &amp; Drivers'!$B$52:$B$62,0))*(CT$4&lt;&gt;CS$4))*CS38</f>
        <v>-14919.18990351396</v>
      </c>
      <c r="CU38" s="75">
        <f>(1+INDEX('Inputs &amp; Drivers'!$G$52:$G$62,MATCH(Model!CU$4,'Inputs &amp; Drivers'!$B$52:$B$62,0))*(CU$4&lt;&gt;CT$4))*CT38</f>
        <v>-14919.18990351396</v>
      </c>
      <c r="CV38" s="75">
        <f>(1+INDEX('Inputs &amp; Drivers'!$G$52:$G$62,MATCH(Model!CV$4,'Inputs &amp; Drivers'!$B$52:$B$62,0))*(CV$4&lt;&gt;CU$4))*CU38</f>
        <v>-14919.18990351396</v>
      </c>
      <c r="CW38" s="75">
        <f>(1+INDEX('Inputs &amp; Drivers'!$G$52:$G$62,MATCH(Model!CW$4,'Inputs &amp; Drivers'!$B$52:$B$62,0))*(CW$4&lt;&gt;CV$4))*CV38</f>
        <v>-14919.18990351396</v>
      </c>
      <c r="CX38" s="75">
        <f>(1+INDEX('Inputs &amp; Drivers'!$G$52:$G$62,MATCH(Model!CX$4,'Inputs &amp; Drivers'!$B$52:$B$62,0))*(CX$4&lt;&gt;CW$4))*CW38</f>
        <v>-14919.18990351396</v>
      </c>
      <c r="CY38" s="75">
        <f>(1+INDEX('Inputs &amp; Drivers'!$G$52:$G$62,MATCH(Model!CY$4,'Inputs &amp; Drivers'!$B$52:$B$62,0))*(CY$4&lt;&gt;CX$4))*CX38</f>
        <v>-14919.18990351396</v>
      </c>
      <c r="CZ38" s="75">
        <f>(1+INDEX('Inputs &amp; Drivers'!$G$52:$G$62,MATCH(Model!CZ$4,'Inputs &amp; Drivers'!$B$52:$B$62,0))*(CZ$4&lt;&gt;CY$4))*CY38</f>
        <v>-14919.18990351396</v>
      </c>
      <c r="DA38" s="75">
        <f>(1+INDEX('Inputs &amp; Drivers'!$G$52:$G$62,MATCH(Model!DA$4,'Inputs &amp; Drivers'!$B$52:$B$62,0))*(DA$4&lt;&gt;CZ$4))*CZ38</f>
        <v>-14919.18990351396</v>
      </c>
      <c r="DB38" s="75">
        <f>(1+INDEX('Inputs &amp; Drivers'!$G$52:$G$62,MATCH(Model!DB$4,'Inputs &amp; Drivers'!$B$52:$B$62,0))*(DB$4&lt;&gt;DA$4))*DA38</f>
        <v>-15366.765600619379</v>
      </c>
      <c r="DC38" s="75">
        <f>(1+INDEX('Inputs &amp; Drivers'!$G$52:$G$62,MATCH(Model!DC$4,'Inputs &amp; Drivers'!$B$52:$B$62,0))*(DC$4&lt;&gt;DB$4))*DB38</f>
        <v>-15366.765600619379</v>
      </c>
      <c r="DD38" s="75">
        <f>(1+INDEX('Inputs &amp; Drivers'!$G$52:$G$62,MATCH(Model!DD$4,'Inputs &amp; Drivers'!$B$52:$B$62,0))*(DD$4&lt;&gt;DC$4))*DC38</f>
        <v>-15366.765600619379</v>
      </c>
      <c r="DE38" s="75">
        <f>(1+INDEX('Inputs &amp; Drivers'!$G$52:$G$62,MATCH(Model!DE$4,'Inputs &amp; Drivers'!$B$52:$B$62,0))*(DE$4&lt;&gt;DD$4))*DD38</f>
        <v>-15366.765600619379</v>
      </c>
      <c r="DF38" s="75">
        <f>(1+INDEX('Inputs &amp; Drivers'!$G$52:$G$62,MATCH(Model!DF$4,'Inputs &amp; Drivers'!$B$52:$B$62,0))*(DF$4&lt;&gt;DE$4))*DE38</f>
        <v>-15366.765600619379</v>
      </c>
      <c r="DG38" s="75">
        <f>(1+INDEX('Inputs &amp; Drivers'!$G$52:$G$62,MATCH(Model!DG$4,'Inputs &amp; Drivers'!$B$52:$B$62,0))*(DG$4&lt;&gt;DF$4))*DF38</f>
        <v>-15366.765600619379</v>
      </c>
      <c r="DH38" s="75">
        <f>(1+INDEX('Inputs &amp; Drivers'!$G$52:$G$62,MATCH(Model!DH$4,'Inputs &amp; Drivers'!$B$52:$B$62,0))*(DH$4&lt;&gt;DG$4))*DG38</f>
        <v>-15366.765600619379</v>
      </c>
      <c r="DI38" s="75">
        <f>(1+INDEX('Inputs &amp; Drivers'!$G$52:$G$62,MATCH(Model!DI$4,'Inputs &amp; Drivers'!$B$52:$B$62,0))*(DI$4&lt;&gt;DH$4))*DH38</f>
        <v>-15366.765600619379</v>
      </c>
      <c r="DJ38" s="75">
        <f>(1+INDEX('Inputs &amp; Drivers'!$G$52:$G$62,MATCH(Model!DJ$4,'Inputs &amp; Drivers'!$B$52:$B$62,0))*(DJ$4&lt;&gt;DI$4))*DI38</f>
        <v>-15366.765600619379</v>
      </c>
      <c r="DK38" s="75">
        <f>(1+INDEX('Inputs &amp; Drivers'!$G$52:$G$62,MATCH(Model!DK$4,'Inputs &amp; Drivers'!$B$52:$B$62,0))*(DK$4&lt;&gt;DJ$4))*DJ38</f>
        <v>-15366.765600619379</v>
      </c>
      <c r="DL38" s="75">
        <f>(1+INDEX('Inputs &amp; Drivers'!$G$52:$G$62,MATCH(Model!DL$4,'Inputs &amp; Drivers'!$B$52:$B$62,0))*(DL$4&lt;&gt;DK$4))*DK38</f>
        <v>-15366.765600619379</v>
      </c>
      <c r="DM38" s="75">
        <f>(1+INDEX('Inputs &amp; Drivers'!$G$52:$G$62,MATCH(Model!DM$4,'Inputs &amp; Drivers'!$B$52:$B$62,0))*(DM$4&lt;&gt;DL$4))*DL38</f>
        <v>-15366.765600619379</v>
      </c>
      <c r="DN38" s="75">
        <f>(1+INDEX('Inputs &amp; Drivers'!$G$52:$G$62,MATCH(Model!DN$4,'Inputs &amp; Drivers'!$B$52:$B$62,0))*(DN$4&lt;&gt;DM$4))*DM38</f>
        <v>-15827.768568637961</v>
      </c>
      <c r="DO38" s="75">
        <f>(1+INDEX('Inputs &amp; Drivers'!$G$52:$G$62,MATCH(Model!DO$4,'Inputs &amp; Drivers'!$B$52:$B$62,0))*(DO$4&lt;&gt;DN$4))*DN38</f>
        <v>-15827.768568637961</v>
      </c>
      <c r="DP38" s="75">
        <f>(1+INDEX('Inputs &amp; Drivers'!$G$52:$G$62,MATCH(Model!DP$4,'Inputs &amp; Drivers'!$B$52:$B$62,0))*(DP$4&lt;&gt;DO$4))*DO38</f>
        <v>-15827.768568637961</v>
      </c>
      <c r="DQ38" s="75">
        <f>(1+INDEX('Inputs &amp; Drivers'!$G$52:$G$62,MATCH(Model!DQ$4,'Inputs &amp; Drivers'!$B$52:$B$62,0))*(DQ$4&lt;&gt;DP$4))*DP38</f>
        <v>-15827.768568637961</v>
      </c>
      <c r="DR38" s="75">
        <f>(1+INDEX('Inputs &amp; Drivers'!$G$52:$G$62,MATCH(Model!DR$4,'Inputs &amp; Drivers'!$B$52:$B$62,0))*(DR$4&lt;&gt;DQ$4))*DQ38</f>
        <v>-15827.768568637961</v>
      </c>
      <c r="DS38" s="75">
        <f>(1+INDEX('Inputs &amp; Drivers'!$G$52:$G$62,MATCH(Model!DS$4,'Inputs &amp; Drivers'!$B$52:$B$62,0))*(DS$4&lt;&gt;DR$4))*DR38</f>
        <v>-15827.768568637961</v>
      </c>
      <c r="DT38" s="75">
        <f>(1+INDEX('Inputs &amp; Drivers'!$G$52:$G$62,MATCH(Model!DT$4,'Inputs &amp; Drivers'!$B$52:$B$62,0))*(DT$4&lt;&gt;DS$4))*DS38</f>
        <v>-15827.768568637961</v>
      </c>
      <c r="DU38" s="75">
        <f>(1+INDEX('Inputs &amp; Drivers'!$G$52:$G$62,MATCH(Model!DU$4,'Inputs &amp; Drivers'!$B$52:$B$62,0))*(DU$4&lt;&gt;DT$4))*DT38</f>
        <v>-15827.768568637961</v>
      </c>
      <c r="DV38" s="75">
        <f>(1+INDEX('Inputs &amp; Drivers'!$G$52:$G$62,MATCH(Model!DV$4,'Inputs &amp; Drivers'!$B$52:$B$62,0))*(DV$4&lt;&gt;DU$4))*DU38</f>
        <v>-15827.768568637961</v>
      </c>
      <c r="DW38" s="75">
        <f>(1+INDEX('Inputs &amp; Drivers'!$G$52:$G$62,MATCH(Model!DW$4,'Inputs &amp; Drivers'!$B$52:$B$62,0))*(DW$4&lt;&gt;DV$4))*DV38</f>
        <v>-15827.768568637961</v>
      </c>
      <c r="DX38" s="75">
        <f>(1+INDEX('Inputs &amp; Drivers'!$G$52:$G$62,MATCH(Model!DX$4,'Inputs &amp; Drivers'!$B$52:$B$62,0))*(DX$4&lt;&gt;DW$4))*DW38</f>
        <v>-15827.768568637961</v>
      </c>
      <c r="DY38" s="75">
        <f>(1+INDEX('Inputs &amp; Drivers'!$G$52:$G$62,MATCH(Model!DY$4,'Inputs &amp; Drivers'!$B$52:$B$62,0))*(DY$4&lt;&gt;DX$4))*DX38</f>
        <v>-15827.768568637961</v>
      </c>
      <c r="DZ38" s="75">
        <f>(1+INDEX('Inputs &amp; Drivers'!$G$52:$G$62,MATCH(Model!DZ$4,'Inputs &amp; Drivers'!$B$52:$B$62,0))*(DZ$4&lt;&gt;DY$4))*DY38</f>
        <v>-16302.6016256971</v>
      </c>
      <c r="EA38" s="75">
        <f>(1+INDEX('Inputs &amp; Drivers'!$G$52:$G$62,MATCH(Model!EA$4,'Inputs &amp; Drivers'!$B$52:$B$62,0))*(EA$4&lt;&gt;DZ$4))*DZ38</f>
        <v>-16302.6016256971</v>
      </c>
      <c r="EB38" s="75">
        <f>(1+INDEX('Inputs &amp; Drivers'!$G$52:$G$62,MATCH(Model!EB$4,'Inputs &amp; Drivers'!$B$52:$B$62,0))*(EB$4&lt;&gt;EA$4))*EA38</f>
        <v>-16302.6016256971</v>
      </c>
      <c r="EC38" s="75">
        <f>(1+INDEX('Inputs &amp; Drivers'!$G$52:$G$62,MATCH(Model!EC$4,'Inputs &amp; Drivers'!$B$52:$B$62,0))*(EC$4&lt;&gt;EB$4))*EB38</f>
        <v>-16302.6016256971</v>
      </c>
      <c r="ED38" s="75">
        <f>(1+INDEX('Inputs &amp; Drivers'!$G$52:$G$62,MATCH(Model!ED$4,'Inputs &amp; Drivers'!$B$52:$B$62,0))*(ED$4&lt;&gt;EC$4))*EC38</f>
        <v>-16302.6016256971</v>
      </c>
      <c r="EE38" s="75">
        <f>(1+INDEX('Inputs &amp; Drivers'!$G$52:$G$62,MATCH(Model!EE$4,'Inputs &amp; Drivers'!$B$52:$B$62,0))*(EE$4&lt;&gt;ED$4))*ED38</f>
        <v>-16302.6016256971</v>
      </c>
      <c r="EF38" s="75">
        <f>(1+INDEX('Inputs &amp; Drivers'!$G$52:$G$62,MATCH(Model!EF$4,'Inputs &amp; Drivers'!$B$52:$B$62,0))*(EF$4&lt;&gt;EE$4))*EE38</f>
        <v>-16302.6016256971</v>
      </c>
      <c r="EG38" s="75">
        <f>(1+INDEX('Inputs &amp; Drivers'!$G$52:$G$62,MATCH(Model!EG$4,'Inputs &amp; Drivers'!$B$52:$B$62,0))*(EG$4&lt;&gt;EF$4))*EF38</f>
        <v>-16302.6016256971</v>
      </c>
      <c r="EH38" s="75">
        <f>(1+INDEX('Inputs &amp; Drivers'!$G$52:$G$62,MATCH(Model!EH$4,'Inputs &amp; Drivers'!$B$52:$B$62,0))*(EH$4&lt;&gt;EG$4))*EG38</f>
        <v>-16302.6016256971</v>
      </c>
      <c r="EI38" s="75">
        <f>(1+INDEX('Inputs &amp; Drivers'!$G$52:$G$62,MATCH(Model!EI$4,'Inputs &amp; Drivers'!$B$52:$B$62,0))*(EI$4&lt;&gt;EH$4))*EH38</f>
        <v>-16302.6016256971</v>
      </c>
      <c r="EJ38" s="75">
        <f>(1+INDEX('Inputs &amp; Drivers'!$G$52:$G$62,MATCH(Model!EJ$4,'Inputs &amp; Drivers'!$B$52:$B$62,0))*(EJ$4&lt;&gt;EI$4))*EI38</f>
        <v>-16302.6016256971</v>
      </c>
      <c r="EK38" s="75">
        <f>(1+INDEX('Inputs &amp; Drivers'!$G$52:$G$62,MATCH(Model!EK$4,'Inputs &amp; Drivers'!$B$52:$B$62,0))*(EK$4&lt;&gt;EJ$4))*EJ38</f>
        <v>-16302.6016256971</v>
      </c>
      <c r="EM38" s="109">
        <f t="shared" si="517"/>
        <v>0</v>
      </c>
      <c r="EN38" s="109">
        <f t="shared" si="517"/>
        <v>-145568</v>
      </c>
      <c r="EO38" s="109">
        <f t="shared" si="517"/>
        <v>-149935.04000000001</v>
      </c>
      <c r="EP38" s="109">
        <f t="shared" si="517"/>
        <v>-154433.0912</v>
      </c>
      <c r="EQ38" s="109">
        <f t="shared" si="517"/>
        <v>-159066.08393600001</v>
      </c>
      <c r="ER38" s="109">
        <f t="shared" si="517"/>
        <v>-163838.06645408002</v>
      </c>
      <c r="ES38" s="109">
        <f t="shared" si="517"/>
        <v>-168753.20844770243</v>
      </c>
      <c r="ET38" s="109">
        <f t="shared" si="517"/>
        <v>-173815.80470113351</v>
      </c>
      <c r="EU38" s="109">
        <f t="shared" si="517"/>
        <v>-179030.27884216755</v>
      </c>
      <c r="EV38" s="109">
        <f t="shared" si="517"/>
        <v>-184401.18720743249</v>
      </c>
      <c r="EW38" s="109">
        <f t="shared" si="517"/>
        <v>-189933.22282365549</v>
      </c>
      <c r="EX38" s="109">
        <f t="shared" si="517"/>
        <v>-195631.21950836523</v>
      </c>
    </row>
    <row r="39" spans="2:154" x14ac:dyDescent="0.3">
      <c r="B39" s="1" t="s">
        <v>30</v>
      </c>
      <c r="E39" s="70">
        <f>SUM('Historical Financials'!M35:O35)*4</f>
        <v>-1638504</v>
      </c>
      <c r="F39" s="70">
        <f>SUM('Historical Financials'!D35:O35)</f>
        <v>-1638504</v>
      </c>
      <c r="G39" s="7">
        <f t="shared" si="518"/>
        <v>6554.0159999999996</v>
      </c>
      <c r="J39" s="41">
        <f>-'Inputs &amp; Drivers'!$J42/12</f>
        <v>-136542</v>
      </c>
      <c r="K39" s="75">
        <f>(1+INDEX('Inputs &amp; Drivers'!$H$52:$H$62,MATCH(Model!K$4,'Inputs &amp; Drivers'!$B$52:$B$62,0))*(K$4&lt;&gt;J$4))*J39</f>
        <v>-136542</v>
      </c>
      <c r="L39" s="75">
        <f>(1+INDEX('Inputs &amp; Drivers'!$H$52:$H$62,MATCH(Model!L$4,'Inputs &amp; Drivers'!$B$52:$B$62,0))*(L$4&lt;&gt;K$4))*K39</f>
        <v>-136542</v>
      </c>
      <c r="M39" s="75">
        <f>(1+INDEX('Inputs &amp; Drivers'!$H$52:$H$62,MATCH(Model!M$4,'Inputs &amp; Drivers'!$B$52:$B$62,0))*(M$4&lt;&gt;L$4))*L39</f>
        <v>-136542</v>
      </c>
      <c r="N39" s="75">
        <f>(1+INDEX('Inputs &amp; Drivers'!$H$52:$H$62,MATCH(Model!N$4,'Inputs &amp; Drivers'!$B$52:$B$62,0))*(N$4&lt;&gt;M$4))*M39</f>
        <v>-136542</v>
      </c>
      <c r="O39" s="75">
        <f>(1+INDEX('Inputs &amp; Drivers'!$H$52:$H$62,MATCH(Model!O$4,'Inputs &amp; Drivers'!$B$52:$B$62,0))*(O$4&lt;&gt;N$4))*N39</f>
        <v>-136542</v>
      </c>
      <c r="P39" s="75">
        <f>(1+INDEX('Inputs &amp; Drivers'!$H$52:$H$62,MATCH(Model!P$4,'Inputs &amp; Drivers'!$B$52:$B$62,0))*(P$4&lt;&gt;O$4))*O39</f>
        <v>-136542</v>
      </c>
      <c r="Q39" s="75">
        <f>(1+INDEX('Inputs &amp; Drivers'!$H$52:$H$62,MATCH(Model!Q$4,'Inputs &amp; Drivers'!$B$52:$B$62,0))*(Q$4&lt;&gt;P$4))*P39</f>
        <v>-136542</v>
      </c>
      <c r="R39" s="75">
        <f>(1+INDEX('Inputs &amp; Drivers'!$H$52:$H$62,MATCH(Model!R$4,'Inputs &amp; Drivers'!$B$52:$B$62,0))*(R$4&lt;&gt;Q$4))*Q39</f>
        <v>-136542</v>
      </c>
      <c r="S39" s="75">
        <f>(1+INDEX('Inputs &amp; Drivers'!$H$52:$H$62,MATCH(Model!S$4,'Inputs &amp; Drivers'!$B$52:$B$62,0))*(S$4&lt;&gt;R$4))*R39</f>
        <v>-136542</v>
      </c>
      <c r="T39" s="75">
        <f>(1+INDEX('Inputs &amp; Drivers'!$H$52:$H$62,MATCH(Model!T$4,'Inputs &amp; Drivers'!$B$52:$B$62,0))*(T$4&lt;&gt;S$4))*S39</f>
        <v>-136542</v>
      </c>
      <c r="U39" s="75">
        <f>(1+INDEX('Inputs &amp; Drivers'!$H$52:$H$62,MATCH(Model!U$4,'Inputs &amp; Drivers'!$B$52:$B$62,0))*(U$4&lt;&gt;T$4))*T39</f>
        <v>-136542</v>
      </c>
      <c r="V39" s="75">
        <f>(1+INDEX('Inputs &amp; Drivers'!$H$52:$H$62,MATCH(Model!V$4,'Inputs &amp; Drivers'!$B$52:$B$62,0))*(V$4&lt;&gt;U$4))*U39</f>
        <v>-139272.84</v>
      </c>
      <c r="W39" s="75">
        <f>(1+INDEX('Inputs &amp; Drivers'!$H$52:$H$62,MATCH(Model!W$4,'Inputs &amp; Drivers'!$B$52:$B$62,0))*(W$4&lt;&gt;V$4))*V39</f>
        <v>-139272.84</v>
      </c>
      <c r="X39" s="75">
        <f>(1+INDEX('Inputs &amp; Drivers'!$H$52:$H$62,MATCH(Model!X$4,'Inputs &amp; Drivers'!$B$52:$B$62,0))*(X$4&lt;&gt;W$4))*W39</f>
        <v>-139272.84</v>
      </c>
      <c r="Y39" s="75">
        <f>(1+INDEX('Inputs &amp; Drivers'!$H$52:$H$62,MATCH(Model!Y$4,'Inputs &amp; Drivers'!$B$52:$B$62,0))*(Y$4&lt;&gt;X$4))*X39</f>
        <v>-139272.84</v>
      </c>
      <c r="Z39" s="75">
        <f>(1+INDEX('Inputs &amp; Drivers'!$H$52:$H$62,MATCH(Model!Z$4,'Inputs &amp; Drivers'!$B$52:$B$62,0))*(Z$4&lt;&gt;Y$4))*Y39</f>
        <v>-139272.84</v>
      </c>
      <c r="AA39" s="75">
        <f>(1+INDEX('Inputs &amp; Drivers'!$H$52:$H$62,MATCH(Model!AA$4,'Inputs &amp; Drivers'!$B$52:$B$62,0))*(AA$4&lt;&gt;Z$4))*Z39</f>
        <v>-139272.84</v>
      </c>
      <c r="AB39" s="75">
        <f>(1+INDEX('Inputs &amp; Drivers'!$H$52:$H$62,MATCH(Model!AB$4,'Inputs &amp; Drivers'!$B$52:$B$62,0))*(AB$4&lt;&gt;AA$4))*AA39</f>
        <v>-139272.84</v>
      </c>
      <c r="AC39" s="75">
        <f>(1+INDEX('Inputs &amp; Drivers'!$H$52:$H$62,MATCH(Model!AC$4,'Inputs &amp; Drivers'!$B$52:$B$62,0))*(AC$4&lt;&gt;AB$4))*AB39</f>
        <v>-139272.84</v>
      </c>
      <c r="AD39" s="75">
        <f>(1+INDEX('Inputs &amp; Drivers'!$H$52:$H$62,MATCH(Model!AD$4,'Inputs &amp; Drivers'!$B$52:$B$62,0))*(AD$4&lt;&gt;AC$4))*AC39</f>
        <v>-139272.84</v>
      </c>
      <c r="AE39" s="75">
        <f>(1+INDEX('Inputs &amp; Drivers'!$H$52:$H$62,MATCH(Model!AE$4,'Inputs &amp; Drivers'!$B$52:$B$62,0))*(AE$4&lt;&gt;AD$4))*AD39</f>
        <v>-139272.84</v>
      </c>
      <c r="AF39" s="75">
        <f>(1+INDEX('Inputs &amp; Drivers'!$H$52:$H$62,MATCH(Model!AF$4,'Inputs &amp; Drivers'!$B$52:$B$62,0))*(AF$4&lt;&gt;AE$4))*AE39</f>
        <v>-139272.84</v>
      </c>
      <c r="AG39" s="75">
        <f>(1+INDEX('Inputs &amp; Drivers'!$H$52:$H$62,MATCH(Model!AG$4,'Inputs &amp; Drivers'!$B$52:$B$62,0))*(AG$4&lt;&gt;AF$4))*AF39</f>
        <v>-139272.84</v>
      </c>
      <c r="AH39" s="75">
        <f>(1+INDEX('Inputs &amp; Drivers'!$H$52:$H$62,MATCH(Model!AH$4,'Inputs &amp; Drivers'!$B$52:$B$62,0))*(AH$4&lt;&gt;AG$4))*AG39</f>
        <v>-142058.29680000001</v>
      </c>
      <c r="AI39" s="75">
        <f>(1+INDEX('Inputs &amp; Drivers'!$H$52:$H$62,MATCH(Model!AI$4,'Inputs &amp; Drivers'!$B$52:$B$62,0))*(AI$4&lt;&gt;AH$4))*AH39</f>
        <v>-142058.29680000001</v>
      </c>
      <c r="AJ39" s="75">
        <f>(1+INDEX('Inputs &amp; Drivers'!$H$52:$H$62,MATCH(Model!AJ$4,'Inputs &amp; Drivers'!$B$52:$B$62,0))*(AJ$4&lt;&gt;AI$4))*AI39</f>
        <v>-142058.29680000001</v>
      </c>
      <c r="AK39" s="75">
        <f>(1+INDEX('Inputs &amp; Drivers'!$H$52:$H$62,MATCH(Model!AK$4,'Inputs &amp; Drivers'!$B$52:$B$62,0))*(AK$4&lt;&gt;AJ$4))*AJ39</f>
        <v>-142058.29680000001</v>
      </c>
      <c r="AL39" s="75">
        <f>(1+INDEX('Inputs &amp; Drivers'!$H$52:$H$62,MATCH(Model!AL$4,'Inputs &amp; Drivers'!$B$52:$B$62,0))*(AL$4&lt;&gt;AK$4))*AK39</f>
        <v>-142058.29680000001</v>
      </c>
      <c r="AM39" s="75">
        <f>(1+INDEX('Inputs &amp; Drivers'!$H$52:$H$62,MATCH(Model!AM$4,'Inputs &amp; Drivers'!$B$52:$B$62,0))*(AM$4&lt;&gt;AL$4))*AL39</f>
        <v>-142058.29680000001</v>
      </c>
      <c r="AN39" s="75">
        <f>(1+INDEX('Inputs &amp; Drivers'!$H$52:$H$62,MATCH(Model!AN$4,'Inputs &amp; Drivers'!$B$52:$B$62,0))*(AN$4&lt;&gt;AM$4))*AM39</f>
        <v>-142058.29680000001</v>
      </c>
      <c r="AO39" s="75">
        <f>(1+INDEX('Inputs &amp; Drivers'!$H$52:$H$62,MATCH(Model!AO$4,'Inputs &amp; Drivers'!$B$52:$B$62,0))*(AO$4&lt;&gt;AN$4))*AN39</f>
        <v>-142058.29680000001</v>
      </c>
      <c r="AP39" s="75">
        <f>(1+INDEX('Inputs &amp; Drivers'!$H$52:$H$62,MATCH(Model!AP$4,'Inputs &amp; Drivers'!$B$52:$B$62,0))*(AP$4&lt;&gt;AO$4))*AO39</f>
        <v>-142058.29680000001</v>
      </c>
      <c r="AQ39" s="75">
        <f>(1+INDEX('Inputs &amp; Drivers'!$H$52:$H$62,MATCH(Model!AQ$4,'Inputs &amp; Drivers'!$B$52:$B$62,0))*(AQ$4&lt;&gt;AP$4))*AP39</f>
        <v>-142058.29680000001</v>
      </c>
      <c r="AR39" s="75">
        <f>(1+INDEX('Inputs &amp; Drivers'!$H$52:$H$62,MATCH(Model!AR$4,'Inputs &amp; Drivers'!$B$52:$B$62,0))*(AR$4&lt;&gt;AQ$4))*AQ39</f>
        <v>-142058.29680000001</v>
      </c>
      <c r="AS39" s="75">
        <f>(1+INDEX('Inputs &amp; Drivers'!$H$52:$H$62,MATCH(Model!AS$4,'Inputs &amp; Drivers'!$B$52:$B$62,0))*(AS$4&lt;&gt;AR$4))*AR39</f>
        <v>-142058.29680000001</v>
      </c>
      <c r="AT39" s="75">
        <f>(1+INDEX('Inputs &amp; Drivers'!$H$52:$H$62,MATCH(Model!AT$4,'Inputs &amp; Drivers'!$B$52:$B$62,0))*(AT$4&lt;&gt;AS$4))*AS39</f>
        <v>-144899.46273600002</v>
      </c>
      <c r="AU39" s="75">
        <f>(1+INDEX('Inputs &amp; Drivers'!$H$52:$H$62,MATCH(Model!AU$4,'Inputs &amp; Drivers'!$B$52:$B$62,0))*(AU$4&lt;&gt;AT$4))*AT39</f>
        <v>-144899.46273600002</v>
      </c>
      <c r="AV39" s="75">
        <f>(1+INDEX('Inputs &amp; Drivers'!$H$52:$H$62,MATCH(Model!AV$4,'Inputs &amp; Drivers'!$B$52:$B$62,0))*(AV$4&lt;&gt;AU$4))*AU39</f>
        <v>-144899.46273600002</v>
      </c>
      <c r="AW39" s="75">
        <f>(1+INDEX('Inputs &amp; Drivers'!$H$52:$H$62,MATCH(Model!AW$4,'Inputs &amp; Drivers'!$B$52:$B$62,0))*(AW$4&lt;&gt;AV$4))*AV39</f>
        <v>-144899.46273600002</v>
      </c>
      <c r="AX39" s="75">
        <f>(1+INDEX('Inputs &amp; Drivers'!$H$52:$H$62,MATCH(Model!AX$4,'Inputs &amp; Drivers'!$B$52:$B$62,0))*(AX$4&lt;&gt;AW$4))*AW39</f>
        <v>-144899.46273600002</v>
      </c>
      <c r="AY39" s="75">
        <f>(1+INDEX('Inputs &amp; Drivers'!$H$52:$H$62,MATCH(Model!AY$4,'Inputs &amp; Drivers'!$B$52:$B$62,0))*(AY$4&lt;&gt;AX$4))*AX39</f>
        <v>-144899.46273600002</v>
      </c>
      <c r="AZ39" s="75">
        <f>(1+INDEX('Inputs &amp; Drivers'!$H$52:$H$62,MATCH(Model!AZ$4,'Inputs &amp; Drivers'!$B$52:$B$62,0))*(AZ$4&lt;&gt;AY$4))*AY39</f>
        <v>-144899.46273600002</v>
      </c>
      <c r="BA39" s="75">
        <f>(1+INDEX('Inputs &amp; Drivers'!$H$52:$H$62,MATCH(Model!BA$4,'Inputs &amp; Drivers'!$B$52:$B$62,0))*(BA$4&lt;&gt;AZ$4))*AZ39</f>
        <v>-144899.46273600002</v>
      </c>
      <c r="BB39" s="75">
        <f>(1+INDEX('Inputs &amp; Drivers'!$H$52:$H$62,MATCH(Model!BB$4,'Inputs &amp; Drivers'!$B$52:$B$62,0))*(BB$4&lt;&gt;BA$4))*BA39</f>
        <v>-144899.46273600002</v>
      </c>
      <c r="BC39" s="75">
        <f>(1+INDEX('Inputs &amp; Drivers'!$H$52:$H$62,MATCH(Model!BC$4,'Inputs &amp; Drivers'!$B$52:$B$62,0))*(BC$4&lt;&gt;BB$4))*BB39</f>
        <v>-144899.46273600002</v>
      </c>
      <c r="BD39" s="75">
        <f>(1+INDEX('Inputs &amp; Drivers'!$H$52:$H$62,MATCH(Model!BD$4,'Inputs &amp; Drivers'!$B$52:$B$62,0))*(BD$4&lt;&gt;BC$4))*BC39</f>
        <v>-144899.46273600002</v>
      </c>
      <c r="BE39" s="75">
        <f>(1+INDEX('Inputs &amp; Drivers'!$H$52:$H$62,MATCH(Model!BE$4,'Inputs &amp; Drivers'!$B$52:$B$62,0))*(BE$4&lt;&gt;BD$4))*BD39</f>
        <v>-144899.46273600002</v>
      </c>
      <c r="BF39" s="75">
        <f>(1+INDEX('Inputs &amp; Drivers'!$H$52:$H$62,MATCH(Model!BF$4,'Inputs &amp; Drivers'!$B$52:$B$62,0))*(BF$4&lt;&gt;BE$4))*BE39</f>
        <v>-147797.45199072003</v>
      </c>
      <c r="BG39" s="75">
        <f>(1+INDEX('Inputs &amp; Drivers'!$H$52:$H$62,MATCH(Model!BG$4,'Inputs &amp; Drivers'!$B$52:$B$62,0))*(BG$4&lt;&gt;BF$4))*BF39</f>
        <v>-147797.45199072003</v>
      </c>
      <c r="BH39" s="75">
        <f>(1+INDEX('Inputs &amp; Drivers'!$H$52:$H$62,MATCH(Model!BH$4,'Inputs &amp; Drivers'!$B$52:$B$62,0))*(BH$4&lt;&gt;BG$4))*BG39</f>
        <v>-147797.45199072003</v>
      </c>
      <c r="BI39" s="75">
        <f>(1+INDEX('Inputs &amp; Drivers'!$H$52:$H$62,MATCH(Model!BI$4,'Inputs &amp; Drivers'!$B$52:$B$62,0))*(BI$4&lt;&gt;BH$4))*BH39</f>
        <v>-147797.45199072003</v>
      </c>
      <c r="BJ39" s="75">
        <f>(1+INDEX('Inputs &amp; Drivers'!$H$52:$H$62,MATCH(Model!BJ$4,'Inputs &amp; Drivers'!$B$52:$B$62,0))*(BJ$4&lt;&gt;BI$4))*BI39</f>
        <v>-147797.45199072003</v>
      </c>
      <c r="BK39" s="75">
        <f>(1+INDEX('Inputs &amp; Drivers'!$H$52:$H$62,MATCH(Model!BK$4,'Inputs &amp; Drivers'!$B$52:$B$62,0))*(BK$4&lt;&gt;BJ$4))*BJ39</f>
        <v>-147797.45199072003</v>
      </c>
      <c r="BL39" s="75">
        <f>(1+INDEX('Inputs &amp; Drivers'!$H$52:$H$62,MATCH(Model!BL$4,'Inputs &amp; Drivers'!$B$52:$B$62,0))*(BL$4&lt;&gt;BK$4))*BK39</f>
        <v>-147797.45199072003</v>
      </c>
      <c r="BM39" s="75">
        <f>(1+INDEX('Inputs &amp; Drivers'!$H$52:$H$62,MATCH(Model!BM$4,'Inputs &amp; Drivers'!$B$52:$B$62,0))*(BM$4&lt;&gt;BL$4))*BL39</f>
        <v>-147797.45199072003</v>
      </c>
      <c r="BN39" s="75">
        <f>(1+INDEX('Inputs &amp; Drivers'!$H$52:$H$62,MATCH(Model!BN$4,'Inputs &amp; Drivers'!$B$52:$B$62,0))*(BN$4&lt;&gt;BM$4))*BM39</f>
        <v>-147797.45199072003</v>
      </c>
      <c r="BO39" s="75">
        <f>(1+INDEX('Inputs &amp; Drivers'!$H$52:$H$62,MATCH(Model!BO$4,'Inputs &amp; Drivers'!$B$52:$B$62,0))*(BO$4&lt;&gt;BN$4))*BN39</f>
        <v>-147797.45199072003</v>
      </c>
      <c r="BP39" s="75">
        <f>(1+INDEX('Inputs &amp; Drivers'!$H$52:$H$62,MATCH(Model!BP$4,'Inputs &amp; Drivers'!$B$52:$B$62,0))*(BP$4&lt;&gt;BO$4))*BO39</f>
        <v>-147797.45199072003</v>
      </c>
      <c r="BQ39" s="75">
        <f>(1+INDEX('Inputs &amp; Drivers'!$H$52:$H$62,MATCH(Model!BQ$4,'Inputs &amp; Drivers'!$B$52:$B$62,0))*(BQ$4&lt;&gt;BP$4))*BP39</f>
        <v>-147797.45199072003</v>
      </c>
      <c r="BR39" s="75">
        <f>(1+INDEX('Inputs &amp; Drivers'!$H$52:$H$62,MATCH(Model!BR$4,'Inputs &amp; Drivers'!$B$52:$B$62,0))*(BR$4&lt;&gt;BQ$4))*BQ39</f>
        <v>-150753.40103053444</v>
      </c>
      <c r="BS39" s="75">
        <f>(1+INDEX('Inputs &amp; Drivers'!$H$52:$H$62,MATCH(Model!BS$4,'Inputs &amp; Drivers'!$B$52:$B$62,0))*(BS$4&lt;&gt;BR$4))*BR39</f>
        <v>-150753.40103053444</v>
      </c>
      <c r="BT39" s="75">
        <f>(1+INDEX('Inputs &amp; Drivers'!$H$52:$H$62,MATCH(Model!BT$4,'Inputs &amp; Drivers'!$B$52:$B$62,0))*(BT$4&lt;&gt;BS$4))*BS39</f>
        <v>-150753.40103053444</v>
      </c>
      <c r="BU39" s="75">
        <f>(1+INDEX('Inputs &amp; Drivers'!$H$52:$H$62,MATCH(Model!BU$4,'Inputs &amp; Drivers'!$B$52:$B$62,0))*(BU$4&lt;&gt;BT$4))*BT39</f>
        <v>-150753.40103053444</v>
      </c>
      <c r="BV39" s="75">
        <f>(1+INDEX('Inputs &amp; Drivers'!$H$52:$H$62,MATCH(Model!BV$4,'Inputs &amp; Drivers'!$B$52:$B$62,0))*(BV$4&lt;&gt;BU$4))*BU39</f>
        <v>-150753.40103053444</v>
      </c>
      <c r="BW39" s="75">
        <f>(1+INDEX('Inputs &amp; Drivers'!$H$52:$H$62,MATCH(Model!BW$4,'Inputs &amp; Drivers'!$B$52:$B$62,0))*(BW$4&lt;&gt;BV$4))*BV39</f>
        <v>-150753.40103053444</v>
      </c>
      <c r="BX39" s="75">
        <f>(1+INDEX('Inputs &amp; Drivers'!$H$52:$H$62,MATCH(Model!BX$4,'Inputs &amp; Drivers'!$B$52:$B$62,0))*(BX$4&lt;&gt;BW$4))*BW39</f>
        <v>-150753.40103053444</v>
      </c>
      <c r="BY39" s="75">
        <f>(1+INDEX('Inputs &amp; Drivers'!$H$52:$H$62,MATCH(Model!BY$4,'Inputs &amp; Drivers'!$B$52:$B$62,0))*(BY$4&lt;&gt;BX$4))*BX39</f>
        <v>-150753.40103053444</v>
      </c>
      <c r="BZ39" s="75">
        <f>(1+INDEX('Inputs &amp; Drivers'!$H$52:$H$62,MATCH(Model!BZ$4,'Inputs &amp; Drivers'!$B$52:$B$62,0))*(BZ$4&lt;&gt;BY$4))*BY39</f>
        <v>-150753.40103053444</v>
      </c>
      <c r="CA39" s="75">
        <f>(1+INDEX('Inputs &amp; Drivers'!$H$52:$H$62,MATCH(Model!CA$4,'Inputs &amp; Drivers'!$B$52:$B$62,0))*(CA$4&lt;&gt;BZ$4))*BZ39</f>
        <v>-150753.40103053444</v>
      </c>
      <c r="CB39" s="75">
        <f>(1+INDEX('Inputs &amp; Drivers'!$H$52:$H$62,MATCH(Model!CB$4,'Inputs &amp; Drivers'!$B$52:$B$62,0))*(CB$4&lt;&gt;CA$4))*CA39</f>
        <v>-150753.40103053444</v>
      </c>
      <c r="CC39" s="75">
        <f>(1+INDEX('Inputs &amp; Drivers'!$H$52:$H$62,MATCH(Model!CC$4,'Inputs &amp; Drivers'!$B$52:$B$62,0))*(CC$4&lt;&gt;CB$4))*CB39</f>
        <v>-150753.40103053444</v>
      </c>
      <c r="CD39" s="75">
        <f>(1+INDEX('Inputs &amp; Drivers'!$H$52:$H$62,MATCH(Model!CD$4,'Inputs &amp; Drivers'!$B$52:$B$62,0))*(CD$4&lt;&gt;CC$4))*CC39</f>
        <v>-153768.46905114513</v>
      </c>
      <c r="CE39" s="75">
        <f>(1+INDEX('Inputs &amp; Drivers'!$H$52:$H$62,MATCH(Model!CE$4,'Inputs &amp; Drivers'!$B$52:$B$62,0))*(CE$4&lt;&gt;CD$4))*CD39</f>
        <v>-153768.46905114513</v>
      </c>
      <c r="CF39" s="75">
        <f>(1+INDEX('Inputs &amp; Drivers'!$H$52:$H$62,MATCH(Model!CF$4,'Inputs &amp; Drivers'!$B$52:$B$62,0))*(CF$4&lt;&gt;CE$4))*CE39</f>
        <v>-153768.46905114513</v>
      </c>
      <c r="CG39" s="75">
        <f>(1+INDEX('Inputs &amp; Drivers'!$H$52:$H$62,MATCH(Model!CG$4,'Inputs &amp; Drivers'!$B$52:$B$62,0))*(CG$4&lt;&gt;CF$4))*CF39</f>
        <v>-153768.46905114513</v>
      </c>
      <c r="CH39" s="75">
        <f>(1+INDEX('Inputs &amp; Drivers'!$H$52:$H$62,MATCH(Model!CH$4,'Inputs &amp; Drivers'!$B$52:$B$62,0))*(CH$4&lt;&gt;CG$4))*CG39</f>
        <v>-153768.46905114513</v>
      </c>
      <c r="CI39" s="75">
        <f>(1+INDEX('Inputs &amp; Drivers'!$H$52:$H$62,MATCH(Model!CI$4,'Inputs &amp; Drivers'!$B$52:$B$62,0))*(CI$4&lt;&gt;CH$4))*CH39</f>
        <v>-153768.46905114513</v>
      </c>
      <c r="CJ39" s="75">
        <f>(1+INDEX('Inputs &amp; Drivers'!$H$52:$H$62,MATCH(Model!CJ$4,'Inputs &amp; Drivers'!$B$52:$B$62,0))*(CJ$4&lt;&gt;CI$4))*CI39</f>
        <v>-153768.46905114513</v>
      </c>
      <c r="CK39" s="75">
        <f>(1+INDEX('Inputs &amp; Drivers'!$H$52:$H$62,MATCH(Model!CK$4,'Inputs &amp; Drivers'!$B$52:$B$62,0))*(CK$4&lt;&gt;CJ$4))*CJ39</f>
        <v>-153768.46905114513</v>
      </c>
      <c r="CL39" s="75">
        <f>(1+INDEX('Inputs &amp; Drivers'!$H$52:$H$62,MATCH(Model!CL$4,'Inputs &amp; Drivers'!$B$52:$B$62,0))*(CL$4&lt;&gt;CK$4))*CK39</f>
        <v>-153768.46905114513</v>
      </c>
      <c r="CM39" s="75">
        <f>(1+INDEX('Inputs &amp; Drivers'!$H$52:$H$62,MATCH(Model!CM$4,'Inputs &amp; Drivers'!$B$52:$B$62,0))*(CM$4&lt;&gt;CL$4))*CL39</f>
        <v>-153768.46905114513</v>
      </c>
      <c r="CN39" s="75">
        <f>(1+INDEX('Inputs &amp; Drivers'!$H$52:$H$62,MATCH(Model!CN$4,'Inputs &amp; Drivers'!$B$52:$B$62,0))*(CN$4&lt;&gt;CM$4))*CM39</f>
        <v>-153768.46905114513</v>
      </c>
      <c r="CO39" s="75">
        <f>(1+INDEX('Inputs &amp; Drivers'!$H$52:$H$62,MATCH(Model!CO$4,'Inputs &amp; Drivers'!$B$52:$B$62,0))*(CO$4&lt;&gt;CN$4))*CN39</f>
        <v>-153768.46905114513</v>
      </c>
      <c r="CP39" s="75">
        <f>(1+INDEX('Inputs &amp; Drivers'!$H$52:$H$62,MATCH(Model!CP$4,'Inputs &amp; Drivers'!$B$52:$B$62,0))*(CP$4&lt;&gt;CO$4))*CO39</f>
        <v>-156843.83843216804</v>
      </c>
      <c r="CQ39" s="75">
        <f>(1+INDEX('Inputs &amp; Drivers'!$H$52:$H$62,MATCH(Model!CQ$4,'Inputs &amp; Drivers'!$B$52:$B$62,0))*(CQ$4&lt;&gt;CP$4))*CP39</f>
        <v>-156843.83843216804</v>
      </c>
      <c r="CR39" s="75">
        <f>(1+INDEX('Inputs &amp; Drivers'!$H$52:$H$62,MATCH(Model!CR$4,'Inputs &amp; Drivers'!$B$52:$B$62,0))*(CR$4&lt;&gt;CQ$4))*CQ39</f>
        <v>-156843.83843216804</v>
      </c>
      <c r="CS39" s="75">
        <f>(1+INDEX('Inputs &amp; Drivers'!$H$52:$H$62,MATCH(Model!CS$4,'Inputs &amp; Drivers'!$B$52:$B$62,0))*(CS$4&lt;&gt;CR$4))*CR39</f>
        <v>-156843.83843216804</v>
      </c>
      <c r="CT39" s="75">
        <f>(1+INDEX('Inputs &amp; Drivers'!$H$52:$H$62,MATCH(Model!CT$4,'Inputs &amp; Drivers'!$B$52:$B$62,0))*(CT$4&lt;&gt;CS$4))*CS39</f>
        <v>-156843.83843216804</v>
      </c>
      <c r="CU39" s="75">
        <f>(1+INDEX('Inputs &amp; Drivers'!$H$52:$H$62,MATCH(Model!CU$4,'Inputs &amp; Drivers'!$B$52:$B$62,0))*(CU$4&lt;&gt;CT$4))*CT39</f>
        <v>-156843.83843216804</v>
      </c>
      <c r="CV39" s="75">
        <f>(1+INDEX('Inputs &amp; Drivers'!$H$52:$H$62,MATCH(Model!CV$4,'Inputs &amp; Drivers'!$B$52:$B$62,0))*(CV$4&lt;&gt;CU$4))*CU39</f>
        <v>-156843.83843216804</v>
      </c>
      <c r="CW39" s="75">
        <f>(1+INDEX('Inputs &amp; Drivers'!$H$52:$H$62,MATCH(Model!CW$4,'Inputs &amp; Drivers'!$B$52:$B$62,0))*(CW$4&lt;&gt;CV$4))*CV39</f>
        <v>-156843.83843216804</v>
      </c>
      <c r="CX39" s="75">
        <f>(1+INDEX('Inputs &amp; Drivers'!$H$52:$H$62,MATCH(Model!CX$4,'Inputs &amp; Drivers'!$B$52:$B$62,0))*(CX$4&lt;&gt;CW$4))*CW39</f>
        <v>-156843.83843216804</v>
      </c>
      <c r="CY39" s="75">
        <f>(1+INDEX('Inputs &amp; Drivers'!$H$52:$H$62,MATCH(Model!CY$4,'Inputs &amp; Drivers'!$B$52:$B$62,0))*(CY$4&lt;&gt;CX$4))*CX39</f>
        <v>-156843.83843216804</v>
      </c>
      <c r="CZ39" s="75">
        <f>(1+INDEX('Inputs &amp; Drivers'!$H$52:$H$62,MATCH(Model!CZ$4,'Inputs &amp; Drivers'!$B$52:$B$62,0))*(CZ$4&lt;&gt;CY$4))*CY39</f>
        <v>-156843.83843216804</v>
      </c>
      <c r="DA39" s="75">
        <f>(1+INDEX('Inputs &amp; Drivers'!$H$52:$H$62,MATCH(Model!DA$4,'Inputs &amp; Drivers'!$B$52:$B$62,0))*(DA$4&lt;&gt;CZ$4))*CZ39</f>
        <v>-156843.83843216804</v>
      </c>
      <c r="DB39" s="75">
        <f>(1+INDEX('Inputs &amp; Drivers'!$H$52:$H$62,MATCH(Model!DB$4,'Inputs &amp; Drivers'!$B$52:$B$62,0))*(DB$4&lt;&gt;DA$4))*DA39</f>
        <v>-159980.71520081139</v>
      </c>
      <c r="DC39" s="75">
        <f>(1+INDEX('Inputs &amp; Drivers'!$H$52:$H$62,MATCH(Model!DC$4,'Inputs &amp; Drivers'!$B$52:$B$62,0))*(DC$4&lt;&gt;DB$4))*DB39</f>
        <v>-159980.71520081139</v>
      </c>
      <c r="DD39" s="75">
        <f>(1+INDEX('Inputs &amp; Drivers'!$H$52:$H$62,MATCH(Model!DD$4,'Inputs &amp; Drivers'!$B$52:$B$62,0))*(DD$4&lt;&gt;DC$4))*DC39</f>
        <v>-159980.71520081139</v>
      </c>
      <c r="DE39" s="75">
        <f>(1+INDEX('Inputs &amp; Drivers'!$H$52:$H$62,MATCH(Model!DE$4,'Inputs &amp; Drivers'!$B$52:$B$62,0))*(DE$4&lt;&gt;DD$4))*DD39</f>
        <v>-159980.71520081139</v>
      </c>
      <c r="DF39" s="75">
        <f>(1+INDEX('Inputs &amp; Drivers'!$H$52:$H$62,MATCH(Model!DF$4,'Inputs &amp; Drivers'!$B$52:$B$62,0))*(DF$4&lt;&gt;DE$4))*DE39</f>
        <v>-159980.71520081139</v>
      </c>
      <c r="DG39" s="75">
        <f>(1+INDEX('Inputs &amp; Drivers'!$H$52:$H$62,MATCH(Model!DG$4,'Inputs &amp; Drivers'!$B$52:$B$62,0))*(DG$4&lt;&gt;DF$4))*DF39</f>
        <v>-159980.71520081139</v>
      </c>
      <c r="DH39" s="75">
        <f>(1+INDEX('Inputs &amp; Drivers'!$H$52:$H$62,MATCH(Model!DH$4,'Inputs &amp; Drivers'!$B$52:$B$62,0))*(DH$4&lt;&gt;DG$4))*DG39</f>
        <v>-159980.71520081139</v>
      </c>
      <c r="DI39" s="75">
        <f>(1+INDEX('Inputs &amp; Drivers'!$H$52:$H$62,MATCH(Model!DI$4,'Inputs &amp; Drivers'!$B$52:$B$62,0))*(DI$4&lt;&gt;DH$4))*DH39</f>
        <v>-159980.71520081139</v>
      </c>
      <c r="DJ39" s="75">
        <f>(1+INDEX('Inputs &amp; Drivers'!$H$52:$H$62,MATCH(Model!DJ$4,'Inputs &amp; Drivers'!$B$52:$B$62,0))*(DJ$4&lt;&gt;DI$4))*DI39</f>
        <v>-159980.71520081139</v>
      </c>
      <c r="DK39" s="75">
        <f>(1+INDEX('Inputs &amp; Drivers'!$H$52:$H$62,MATCH(Model!DK$4,'Inputs &amp; Drivers'!$B$52:$B$62,0))*(DK$4&lt;&gt;DJ$4))*DJ39</f>
        <v>-159980.71520081139</v>
      </c>
      <c r="DL39" s="75">
        <f>(1+INDEX('Inputs &amp; Drivers'!$H$52:$H$62,MATCH(Model!DL$4,'Inputs &amp; Drivers'!$B$52:$B$62,0))*(DL$4&lt;&gt;DK$4))*DK39</f>
        <v>-159980.71520081139</v>
      </c>
      <c r="DM39" s="75">
        <f>(1+INDEX('Inputs &amp; Drivers'!$H$52:$H$62,MATCH(Model!DM$4,'Inputs &amp; Drivers'!$B$52:$B$62,0))*(DM$4&lt;&gt;DL$4))*DL39</f>
        <v>-159980.71520081139</v>
      </c>
      <c r="DN39" s="75">
        <f>(1+INDEX('Inputs &amp; Drivers'!$H$52:$H$62,MATCH(Model!DN$4,'Inputs &amp; Drivers'!$B$52:$B$62,0))*(DN$4&lt;&gt;DM$4))*DM39</f>
        <v>-163180.32950482762</v>
      </c>
      <c r="DO39" s="75">
        <f>(1+INDEX('Inputs &amp; Drivers'!$H$52:$H$62,MATCH(Model!DO$4,'Inputs &amp; Drivers'!$B$52:$B$62,0))*(DO$4&lt;&gt;DN$4))*DN39</f>
        <v>-163180.32950482762</v>
      </c>
      <c r="DP39" s="75">
        <f>(1+INDEX('Inputs &amp; Drivers'!$H$52:$H$62,MATCH(Model!DP$4,'Inputs &amp; Drivers'!$B$52:$B$62,0))*(DP$4&lt;&gt;DO$4))*DO39</f>
        <v>-163180.32950482762</v>
      </c>
      <c r="DQ39" s="75">
        <f>(1+INDEX('Inputs &amp; Drivers'!$H$52:$H$62,MATCH(Model!DQ$4,'Inputs &amp; Drivers'!$B$52:$B$62,0))*(DQ$4&lt;&gt;DP$4))*DP39</f>
        <v>-163180.32950482762</v>
      </c>
      <c r="DR39" s="75">
        <f>(1+INDEX('Inputs &amp; Drivers'!$H$52:$H$62,MATCH(Model!DR$4,'Inputs &amp; Drivers'!$B$52:$B$62,0))*(DR$4&lt;&gt;DQ$4))*DQ39</f>
        <v>-163180.32950482762</v>
      </c>
      <c r="DS39" s="75">
        <f>(1+INDEX('Inputs &amp; Drivers'!$H$52:$H$62,MATCH(Model!DS$4,'Inputs &amp; Drivers'!$B$52:$B$62,0))*(DS$4&lt;&gt;DR$4))*DR39</f>
        <v>-163180.32950482762</v>
      </c>
      <c r="DT39" s="75">
        <f>(1+INDEX('Inputs &amp; Drivers'!$H$52:$H$62,MATCH(Model!DT$4,'Inputs &amp; Drivers'!$B$52:$B$62,0))*(DT$4&lt;&gt;DS$4))*DS39</f>
        <v>-163180.32950482762</v>
      </c>
      <c r="DU39" s="75">
        <f>(1+INDEX('Inputs &amp; Drivers'!$H$52:$H$62,MATCH(Model!DU$4,'Inputs &amp; Drivers'!$B$52:$B$62,0))*(DU$4&lt;&gt;DT$4))*DT39</f>
        <v>-163180.32950482762</v>
      </c>
      <c r="DV39" s="75">
        <f>(1+INDEX('Inputs &amp; Drivers'!$H$52:$H$62,MATCH(Model!DV$4,'Inputs &amp; Drivers'!$B$52:$B$62,0))*(DV$4&lt;&gt;DU$4))*DU39</f>
        <v>-163180.32950482762</v>
      </c>
      <c r="DW39" s="75">
        <f>(1+INDEX('Inputs &amp; Drivers'!$H$52:$H$62,MATCH(Model!DW$4,'Inputs &amp; Drivers'!$B$52:$B$62,0))*(DW$4&lt;&gt;DV$4))*DV39</f>
        <v>-163180.32950482762</v>
      </c>
      <c r="DX39" s="75">
        <f>(1+INDEX('Inputs &amp; Drivers'!$H$52:$H$62,MATCH(Model!DX$4,'Inputs &amp; Drivers'!$B$52:$B$62,0))*(DX$4&lt;&gt;DW$4))*DW39</f>
        <v>-163180.32950482762</v>
      </c>
      <c r="DY39" s="75">
        <f>(1+INDEX('Inputs &amp; Drivers'!$H$52:$H$62,MATCH(Model!DY$4,'Inputs &amp; Drivers'!$B$52:$B$62,0))*(DY$4&lt;&gt;DX$4))*DX39</f>
        <v>-163180.32950482762</v>
      </c>
      <c r="DZ39" s="75">
        <f>(1+INDEX('Inputs &amp; Drivers'!$H$52:$H$62,MATCH(Model!DZ$4,'Inputs &amp; Drivers'!$B$52:$B$62,0))*(DZ$4&lt;&gt;DY$4))*DY39</f>
        <v>-166443.93609492417</v>
      </c>
      <c r="EA39" s="75">
        <f>(1+INDEX('Inputs &amp; Drivers'!$H$52:$H$62,MATCH(Model!EA$4,'Inputs &amp; Drivers'!$B$52:$B$62,0))*(EA$4&lt;&gt;DZ$4))*DZ39</f>
        <v>-166443.93609492417</v>
      </c>
      <c r="EB39" s="75">
        <f>(1+INDEX('Inputs &amp; Drivers'!$H$52:$H$62,MATCH(Model!EB$4,'Inputs &amp; Drivers'!$B$52:$B$62,0))*(EB$4&lt;&gt;EA$4))*EA39</f>
        <v>-166443.93609492417</v>
      </c>
      <c r="EC39" s="75">
        <f>(1+INDEX('Inputs &amp; Drivers'!$H$52:$H$62,MATCH(Model!EC$4,'Inputs &amp; Drivers'!$B$52:$B$62,0))*(EC$4&lt;&gt;EB$4))*EB39</f>
        <v>-166443.93609492417</v>
      </c>
      <c r="ED39" s="75">
        <f>(1+INDEX('Inputs &amp; Drivers'!$H$52:$H$62,MATCH(Model!ED$4,'Inputs &amp; Drivers'!$B$52:$B$62,0))*(ED$4&lt;&gt;EC$4))*EC39</f>
        <v>-166443.93609492417</v>
      </c>
      <c r="EE39" s="75">
        <f>(1+INDEX('Inputs &amp; Drivers'!$H$52:$H$62,MATCH(Model!EE$4,'Inputs &amp; Drivers'!$B$52:$B$62,0))*(EE$4&lt;&gt;ED$4))*ED39</f>
        <v>-166443.93609492417</v>
      </c>
      <c r="EF39" s="75">
        <f>(1+INDEX('Inputs &amp; Drivers'!$H$52:$H$62,MATCH(Model!EF$4,'Inputs &amp; Drivers'!$B$52:$B$62,0))*(EF$4&lt;&gt;EE$4))*EE39</f>
        <v>-166443.93609492417</v>
      </c>
      <c r="EG39" s="75">
        <f>(1+INDEX('Inputs &amp; Drivers'!$H$52:$H$62,MATCH(Model!EG$4,'Inputs &amp; Drivers'!$B$52:$B$62,0))*(EG$4&lt;&gt;EF$4))*EF39</f>
        <v>-166443.93609492417</v>
      </c>
      <c r="EH39" s="75">
        <f>(1+INDEX('Inputs &amp; Drivers'!$H$52:$H$62,MATCH(Model!EH$4,'Inputs &amp; Drivers'!$B$52:$B$62,0))*(EH$4&lt;&gt;EG$4))*EG39</f>
        <v>-166443.93609492417</v>
      </c>
      <c r="EI39" s="75">
        <f>(1+INDEX('Inputs &amp; Drivers'!$H$52:$H$62,MATCH(Model!EI$4,'Inputs &amp; Drivers'!$B$52:$B$62,0))*(EI$4&lt;&gt;EH$4))*EH39</f>
        <v>-166443.93609492417</v>
      </c>
      <c r="EJ39" s="75">
        <f>(1+INDEX('Inputs &amp; Drivers'!$H$52:$H$62,MATCH(Model!EJ$4,'Inputs &amp; Drivers'!$B$52:$B$62,0))*(EJ$4&lt;&gt;EI$4))*EI39</f>
        <v>-166443.93609492417</v>
      </c>
      <c r="EK39" s="75">
        <f>(1+INDEX('Inputs &amp; Drivers'!$H$52:$H$62,MATCH(Model!EK$4,'Inputs &amp; Drivers'!$B$52:$B$62,0))*(EK$4&lt;&gt;EJ$4))*EJ39</f>
        <v>-166443.93609492417</v>
      </c>
      <c r="EM39" s="109">
        <f t="shared" si="517"/>
        <v>0</v>
      </c>
      <c r="EN39" s="109">
        <f t="shared" si="517"/>
        <v>-1638504</v>
      </c>
      <c r="EO39" s="109">
        <f t="shared" si="517"/>
        <v>-1671274.0800000003</v>
      </c>
      <c r="EP39" s="109">
        <f t="shared" si="517"/>
        <v>-1704699.5616000006</v>
      </c>
      <c r="EQ39" s="109">
        <f t="shared" si="517"/>
        <v>-1738793.5528320007</v>
      </c>
      <c r="ER39" s="109">
        <f t="shared" si="517"/>
        <v>-1773569.4238886407</v>
      </c>
      <c r="ES39" s="109">
        <f t="shared" si="517"/>
        <v>-1809040.8123664132</v>
      </c>
      <c r="ET39" s="109">
        <f t="shared" si="517"/>
        <v>-1845221.6286137411</v>
      </c>
      <c r="EU39" s="109">
        <f t="shared" si="517"/>
        <v>-1882126.0611860168</v>
      </c>
      <c r="EV39" s="109">
        <f t="shared" si="517"/>
        <v>-1919768.5824097367</v>
      </c>
      <c r="EW39" s="109">
        <f t="shared" si="517"/>
        <v>-1958163.954057931</v>
      </c>
      <c r="EX39" s="109">
        <f t="shared" si="517"/>
        <v>-1997327.2331390895</v>
      </c>
    </row>
    <row r="40" spans="2:154" x14ac:dyDescent="0.3">
      <c r="B40" s="1" t="s">
        <v>31</v>
      </c>
      <c r="E40" s="70">
        <f>SUM('Historical Financials'!M36:O36)*4</f>
        <v>-88112</v>
      </c>
      <c r="F40" s="70">
        <f>SUM('Historical Financials'!D36:O36)</f>
        <v>-83921</v>
      </c>
      <c r="G40" s="7">
        <f t="shared" si="518"/>
        <v>352.44799999999998</v>
      </c>
      <c r="J40" s="41">
        <f>-'Inputs &amp; Drivers'!$J43/12</f>
        <v>-7342.666666666667</v>
      </c>
      <c r="K40" s="75">
        <f>(1+INDEX('Inputs &amp; Drivers'!$G$52:$G$62,MATCH(Model!K$4,'Inputs &amp; Drivers'!$B$52:$B$62,0))*(K$4&lt;&gt;J$4))*J40</f>
        <v>-7342.666666666667</v>
      </c>
      <c r="L40" s="75">
        <f>(1+INDEX('Inputs &amp; Drivers'!$G$52:$G$62,MATCH(Model!L$4,'Inputs &amp; Drivers'!$B$52:$B$62,0))*(L$4&lt;&gt;K$4))*K40</f>
        <v>-7342.666666666667</v>
      </c>
      <c r="M40" s="75">
        <f>(1+INDEX('Inputs &amp; Drivers'!$G$52:$G$62,MATCH(Model!M$4,'Inputs &amp; Drivers'!$B$52:$B$62,0))*(M$4&lt;&gt;L$4))*L40</f>
        <v>-7342.666666666667</v>
      </c>
      <c r="N40" s="75">
        <f>(1+INDEX('Inputs &amp; Drivers'!$G$52:$G$62,MATCH(Model!N$4,'Inputs &amp; Drivers'!$B$52:$B$62,0))*(N$4&lt;&gt;M$4))*M40</f>
        <v>-7342.666666666667</v>
      </c>
      <c r="O40" s="75">
        <f>(1+INDEX('Inputs &amp; Drivers'!$G$52:$G$62,MATCH(Model!O$4,'Inputs &amp; Drivers'!$B$52:$B$62,0))*(O$4&lt;&gt;N$4))*N40</f>
        <v>-7342.666666666667</v>
      </c>
      <c r="P40" s="75">
        <f>(1+INDEX('Inputs &amp; Drivers'!$G$52:$G$62,MATCH(Model!P$4,'Inputs &amp; Drivers'!$B$52:$B$62,0))*(P$4&lt;&gt;O$4))*O40</f>
        <v>-7342.666666666667</v>
      </c>
      <c r="Q40" s="75">
        <f>(1+INDEX('Inputs &amp; Drivers'!$G$52:$G$62,MATCH(Model!Q$4,'Inputs &amp; Drivers'!$B$52:$B$62,0))*(Q$4&lt;&gt;P$4))*P40</f>
        <v>-7342.666666666667</v>
      </c>
      <c r="R40" s="75">
        <f>(1+INDEX('Inputs &amp; Drivers'!$G$52:$G$62,MATCH(Model!R$4,'Inputs &amp; Drivers'!$B$52:$B$62,0))*(R$4&lt;&gt;Q$4))*Q40</f>
        <v>-7342.666666666667</v>
      </c>
      <c r="S40" s="75">
        <f>(1+INDEX('Inputs &amp; Drivers'!$G$52:$G$62,MATCH(Model!S$4,'Inputs &amp; Drivers'!$B$52:$B$62,0))*(S$4&lt;&gt;R$4))*R40</f>
        <v>-7342.666666666667</v>
      </c>
      <c r="T40" s="75">
        <f>(1+INDEX('Inputs &amp; Drivers'!$G$52:$G$62,MATCH(Model!T$4,'Inputs &amp; Drivers'!$B$52:$B$62,0))*(T$4&lt;&gt;S$4))*S40</f>
        <v>-7342.666666666667</v>
      </c>
      <c r="U40" s="75">
        <f>(1+INDEX('Inputs &amp; Drivers'!$G$52:$G$62,MATCH(Model!U$4,'Inputs &amp; Drivers'!$B$52:$B$62,0))*(U$4&lt;&gt;T$4))*T40</f>
        <v>-7342.666666666667</v>
      </c>
      <c r="V40" s="75">
        <f>(1+INDEX('Inputs &amp; Drivers'!$G$52:$G$62,MATCH(Model!V$4,'Inputs &amp; Drivers'!$B$52:$B$62,0))*(V$4&lt;&gt;U$4))*U40</f>
        <v>-7562.9466666666676</v>
      </c>
      <c r="W40" s="75">
        <f>(1+INDEX('Inputs &amp; Drivers'!$G$52:$G$62,MATCH(Model!W$4,'Inputs &amp; Drivers'!$B$52:$B$62,0))*(W$4&lt;&gt;V$4))*V40</f>
        <v>-7562.9466666666676</v>
      </c>
      <c r="X40" s="75">
        <f>(1+INDEX('Inputs &amp; Drivers'!$G$52:$G$62,MATCH(Model!X$4,'Inputs &amp; Drivers'!$B$52:$B$62,0))*(X$4&lt;&gt;W$4))*W40</f>
        <v>-7562.9466666666676</v>
      </c>
      <c r="Y40" s="75">
        <f>(1+INDEX('Inputs &amp; Drivers'!$G$52:$G$62,MATCH(Model!Y$4,'Inputs &amp; Drivers'!$B$52:$B$62,0))*(Y$4&lt;&gt;X$4))*X40</f>
        <v>-7562.9466666666676</v>
      </c>
      <c r="Z40" s="75">
        <f>(1+INDEX('Inputs &amp; Drivers'!$G$52:$G$62,MATCH(Model!Z$4,'Inputs &amp; Drivers'!$B$52:$B$62,0))*(Z$4&lt;&gt;Y$4))*Y40</f>
        <v>-7562.9466666666676</v>
      </c>
      <c r="AA40" s="75">
        <f>(1+INDEX('Inputs &amp; Drivers'!$G$52:$G$62,MATCH(Model!AA$4,'Inputs &amp; Drivers'!$B$52:$B$62,0))*(AA$4&lt;&gt;Z$4))*Z40</f>
        <v>-7562.9466666666676</v>
      </c>
      <c r="AB40" s="75">
        <f>(1+INDEX('Inputs &amp; Drivers'!$G$52:$G$62,MATCH(Model!AB$4,'Inputs &amp; Drivers'!$B$52:$B$62,0))*(AB$4&lt;&gt;AA$4))*AA40</f>
        <v>-7562.9466666666676</v>
      </c>
      <c r="AC40" s="75">
        <f>(1+INDEX('Inputs &amp; Drivers'!$G$52:$G$62,MATCH(Model!AC$4,'Inputs &amp; Drivers'!$B$52:$B$62,0))*(AC$4&lt;&gt;AB$4))*AB40</f>
        <v>-7562.9466666666676</v>
      </c>
      <c r="AD40" s="75">
        <f>(1+INDEX('Inputs &amp; Drivers'!$G$52:$G$62,MATCH(Model!AD$4,'Inputs &amp; Drivers'!$B$52:$B$62,0))*(AD$4&lt;&gt;AC$4))*AC40</f>
        <v>-7562.9466666666676</v>
      </c>
      <c r="AE40" s="75">
        <f>(1+INDEX('Inputs &amp; Drivers'!$G$52:$G$62,MATCH(Model!AE$4,'Inputs &amp; Drivers'!$B$52:$B$62,0))*(AE$4&lt;&gt;AD$4))*AD40</f>
        <v>-7562.9466666666676</v>
      </c>
      <c r="AF40" s="75">
        <f>(1+INDEX('Inputs &amp; Drivers'!$G$52:$G$62,MATCH(Model!AF$4,'Inputs &amp; Drivers'!$B$52:$B$62,0))*(AF$4&lt;&gt;AE$4))*AE40</f>
        <v>-7562.9466666666676</v>
      </c>
      <c r="AG40" s="75">
        <f>(1+INDEX('Inputs &amp; Drivers'!$G$52:$G$62,MATCH(Model!AG$4,'Inputs &amp; Drivers'!$B$52:$B$62,0))*(AG$4&lt;&gt;AF$4))*AF40</f>
        <v>-7562.9466666666676</v>
      </c>
      <c r="AH40" s="75">
        <f>(1+INDEX('Inputs &amp; Drivers'!$G$52:$G$62,MATCH(Model!AH$4,'Inputs &amp; Drivers'!$B$52:$B$62,0))*(AH$4&lt;&gt;AG$4))*AG40</f>
        <v>-7789.8350666666674</v>
      </c>
      <c r="AI40" s="75">
        <f>(1+INDEX('Inputs &amp; Drivers'!$G$52:$G$62,MATCH(Model!AI$4,'Inputs &amp; Drivers'!$B$52:$B$62,0))*(AI$4&lt;&gt;AH$4))*AH40</f>
        <v>-7789.8350666666674</v>
      </c>
      <c r="AJ40" s="75">
        <f>(1+INDEX('Inputs &amp; Drivers'!$G$52:$G$62,MATCH(Model!AJ$4,'Inputs &amp; Drivers'!$B$52:$B$62,0))*(AJ$4&lt;&gt;AI$4))*AI40</f>
        <v>-7789.8350666666674</v>
      </c>
      <c r="AK40" s="75">
        <f>(1+INDEX('Inputs &amp; Drivers'!$G$52:$G$62,MATCH(Model!AK$4,'Inputs &amp; Drivers'!$B$52:$B$62,0))*(AK$4&lt;&gt;AJ$4))*AJ40</f>
        <v>-7789.8350666666674</v>
      </c>
      <c r="AL40" s="75">
        <f>(1+INDEX('Inputs &amp; Drivers'!$G$52:$G$62,MATCH(Model!AL$4,'Inputs &amp; Drivers'!$B$52:$B$62,0))*(AL$4&lt;&gt;AK$4))*AK40</f>
        <v>-7789.8350666666674</v>
      </c>
      <c r="AM40" s="75">
        <f>(1+INDEX('Inputs &amp; Drivers'!$G$52:$G$62,MATCH(Model!AM$4,'Inputs &amp; Drivers'!$B$52:$B$62,0))*(AM$4&lt;&gt;AL$4))*AL40</f>
        <v>-7789.8350666666674</v>
      </c>
      <c r="AN40" s="75">
        <f>(1+INDEX('Inputs &amp; Drivers'!$G$52:$G$62,MATCH(Model!AN$4,'Inputs &amp; Drivers'!$B$52:$B$62,0))*(AN$4&lt;&gt;AM$4))*AM40</f>
        <v>-7789.8350666666674</v>
      </c>
      <c r="AO40" s="75">
        <f>(1+INDEX('Inputs &amp; Drivers'!$G$52:$G$62,MATCH(Model!AO$4,'Inputs &amp; Drivers'!$B$52:$B$62,0))*(AO$4&lt;&gt;AN$4))*AN40</f>
        <v>-7789.8350666666674</v>
      </c>
      <c r="AP40" s="75">
        <f>(1+INDEX('Inputs &amp; Drivers'!$G$52:$G$62,MATCH(Model!AP$4,'Inputs &amp; Drivers'!$B$52:$B$62,0))*(AP$4&lt;&gt;AO$4))*AO40</f>
        <v>-7789.8350666666674</v>
      </c>
      <c r="AQ40" s="75">
        <f>(1+INDEX('Inputs &amp; Drivers'!$G$52:$G$62,MATCH(Model!AQ$4,'Inputs &amp; Drivers'!$B$52:$B$62,0))*(AQ$4&lt;&gt;AP$4))*AP40</f>
        <v>-7789.8350666666674</v>
      </c>
      <c r="AR40" s="75">
        <f>(1+INDEX('Inputs &amp; Drivers'!$G$52:$G$62,MATCH(Model!AR$4,'Inputs &amp; Drivers'!$B$52:$B$62,0))*(AR$4&lt;&gt;AQ$4))*AQ40</f>
        <v>-7789.8350666666674</v>
      </c>
      <c r="AS40" s="75">
        <f>(1+INDEX('Inputs &amp; Drivers'!$G$52:$G$62,MATCH(Model!AS$4,'Inputs &amp; Drivers'!$B$52:$B$62,0))*(AS$4&lt;&gt;AR$4))*AR40</f>
        <v>-7789.8350666666674</v>
      </c>
      <c r="AT40" s="75">
        <f>(1+INDEX('Inputs &amp; Drivers'!$G$52:$G$62,MATCH(Model!AT$4,'Inputs &amp; Drivers'!$B$52:$B$62,0))*(AT$4&lt;&gt;AS$4))*AS40</f>
        <v>-8023.5301186666675</v>
      </c>
      <c r="AU40" s="75">
        <f>(1+INDEX('Inputs &amp; Drivers'!$G$52:$G$62,MATCH(Model!AU$4,'Inputs &amp; Drivers'!$B$52:$B$62,0))*(AU$4&lt;&gt;AT$4))*AT40</f>
        <v>-8023.5301186666675</v>
      </c>
      <c r="AV40" s="75">
        <f>(1+INDEX('Inputs &amp; Drivers'!$G$52:$G$62,MATCH(Model!AV$4,'Inputs &amp; Drivers'!$B$52:$B$62,0))*(AV$4&lt;&gt;AU$4))*AU40</f>
        <v>-8023.5301186666675</v>
      </c>
      <c r="AW40" s="75">
        <f>(1+INDEX('Inputs &amp; Drivers'!$G$52:$G$62,MATCH(Model!AW$4,'Inputs &amp; Drivers'!$B$52:$B$62,0))*(AW$4&lt;&gt;AV$4))*AV40</f>
        <v>-8023.5301186666675</v>
      </c>
      <c r="AX40" s="75">
        <f>(1+INDEX('Inputs &amp; Drivers'!$G$52:$G$62,MATCH(Model!AX$4,'Inputs &amp; Drivers'!$B$52:$B$62,0))*(AX$4&lt;&gt;AW$4))*AW40</f>
        <v>-8023.5301186666675</v>
      </c>
      <c r="AY40" s="75">
        <f>(1+INDEX('Inputs &amp; Drivers'!$G$52:$G$62,MATCH(Model!AY$4,'Inputs &amp; Drivers'!$B$52:$B$62,0))*(AY$4&lt;&gt;AX$4))*AX40</f>
        <v>-8023.5301186666675</v>
      </c>
      <c r="AZ40" s="75">
        <f>(1+INDEX('Inputs &amp; Drivers'!$G$52:$G$62,MATCH(Model!AZ$4,'Inputs &amp; Drivers'!$B$52:$B$62,0))*(AZ$4&lt;&gt;AY$4))*AY40</f>
        <v>-8023.5301186666675</v>
      </c>
      <c r="BA40" s="75">
        <f>(1+INDEX('Inputs &amp; Drivers'!$G$52:$G$62,MATCH(Model!BA$4,'Inputs &amp; Drivers'!$B$52:$B$62,0))*(BA$4&lt;&gt;AZ$4))*AZ40</f>
        <v>-8023.5301186666675</v>
      </c>
      <c r="BB40" s="75">
        <f>(1+INDEX('Inputs &amp; Drivers'!$G$52:$G$62,MATCH(Model!BB$4,'Inputs &amp; Drivers'!$B$52:$B$62,0))*(BB$4&lt;&gt;BA$4))*BA40</f>
        <v>-8023.5301186666675</v>
      </c>
      <c r="BC40" s="75">
        <f>(1+INDEX('Inputs &amp; Drivers'!$G$52:$G$62,MATCH(Model!BC$4,'Inputs &amp; Drivers'!$B$52:$B$62,0))*(BC$4&lt;&gt;BB$4))*BB40</f>
        <v>-8023.5301186666675</v>
      </c>
      <c r="BD40" s="75">
        <f>(1+INDEX('Inputs &amp; Drivers'!$G$52:$G$62,MATCH(Model!BD$4,'Inputs &amp; Drivers'!$B$52:$B$62,0))*(BD$4&lt;&gt;BC$4))*BC40</f>
        <v>-8023.5301186666675</v>
      </c>
      <c r="BE40" s="75">
        <f>(1+INDEX('Inputs &amp; Drivers'!$G$52:$G$62,MATCH(Model!BE$4,'Inputs &amp; Drivers'!$B$52:$B$62,0))*(BE$4&lt;&gt;BD$4))*BD40</f>
        <v>-8023.5301186666675</v>
      </c>
      <c r="BF40" s="75">
        <f>(1+INDEX('Inputs &amp; Drivers'!$G$52:$G$62,MATCH(Model!BF$4,'Inputs &amp; Drivers'!$B$52:$B$62,0))*(BF$4&lt;&gt;BE$4))*BE40</f>
        <v>-8264.236022226667</v>
      </c>
      <c r="BG40" s="75">
        <f>(1+INDEX('Inputs &amp; Drivers'!$G$52:$G$62,MATCH(Model!BG$4,'Inputs &amp; Drivers'!$B$52:$B$62,0))*(BG$4&lt;&gt;BF$4))*BF40</f>
        <v>-8264.236022226667</v>
      </c>
      <c r="BH40" s="75">
        <f>(1+INDEX('Inputs &amp; Drivers'!$G$52:$G$62,MATCH(Model!BH$4,'Inputs &amp; Drivers'!$B$52:$B$62,0))*(BH$4&lt;&gt;BG$4))*BG40</f>
        <v>-8264.236022226667</v>
      </c>
      <c r="BI40" s="75">
        <f>(1+INDEX('Inputs &amp; Drivers'!$G$52:$G$62,MATCH(Model!BI$4,'Inputs &amp; Drivers'!$B$52:$B$62,0))*(BI$4&lt;&gt;BH$4))*BH40</f>
        <v>-8264.236022226667</v>
      </c>
      <c r="BJ40" s="75">
        <f>(1+INDEX('Inputs &amp; Drivers'!$G$52:$G$62,MATCH(Model!BJ$4,'Inputs &amp; Drivers'!$B$52:$B$62,0))*(BJ$4&lt;&gt;BI$4))*BI40</f>
        <v>-8264.236022226667</v>
      </c>
      <c r="BK40" s="75">
        <f>(1+INDEX('Inputs &amp; Drivers'!$G$52:$G$62,MATCH(Model!BK$4,'Inputs &amp; Drivers'!$B$52:$B$62,0))*(BK$4&lt;&gt;BJ$4))*BJ40</f>
        <v>-8264.236022226667</v>
      </c>
      <c r="BL40" s="75">
        <f>(1+INDEX('Inputs &amp; Drivers'!$G$52:$G$62,MATCH(Model!BL$4,'Inputs &amp; Drivers'!$B$52:$B$62,0))*(BL$4&lt;&gt;BK$4))*BK40</f>
        <v>-8264.236022226667</v>
      </c>
      <c r="BM40" s="75">
        <f>(1+INDEX('Inputs &amp; Drivers'!$G$52:$G$62,MATCH(Model!BM$4,'Inputs &amp; Drivers'!$B$52:$B$62,0))*(BM$4&lt;&gt;BL$4))*BL40</f>
        <v>-8264.236022226667</v>
      </c>
      <c r="BN40" s="75">
        <f>(1+INDEX('Inputs &amp; Drivers'!$G$52:$G$62,MATCH(Model!BN$4,'Inputs &amp; Drivers'!$B$52:$B$62,0))*(BN$4&lt;&gt;BM$4))*BM40</f>
        <v>-8264.236022226667</v>
      </c>
      <c r="BO40" s="75">
        <f>(1+INDEX('Inputs &amp; Drivers'!$G$52:$G$62,MATCH(Model!BO$4,'Inputs &amp; Drivers'!$B$52:$B$62,0))*(BO$4&lt;&gt;BN$4))*BN40</f>
        <v>-8264.236022226667</v>
      </c>
      <c r="BP40" s="75">
        <f>(1+INDEX('Inputs &amp; Drivers'!$G$52:$G$62,MATCH(Model!BP$4,'Inputs &amp; Drivers'!$B$52:$B$62,0))*(BP$4&lt;&gt;BO$4))*BO40</f>
        <v>-8264.236022226667</v>
      </c>
      <c r="BQ40" s="75">
        <f>(1+INDEX('Inputs &amp; Drivers'!$G$52:$G$62,MATCH(Model!BQ$4,'Inputs &amp; Drivers'!$B$52:$B$62,0))*(BQ$4&lt;&gt;BP$4))*BP40</f>
        <v>-8264.236022226667</v>
      </c>
      <c r="BR40" s="75">
        <f>(1+INDEX('Inputs &amp; Drivers'!$G$52:$G$62,MATCH(Model!BR$4,'Inputs &amp; Drivers'!$B$52:$B$62,0))*(BR$4&lt;&gt;BQ$4))*BQ40</f>
        <v>-8512.163102893468</v>
      </c>
      <c r="BS40" s="75">
        <f>(1+INDEX('Inputs &amp; Drivers'!$G$52:$G$62,MATCH(Model!BS$4,'Inputs &amp; Drivers'!$B$52:$B$62,0))*(BS$4&lt;&gt;BR$4))*BR40</f>
        <v>-8512.163102893468</v>
      </c>
      <c r="BT40" s="75">
        <f>(1+INDEX('Inputs &amp; Drivers'!$G$52:$G$62,MATCH(Model!BT$4,'Inputs &amp; Drivers'!$B$52:$B$62,0))*(BT$4&lt;&gt;BS$4))*BS40</f>
        <v>-8512.163102893468</v>
      </c>
      <c r="BU40" s="75">
        <f>(1+INDEX('Inputs &amp; Drivers'!$G$52:$G$62,MATCH(Model!BU$4,'Inputs &amp; Drivers'!$B$52:$B$62,0))*(BU$4&lt;&gt;BT$4))*BT40</f>
        <v>-8512.163102893468</v>
      </c>
      <c r="BV40" s="75">
        <f>(1+INDEX('Inputs &amp; Drivers'!$G$52:$G$62,MATCH(Model!BV$4,'Inputs &amp; Drivers'!$B$52:$B$62,0))*(BV$4&lt;&gt;BU$4))*BU40</f>
        <v>-8512.163102893468</v>
      </c>
      <c r="BW40" s="75">
        <f>(1+INDEX('Inputs &amp; Drivers'!$G$52:$G$62,MATCH(Model!BW$4,'Inputs &amp; Drivers'!$B$52:$B$62,0))*(BW$4&lt;&gt;BV$4))*BV40</f>
        <v>-8512.163102893468</v>
      </c>
      <c r="BX40" s="75">
        <f>(1+INDEX('Inputs &amp; Drivers'!$G$52:$G$62,MATCH(Model!BX$4,'Inputs &amp; Drivers'!$B$52:$B$62,0))*(BX$4&lt;&gt;BW$4))*BW40</f>
        <v>-8512.163102893468</v>
      </c>
      <c r="BY40" s="75">
        <f>(1+INDEX('Inputs &amp; Drivers'!$G$52:$G$62,MATCH(Model!BY$4,'Inputs &amp; Drivers'!$B$52:$B$62,0))*(BY$4&lt;&gt;BX$4))*BX40</f>
        <v>-8512.163102893468</v>
      </c>
      <c r="BZ40" s="75">
        <f>(1+INDEX('Inputs &amp; Drivers'!$G$52:$G$62,MATCH(Model!BZ$4,'Inputs &amp; Drivers'!$B$52:$B$62,0))*(BZ$4&lt;&gt;BY$4))*BY40</f>
        <v>-8512.163102893468</v>
      </c>
      <c r="CA40" s="75">
        <f>(1+INDEX('Inputs &amp; Drivers'!$G$52:$G$62,MATCH(Model!CA$4,'Inputs &amp; Drivers'!$B$52:$B$62,0))*(CA$4&lt;&gt;BZ$4))*BZ40</f>
        <v>-8512.163102893468</v>
      </c>
      <c r="CB40" s="75">
        <f>(1+INDEX('Inputs &amp; Drivers'!$G$52:$G$62,MATCH(Model!CB$4,'Inputs &amp; Drivers'!$B$52:$B$62,0))*(CB$4&lt;&gt;CA$4))*CA40</f>
        <v>-8512.163102893468</v>
      </c>
      <c r="CC40" s="75">
        <f>(1+INDEX('Inputs &amp; Drivers'!$G$52:$G$62,MATCH(Model!CC$4,'Inputs &amp; Drivers'!$B$52:$B$62,0))*(CC$4&lt;&gt;CB$4))*CB40</f>
        <v>-8512.163102893468</v>
      </c>
      <c r="CD40" s="75">
        <f>(1+INDEX('Inputs &amp; Drivers'!$G$52:$G$62,MATCH(Model!CD$4,'Inputs &amp; Drivers'!$B$52:$B$62,0))*(CD$4&lt;&gt;CC$4))*CC40</f>
        <v>-8767.527995980272</v>
      </c>
      <c r="CE40" s="75">
        <f>(1+INDEX('Inputs &amp; Drivers'!$G$52:$G$62,MATCH(Model!CE$4,'Inputs &amp; Drivers'!$B$52:$B$62,0))*(CE$4&lt;&gt;CD$4))*CD40</f>
        <v>-8767.527995980272</v>
      </c>
      <c r="CF40" s="75">
        <f>(1+INDEX('Inputs &amp; Drivers'!$G$52:$G$62,MATCH(Model!CF$4,'Inputs &amp; Drivers'!$B$52:$B$62,0))*(CF$4&lt;&gt;CE$4))*CE40</f>
        <v>-8767.527995980272</v>
      </c>
      <c r="CG40" s="75">
        <f>(1+INDEX('Inputs &amp; Drivers'!$G$52:$G$62,MATCH(Model!CG$4,'Inputs &amp; Drivers'!$B$52:$B$62,0))*(CG$4&lt;&gt;CF$4))*CF40</f>
        <v>-8767.527995980272</v>
      </c>
      <c r="CH40" s="75">
        <f>(1+INDEX('Inputs &amp; Drivers'!$G$52:$G$62,MATCH(Model!CH$4,'Inputs &amp; Drivers'!$B$52:$B$62,0))*(CH$4&lt;&gt;CG$4))*CG40</f>
        <v>-8767.527995980272</v>
      </c>
      <c r="CI40" s="75">
        <f>(1+INDEX('Inputs &amp; Drivers'!$G$52:$G$62,MATCH(Model!CI$4,'Inputs &amp; Drivers'!$B$52:$B$62,0))*(CI$4&lt;&gt;CH$4))*CH40</f>
        <v>-8767.527995980272</v>
      </c>
      <c r="CJ40" s="75">
        <f>(1+INDEX('Inputs &amp; Drivers'!$G$52:$G$62,MATCH(Model!CJ$4,'Inputs &amp; Drivers'!$B$52:$B$62,0))*(CJ$4&lt;&gt;CI$4))*CI40</f>
        <v>-8767.527995980272</v>
      </c>
      <c r="CK40" s="75">
        <f>(1+INDEX('Inputs &amp; Drivers'!$G$52:$G$62,MATCH(Model!CK$4,'Inputs &amp; Drivers'!$B$52:$B$62,0))*(CK$4&lt;&gt;CJ$4))*CJ40</f>
        <v>-8767.527995980272</v>
      </c>
      <c r="CL40" s="75">
        <f>(1+INDEX('Inputs &amp; Drivers'!$G$52:$G$62,MATCH(Model!CL$4,'Inputs &amp; Drivers'!$B$52:$B$62,0))*(CL$4&lt;&gt;CK$4))*CK40</f>
        <v>-8767.527995980272</v>
      </c>
      <c r="CM40" s="75">
        <f>(1+INDEX('Inputs &amp; Drivers'!$G$52:$G$62,MATCH(Model!CM$4,'Inputs &amp; Drivers'!$B$52:$B$62,0))*(CM$4&lt;&gt;CL$4))*CL40</f>
        <v>-8767.527995980272</v>
      </c>
      <c r="CN40" s="75">
        <f>(1+INDEX('Inputs &amp; Drivers'!$G$52:$G$62,MATCH(Model!CN$4,'Inputs &amp; Drivers'!$B$52:$B$62,0))*(CN$4&lt;&gt;CM$4))*CM40</f>
        <v>-8767.527995980272</v>
      </c>
      <c r="CO40" s="75">
        <f>(1+INDEX('Inputs &amp; Drivers'!$G$52:$G$62,MATCH(Model!CO$4,'Inputs &amp; Drivers'!$B$52:$B$62,0))*(CO$4&lt;&gt;CN$4))*CN40</f>
        <v>-8767.527995980272</v>
      </c>
      <c r="CP40" s="75">
        <f>(1+INDEX('Inputs &amp; Drivers'!$G$52:$G$62,MATCH(Model!CP$4,'Inputs &amp; Drivers'!$B$52:$B$62,0))*(CP$4&lt;&gt;CO$4))*CO40</f>
        <v>-9030.5538358596805</v>
      </c>
      <c r="CQ40" s="75">
        <f>(1+INDEX('Inputs &amp; Drivers'!$G$52:$G$62,MATCH(Model!CQ$4,'Inputs &amp; Drivers'!$B$52:$B$62,0))*(CQ$4&lt;&gt;CP$4))*CP40</f>
        <v>-9030.5538358596805</v>
      </c>
      <c r="CR40" s="75">
        <f>(1+INDEX('Inputs &amp; Drivers'!$G$52:$G$62,MATCH(Model!CR$4,'Inputs &amp; Drivers'!$B$52:$B$62,0))*(CR$4&lt;&gt;CQ$4))*CQ40</f>
        <v>-9030.5538358596805</v>
      </c>
      <c r="CS40" s="75">
        <f>(1+INDEX('Inputs &amp; Drivers'!$G$52:$G$62,MATCH(Model!CS$4,'Inputs &amp; Drivers'!$B$52:$B$62,0))*(CS$4&lt;&gt;CR$4))*CR40</f>
        <v>-9030.5538358596805</v>
      </c>
      <c r="CT40" s="75">
        <f>(1+INDEX('Inputs &amp; Drivers'!$G$52:$G$62,MATCH(Model!CT$4,'Inputs &amp; Drivers'!$B$52:$B$62,0))*(CT$4&lt;&gt;CS$4))*CS40</f>
        <v>-9030.5538358596805</v>
      </c>
      <c r="CU40" s="75">
        <f>(1+INDEX('Inputs &amp; Drivers'!$G$52:$G$62,MATCH(Model!CU$4,'Inputs &amp; Drivers'!$B$52:$B$62,0))*(CU$4&lt;&gt;CT$4))*CT40</f>
        <v>-9030.5538358596805</v>
      </c>
      <c r="CV40" s="75">
        <f>(1+INDEX('Inputs &amp; Drivers'!$G$52:$G$62,MATCH(Model!CV$4,'Inputs &amp; Drivers'!$B$52:$B$62,0))*(CV$4&lt;&gt;CU$4))*CU40</f>
        <v>-9030.5538358596805</v>
      </c>
      <c r="CW40" s="75">
        <f>(1+INDEX('Inputs &amp; Drivers'!$G$52:$G$62,MATCH(Model!CW$4,'Inputs &amp; Drivers'!$B$52:$B$62,0))*(CW$4&lt;&gt;CV$4))*CV40</f>
        <v>-9030.5538358596805</v>
      </c>
      <c r="CX40" s="75">
        <f>(1+INDEX('Inputs &amp; Drivers'!$G$52:$G$62,MATCH(Model!CX$4,'Inputs &amp; Drivers'!$B$52:$B$62,0))*(CX$4&lt;&gt;CW$4))*CW40</f>
        <v>-9030.5538358596805</v>
      </c>
      <c r="CY40" s="75">
        <f>(1+INDEX('Inputs &amp; Drivers'!$G$52:$G$62,MATCH(Model!CY$4,'Inputs &amp; Drivers'!$B$52:$B$62,0))*(CY$4&lt;&gt;CX$4))*CX40</f>
        <v>-9030.5538358596805</v>
      </c>
      <c r="CZ40" s="75">
        <f>(1+INDEX('Inputs &amp; Drivers'!$G$52:$G$62,MATCH(Model!CZ$4,'Inputs &amp; Drivers'!$B$52:$B$62,0))*(CZ$4&lt;&gt;CY$4))*CY40</f>
        <v>-9030.5538358596805</v>
      </c>
      <c r="DA40" s="75">
        <f>(1+INDEX('Inputs &amp; Drivers'!$G$52:$G$62,MATCH(Model!DA$4,'Inputs &amp; Drivers'!$B$52:$B$62,0))*(DA$4&lt;&gt;CZ$4))*CZ40</f>
        <v>-9030.5538358596805</v>
      </c>
      <c r="DB40" s="75">
        <f>(1+INDEX('Inputs &amp; Drivers'!$G$52:$G$62,MATCH(Model!DB$4,'Inputs &amp; Drivers'!$B$52:$B$62,0))*(DB$4&lt;&gt;DA$4))*DA40</f>
        <v>-9301.4704509354706</v>
      </c>
      <c r="DC40" s="75">
        <f>(1+INDEX('Inputs &amp; Drivers'!$G$52:$G$62,MATCH(Model!DC$4,'Inputs &amp; Drivers'!$B$52:$B$62,0))*(DC$4&lt;&gt;DB$4))*DB40</f>
        <v>-9301.4704509354706</v>
      </c>
      <c r="DD40" s="75">
        <f>(1+INDEX('Inputs &amp; Drivers'!$G$52:$G$62,MATCH(Model!DD$4,'Inputs &amp; Drivers'!$B$52:$B$62,0))*(DD$4&lt;&gt;DC$4))*DC40</f>
        <v>-9301.4704509354706</v>
      </c>
      <c r="DE40" s="75">
        <f>(1+INDEX('Inputs &amp; Drivers'!$G$52:$G$62,MATCH(Model!DE$4,'Inputs &amp; Drivers'!$B$52:$B$62,0))*(DE$4&lt;&gt;DD$4))*DD40</f>
        <v>-9301.4704509354706</v>
      </c>
      <c r="DF40" s="75">
        <f>(1+INDEX('Inputs &amp; Drivers'!$G$52:$G$62,MATCH(Model!DF$4,'Inputs &amp; Drivers'!$B$52:$B$62,0))*(DF$4&lt;&gt;DE$4))*DE40</f>
        <v>-9301.4704509354706</v>
      </c>
      <c r="DG40" s="75">
        <f>(1+INDEX('Inputs &amp; Drivers'!$G$52:$G$62,MATCH(Model!DG$4,'Inputs &amp; Drivers'!$B$52:$B$62,0))*(DG$4&lt;&gt;DF$4))*DF40</f>
        <v>-9301.4704509354706</v>
      </c>
      <c r="DH40" s="75">
        <f>(1+INDEX('Inputs &amp; Drivers'!$G$52:$G$62,MATCH(Model!DH$4,'Inputs &amp; Drivers'!$B$52:$B$62,0))*(DH$4&lt;&gt;DG$4))*DG40</f>
        <v>-9301.4704509354706</v>
      </c>
      <c r="DI40" s="75">
        <f>(1+INDEX('Inputs &amp; Drivers'!$G$52:$G$62,MATCH(Model!DI$4,'Inputs &amp; Drivers'!$B$52:$B$62,0))*(DI$4&lt;&gt;DH$4))*DH40</f>
        <v>-9301.4704509354706</v>
      </c>
      <c r="DJ40" s="75">
        <f>(1+INDEX('Inputs &amp; Drivers'!$G$52:$G$62,MATCH(Model!DJ$4,'Inputs &amp; Drivers'!$B$52:$B$62,0))*(DJ$4&lt;&gt;DI$4))*DI40</f>
        <v>-9301.4704509354706</v>
      </c>
      <c r="DK40" s="75">
        <f>(1+INDEX('Inputs &amp; Drivers'!$G$52:$G$62,MATCH(Model!DK$4,'Inputs &amp; Drivers'!$B$52:$B$62,0))*(DK$4&lt;&gt;DJ$4))*DJ40</f>
        <v>-9301.4704509354706</v>
      </c>
      <c r="DL40" s="75">
        <f>(1+INDEX('Inputs &amp; Drivers'!$G$52:$G$62,MATCH(Model!DL$4,'Inputs &amp; Drivers'!$B$52:$B$62,0))*(DL$4&lt;&gt;DK$4))*DK40</f>
        <v>-9301.4704509354706</v>
      </c>
      <c r="DM40" s="75">
        <f>(1+INDEX('Inputs &amp; Drivers'!$G$52:$G$62,MATCH(Model!DM$4,'Inputs &amp; Drivers'!$B$52:$B$62,0))*(DM$4&lt;&gt;DL$4))*DL40</f>
        <v>-9301.4704509354706</v>
      </c>
      <c r="DN40" s="75">
        <f>(1+INDEX('Inputs &amp; Drivers'!$G$52:$G$62,MATCH(Model!DN$4,'Inputs &amp; Drivers'!$B$52:$B$62,0))*(DN$4&lt;&gt;DM$4))*DM40</f>
        <v>-9580.514564463534</v>
      </c>
      <c r="DO40" s="75">
        <f>(1+INDEX('Inputs &amp; Drivers'!$G$52:$G$62,MATCH(Model!DO$4,'Inputs &amp; Drivers'!$B$52:$B$62,0))*(DO$4&lt;&gt;DN$4))*DN40</f>
        <v>-9580.514564463534</v>
      </c>
      <c r="DP40" s="75">
        <f>(1+INDEX('Inputs &amp; Drivers'!$G$52:$G$62,MATCH(Model!DP$4,'Inputs &amp; Drivers'!$B$52:$B$62,0))*(DP$4&lt;&gt;DO$4))*DO40</f>
        <v>-9580.514564463534</v>
      </c>
      <c r="DQ40" s="75">
        <f>(1+INDEX('Inputs &amp; Drivers'!$G$52:$G$62,MATCH(Model!DQ$4,'Inputs &amp; Drivers'!$B$52:$B$62,0))*(DQ$4&lt;&gt;DP$4))*DP40</f>
        <v>-9580.514564463534</v>
      </c>
      <c r="DR40" s="75">
        <f>(1+INDEX('Inputs &amp; Drivers'!$G$52:$G$62,MATCH(Model!DR$4,'Inputs &amp; Drivers'!$B$52:$B$62,0))*(DR$4&lt;&gt;DQ$4))*DQ40</f>
        <v>-9580.514564463534</v>
      </c>
      <c r="DS40" s="75">
        <f>(1+INDEX('Inputs &amp; Drivers'!$G$52:$G$62,MATCH(Model!DS$4,'Inputs &amp; Drivers'!$B$52:$B$62,0))*(DS$4&lt;&gt;DR$4))*DR40</f>
        <v>-9580.514564463534</v>
      </c>
      <c r="DT40" s="75">
        <f>(1+INDEX('Inputs &amp; Drivers'!$G$52:$G$62,MATCH(Model!DT$4,'Inputs &amp; Drivers'!$B$52:$B$62,0))*(DT$4&lt;&gt;DS$4))*DS40</f>
        <v>-9580.514564463534</v>
      </c>
      <c r="DU40" s="75">
        <f>(1+INDEX('Inputs &amp; Drivers'!$G$52:$G$62,MATCH(Model!DU$4,'Inputs &amp; Drivers'!$B$52:$B$62,0))*(DU$4&lt;&gt;DT$4))*DT40</f>
        <v>-9580.514564463534</v>
      </c>
      <c r="DV40" s="75">
        <f>(1+INDEX('Inputs &amp; Drivers'!$G$52:$G$62,MATCH(Model!DV$4,'Inputs &amp; Drivers'!$B$52:$B$62,0))*(DV$4&lt;&gt;DU$4))*DU40</f>
        <v>-9580.514564463534</v>
      </c>
      <c r="DW40" s="75">
        <f>(1+INDEX('Inputs &amp; Drivers'!$G$52:$G$62,MATCH(Model!DW$4,'Inputs &amp; Drivers'!$B$52:$B$62,0))*(DW$4&lt;&gt;DV$4))*DV40</f>
        <v>-9580.514564463534</v>
      </c>
      <c r="DX40" s="75">
        <f>(1+INDEX('Inputs &amp; Drivers'!$G$52:$G$62,MATCH(Model!DX$4,'Inputs &amp; Drivers'!$B$52:$B$62,0))*(DX$4&lt;&gt;DW$4))*DW40</f>
        <v>-9580.514564463534</v>
      </c>
      <c r="DY40" s="75">
        <f>(1+INDEX('Inputs &amp; Drivers'!$G$52:$G$62,MATCH(Model!DY$4,'Inputs &amp; Drivers'!$B$52:$B$62,0))*(DY$4&lt;&gt;DX$4))*DX40</f>
        <v>-9580.514564463534</v>
      </c>
      <c r="DZ40" s="75">
        <f>(1+INDEX('Inputs &amp; Drivers'!$G$52:$G$62,MATCH(Model!DZ$4,'Inputs &amp; Drivers'!$B$52:$B$62,0))*(DZ$4&lt;&gt;DY$4))*DY40</f>
        <v>-9867.9300013974407</v>
      </c>
      <c r="EA40" s="75">
        <f>(1+INDEX('Inputs &amp; Drivers'!$G$52:$G$62,MATCH(Model!EA$4,'Inputs &amp; Drivers'!$B$52:$B$62,0))*(EA$4&lt;&gt;DZ$4))*DZ40</f>
        <v>-9867.9300013974407</v>
      </c>
      <c r="EB40" s="75">
        <f>(1+INDEX('Inputs &amp; Drivers'!$G$52:$G$62,MATCH(Model!EB$4,'Inputs &amp; Drivers'!$B$52:$B$62,0))*(EB$4&lt;&gt;EA$4))*EA40</f>
        <v>-9867.9300013974407</v>
      </c>
      <c r="EC40" s="75">
        <f>(1+INDEX('Inputs &amp; Drivers'!$G$52:$G$62,MATCH(Model!EC$4,'Inputs &amp; Drivers'!$B$52:$B$62,0))*(EC$4&lt;&gt;EB$4))*EB40</f>
        <v>-9867.9300013974407</v>
      </c>
      <c r="ED40" s="75">
        <f>(1+INDEX('Inputs &amp; Drivers'!$G$52:$G$62,MATCH(Model!ED$4,'Inputs &amp; Drivers'!$B$52:$B$62,0))*(ED$4&lt;&gt;EC$4))*EC40</f>
        <v>-9867.9300013974407</v>
      </c>
      <c r="EE40" s="75">
        <f>(1+INDEX('Inputs &amp; Drivers'!$G$52:$G$62,MATCH(Model!EE$4,'Inputs &amp; Drivers'!$B$52:$B$62,0))*(EE$4&lt;&gt;ED$4))*ED40</f>
        <v>-9867.9300013974407</v>
      </c>
      <c r="EF40" s="75">
        <f>(1+INDEX('Inputs &amp; Drivers'!$G$52:$G$62,MATCH(Model!EF$4,'Inputs &amp; Drivers'!$B$52:$B$62,0))*(EF$4&lt;&gt;EE$4))*EE40</f>
        <v>-9867.9300013974407</v>
      </c>
      <c r="EG40" s="75">
        <f>(1+INDEX('Inputs &amp; Drivers'!$G$52:$G$62,MATCH(Model!EG$4,'Inputs &amp; Drivers'!$B$52:$B$62,0))*(EG$4&lt;&gt;EF$4))*EF40</f>
        <v>-9867.9300013974407</v>
      </c>
      <c r="EH40" s="75">
        <f>(1+INDEX('Inputs &amp; Drivers'!$G$52:$G$62,MATCH(Model!EH$4,'Inputs &amp; Drivers'!$B$52:$B$62,0))*(EH$4&lt;&gt;EG$4))*EG40</f>
        <v>-9867.9300013974407</v>
      </c>
      <c r="EI40" s="75">
        <f>(1+INDEX('Inputs &amp; Drivers'!$G$52:$G$62,MATCH(Model!EI$4,'Inputs &amp; Drivers'!$B$52:$B$62,0))*(EI$4&lt;&gt;EH$4))*EH40</f>
        <v>-9867.9300013974407</v>
      </c>
      <c r="EJ40" s="75">
        <f>(1+INDEX('Inputs &amp; Drivers'!$G$52:$G$62,MATCH(Model!EJ$4,'Inputs &amp; Drivers'!$B$52:$B$62,0))*(EJ$4&lt;&gt;EI$4))*EI40</f>
        <v>-9867.9300013974407</v>
      </c>
      <c r="EK40" s="75">
        <f>(1+INDEX('Inputs &amp; Drivers'!$G$52:$G$62,MATCH(Model!EK$4,'Inputs &amp; Drivers'!$B$52:$B$62,0))*(EK$4&lt;&gt;EJ$4))*EJ40</f>
        <v>-9867.9300013974407</v>
      </c>
      <c r="EM40" s="109">
        <f t="shared" si="517"/>
        <v>0</v>
      </c>
      <c r="EN40" s="109">
        <f t="shared" si="517"/>
        <v>-88112.000000000015</v>
      </c>
      <c r="EO40" s="109">
        <f t="shared" si="517"/>
        <v>-90755.36000000003</v>
      </c>
      <c r="EP40" s="109">
        <f t="shared" si="517"/>
        <v>-93478.020800000013</v>
      </c>
      <c r="EQ40" s="109">
        <f t="shared" si="517"/>
        <v>-96282.361424000002</v>
      </c>
      <c r="ER40" s="109">
        <f t="shared" si="517"/>
        <v>-99170.832266720026</v>
      </c>
      <c r="ES40" s="109">
        <f t="shared" si="517"/>
        <v>-102145.95723472159</v>
      </c>
      <c r="ET40" s="109">
        <f t="shared" si="517"/>
        <v>-105210.33595176326</v>
      </c>
      <c r="EU40" s="109">
        <f t="shared" si="517"/>
        <v>-108366.64603031617</v>
      </c>
      <c r="EV40" s="109">
        <f t="shared" si="517"/>
        <v>-111617.64541122568</v>
      </c>
      <c r="EW40" s="109">
        <f t="shared" si="517"/>
        <v>-114966.17477356241</v>
      </c>
      <c r="EX40" s="109">
        <f t="shared" si="517"/>
        <v>-118415.1600167693</v>
      </c>
    </row>
    <row r="41" spans="2:154" x14ac:dyDescent="0.3">
      <c r="B41" s="1" t="s">
        <v>108</v>
      </c>
      <c r="E41" s="86">
        <v>0</v>
      </c>
      <c r="F41" s="86">
        <v>0</v>
      </c>
      <c r="G41" s="7">
        <f t="shared" si="518"/>
        <v>0</v>
      </c>
      <c r="J41" s="70">
        <f>-'Inputs &amp; Drivers'!J45/12</f>
        <v>-5208.333333333333</v>
      </c>
      <c r="K41" s="82">
        <f>J41</f>
        <v>-5208.333333333333</v>
      </c>
      <c r="L41" s="82">
        <f>K41</f>
        <v>-5208.333333333333</v>
      </c>
      <c r="M41" s="82">
        <f t="shared" ref="M41:BX41" si="519">L41</f>
        <v>-5208.333333333333</v>
      </c>
      <c r="N41" s="82">
        <f t="shared" si="519"/>
        <v>-5208.333333333333</v>
      </c>
      <c r="O41" s="82">
        <f t="shared" si="519"/>
        <v>-5208.333333333333</v>
      </c>
      <c r="P41" s="82">
        <f t="shared" si="519"/>
        <v>-5208.333333333333</v>
      </c>
      <c r="Q41" s="82">
        <f t="shared" si="519"/>
        <v>-5208.333333333333</v>
      </c>
      <c r="R41" s="82">
        <f t="shared" si="519"/>
        <v>-5208.333333333333</v>
      </c>
      <c r="S41" s="82">
        <f t="shared" si="519"/>
        <v>-5208.333333333333</v>
      </c>
      <c r="T41" s="82">
        <f t="shared" si="519"/>
        <v>-5208.333333333333</v>
      </c>
      <c r="U41" s="82">
        <f t="shared" si="519"/>
        <v>-5208.333333333333</v>
      </c>
      <c r="V41" s="82">
        <f t="shared" si="519"/>
        <v>-5208.333333333333</v>
      </c>
      <c r="W41" s="82">
        <f t="shared" si="519"/>
        <v>-5208.333333333333</v>
      </c>
      <c r="X41" s="82">
        <f t="shared" si="519"/>
        <v>-5208.333333333333</v>
      </c>
      <c r="Y41" s="82">
        <f t="shared" si="519"/>
        <v>-5208.333333333333</v>
      </c>
      <c r="Z41" s="82">
        <f t="shared" si="519"/>
        <v>-5208.333333333333</v>
      </c>
      <c r="AA41" s="82">
        <f t="shared" si="519"/>
        <v>-5208.333333333333</v>
      </c>
      <c r="AB41" s="82">
        <f t="shared" si="519"/>
        <v>-5208.333333333333</v>
      </c>
      <c r="AC41" s="82">
        <f t="shared" si="519"/>
        <v>-5208.333333333333</v>
      </c>
      <c r="AD41" s="82">
        <f t="shared" si="519"/>
        <v>-5208.333333333333</v>
      </c>
      <c r="AE41" s="82">
        <f t="shared" si="519"/>
        <v>-5208.333333333333</v>
      </c>
      <c r="AF41" s="82">
        <f t="shared" si="519"/>
        <v>-5208.333333333333</v>
      </c>
      <c r="AG41" s="82">
        <f t="shared" si="519"/>
        <v>-5208.333333333333</v>
      </c>
      <c r="AH41" s="82">
        <f t="shared" si="519"/>
        <v>-5208.333333333333</v>
      </c>
      <c r="AI41" s="82">
        <f t="shared" si="519"/>
        <v>-5208.333333333333</v>
      </c>
      <c r="AJ41" s="82">
        <f t="shared" si="519"/>
        <v>-5208.333333333333</v>
      </c>
      <c r="AK41" s="82">
        <f t="shared" si="519"/>
        <v>-5208.333333333333</v>
      </c>
      <c r="AL41" s="82">
        <f t="shared" si="519"/>
        <v>-5208.333333333333</v>
      </c>
      <c r="AM41" s="82">
        <f t="shared" si="519"/>
        <v>-5208.333333333333</v>
      </c>
      <c r="AN41" s="82">
        <f t="shared" si="519"/>
        <v>-5208.333333333333</v>
      </c>
      <c r="AO41" s="82">
        <f t="shared" si="519"/>
        <v>-5208.333333333333</v>
      </c>
      <c r="AP41" s="82">
        <f t="shared" si="519"/>
        <v>-5208.333333333333</v>
      </c>
      <c r="AQ41" s="82">
        <f t="shared" si="519"/>
        <v>-5208.333333333333</v>
      </c>
      <c r="AR41" s="82">
        <f t="shared" si="519"/>
        <v>-5208.333333333333</v>
      </c>
      <c r="AS41" s="82">
        <f t="shared" si="519"/>
        <v>-5208.333333333333</v>
      </c>
      <c r="AT41" s="82">
        <f t="shared" si="519"/>
        <v>-5208.333333333333</v>
      </c>
      <c r="AU41" s="82">
        <f t="shared" si="519"/>
        <v>-5208.333333333333</v>
      </c>
      <c r="AV41" s="82">
        <f t="shared" si="519"/>
        <v>-5208.333333333333</v>
      </c>
      <c r="AW41" s="82">
        <f t="shared" si="519"/>
        <v>-5208.333333333333</v>
      </c>
      <c r="AX41" s="82">
        <f t="shared" si="519"/>
        <v>-5208.333333333333</v>
      </c>
      <c r="AY41" s="82">
        <f t="shared" si="519"/>
        <v>-5208.333333333333</v>
      </c>
      <c r="AZ41" s="82">
        <f t="shared" si="519"/>
        <v>-5208.333333333333</v>
      </c>
      <c r="BA41" s="82">
        <f t="shared" si="519"/>
        <v>-5208.333333333333</v>
      </c>
      <c r="BB41" s="82">
        <f t="shared" si="519"/>
        <v>-5208.333333333333</v>
      </c>
      <c r="BC41" s="82">
        <f t="shared" si="519"/>
        <v>-5208.333333333333</v>
      </c>
      <c r="BD41" s="82">
        <f t="shared" si="519"/>
        <v>-5208.333333333333</v>
      </c>
      <c r="BE41" s="82">
        <f t="shared" si="519"/>
        <v>-5208.333333333333</v>
      </c>
      <c r="BF41" s="82">
        <f t="shared" si="519"/>
        <v>-5208.333333333333</v>
      </c>
      <c r="BG41" s="82">
        <f t="shared" si="519"/>
        <v>-5208.333333333333</v>
      </c>
      <c r="BH41" s="82">
        <f t="shared" si="519"/>
        <v>-5208.333333333333</v>
      </c>
      <c r="BI41" s="82">
        <f t="shared" si="519"/>
        <v>-5208.333333333333</v>
      </c>
      <c r="BJ41" s="82">
        <f t="shared" si="519"/>
        <v>-5208.333333333333</v>
      </c>
      <c r="BK41" s="82">
        <f t="shared" si="519"/>
        <v>-5208.333333333333</v>
      </c>
      <c r="BL41" s="82">
        <f t="shared" si="519"/>
        <v>-5208.333333333333</v>
      </c>
      <c r="BM41" s="82">
        <f t="shared" si="519"/>
        <v>-5208.333333333333</v>
      </c>
      <c r="BN41" s="82">
        <f t="shared" si="519"/>
        <v>-5208.333333333333</v>
      </c>
      <c r="BO41" s="82">
        <f t="shared" si="519"/>
        <v>-5208.333333333333</v>
      </c>
      <c r="BP41" s="82">
        <f t="shared" si="519"/>
        <v>-5208.333333333333</v>
      </c>
      <c r="BQ41" s="82">
        <f t="shared" si="519"/>
        <v>-5208.333333333333</v>
      </c>
      <c r="BR41" s="82">
        <f t="shared" si="519"/>
        <v>-5208.333333333333</v>
      </c>
      <c r="BS41" s="82">
        <f t="shared" si="519"/>
        <v>-5208.333333333333</v>
      </c>
      <c r="BT41" s="82">
        <f t="shared" si="519"/>
        <v>-5208.333333333333</v>
      </c>
      <c r="BU41" s="82">
        <f t="shared" si="519"/>
        <v>-5208.333333333333</v>
      </c>
      <c r="BV41" s="82">
        <f t="shared" si="519"/>
        <v>-5208.333333333333</v>
      </c>
      <c r="BW41" s="82">
        <f t="shared" si="519"/>
        <v>-5208.333333333333</v>
      </c>
      <c r="BX41" s="82">
        <f t="shared" si="519"/>
        <v>-5208.333333333333</v>
      </c>
      <c r="BY41" s="82">
        <f t="shared" ref="BY41:EJ41" si="520">BX41</f>
        <v>-5208.333333333333</v>
      </c>
      <c r="BZ41" s="82">
        <f t="shared" si="520"/>
        <v>-5208.333333333333</v>
      </c>
      <c r="CA41" s="82">
        <f t="shared" si="520"/>
        <v>-5208.333333333333</v>
      </c>
      <c r="CB41" s="82">
        <f t="shared" si="520"/>
        <v>-5208.333333333333</v>
      </c>
      <c r="CC41" s="82">
        <f t="shared" si="520"/>
        <v>-5208.333333333333</v>
      </c>
      <c r="CD41" s="82">
        <f t="shared" si="520"/>
        <v>-5208.333333333333</v>
      </c>
      <c r="CE41" s="82">
        <f t="shared" si="520"/>
        <v>-5208.333333333333</v>
      </c>
      <c r="CF41" s="82">
        <f t="shared" si="520"/>
        <v>-5208.333333333333</v>
      </c>
      <c r="CG41" s="82">
        <f t="shared" si="520"/>
        <v>-5208.333333333333</v>
      </c>
      <c r="CH41" s="82">
        <f t="shared" si="520"/>
        <v>-5208.333333333333</v>
      </c>
      <c r="CI41" s="82">
        <f t="shared" si="520"/>
        <v>-5208.333333333333</v>
      </c>
      <c r="CJ41" s="82">
        <f t="shared" si="520"/>
        <v>-5208.333333333333</v>
      </c>
      <c r="CK41" s="82">
        <f t="shared" si="520"/>
        <v>-5208.333333333333</v>
      </c>
      <c r="CL41" s="82">
        <f t="shared" si="520"/>
        <v>-5208.333333333333</v>
      </c>
      <c r="CM41" s="82">
        <f t="shared" si="520"/>
        <v>-5208.333333333333</v>
      </c>
      <c r="CN41" s="82">
        <f t="shared" si="520"/>
        <v>-5208.333333333333</v>
      </c>
      <c r="CO41" s="82">
        <f t="shared" si="520"/>
        <v>-5208.333333333333</v>
      </c>
      <c r="CP41" s="82">
        <f t="shared" si="520"/>
        <v>-5208.333333333333</v>
      </c>
      <c r="CQ41" s="82">
        <f t="shared" si="520"/>
        <v>-5208.333333333333</v>
      </c>
      <c r="CR41" s="82">
        <f t="shared" si="520"/>
        <v>-5208.333333333333</v>
      </c>
      <c r="CS41" s="82">
        <f t="shared" si="520"/>
        <v>-5208.333333333333</v>
      </c>
      <c r="CT41" s="82">
        <f t="shared" si="520"/>
        <v>-5208.333333333333</v>
      </c>
      <c r="CU41" s="82">
        <f t="shared" si="520"/>
        <v>-5208.333333333333</v>
      </c>
      <c r="CV41" s="82">
        <f t="shared" si="520"/>
        <v>-5208.333333333333</v>
      </c>
      <c r="CW41" s="82">
        <f t="shared" si="520"/>
        <v>-5208.333333333333</v>
      </c>
      <c r="CX41" s="82">
        <f t="shared" si="520"/>
        <v>-5208.333333333333</v>
      </c>
      <c r="CY41" s="82">
        <f t="shared" si="520"/>
        <v>-5208.333333333333</v>
      </c>
      <c r="CZ41" s="82">
        <f t="shared" si="520"/>
        <v>-5208.333333333333</v>
      </c>
      <c r="DA41" s="82">
        <f t="shared" si="520"/>
        <v>-5208.333333333333</v>
      </c>
      <c r="DB41" s="82">
        <f t="shared" si="520"/>
        <v>-5208.333333333333</v>
      </c>
      <c r="DC41" s="82">
        <f t="shared" si="520"/>
        <v>-5208.333333333333</v>
      </c>
      <c r="DD41" s="82">
        <f t="shared" si="520"/>
        <v>-5208.333333333333</v>
      </c>
      <c r="DE41" s="82">
        <f t="shared" si="520"/>
        <v>-5208.333333333333</v>
      </c>
      <c r="DF41" s="82">
        <f t="shared" si="520"/>
        <v>-5208.333333333333</v>
      </c>
      <c r="DG41" s="82">
        <f t="shared" si="520"/>
        <v>-5208.333333333333</v>
      </c>
      <c r="DH41" s="82">
        <f t="shared" si="520"/>
        <v>-5208.333333333333</v>
      </c>
      <c r="DI41" s="82">
        <f t="shared" si="520"/>
        <v>-5208.333333333333</v>
      </c>
      <c r="DJ41" s="82">
        <f t="shared" si="520"/>
        <v>-5208.333333333333</v>
      </c>
      <c r="DK41" s="82">
        <f t="shared" si="520"/>
        <v>-5208.333333333333</v>
      </c>
      <c r="DL41" s="82">
        <f t="shared" si="520"/>
        <v>-5208.333333333333</v>
      </c>
      <c r="DM41" s="82">
        <f t="shared" si="520"/>
        <v>-5208.333333333333</v>
      </c>
      <c r="DN41" s="82">
        <f t="shared" si="520"/>
        <v>-5208.333333333333</v>
      </c>
      <c r="DO41" s="82">
        <f t="shared" si="520"/>
        <v>-5208.333333333333</v>
      </c>
      <c r="DP41" s="82">
        <f t="shared" si="520"/>
        <v>-5208.333333333333</v>
      </c>
      <c r="DQ41" s="82">
        <f t="shared" si="520"/>
        <v>-5208.333333333333</v>
      </c>
      <c r="DR41" s="82">
        <f t="shared" si="520"/>
        <v>-5208.333333333333</v>
      </c>
      <c r="DS41" s="82">
        <f t="shared" si="520"/>
        <v>-5208.333333333333</v>
      </c>
      <c r="DT41" s="82">
        <f t="shared" si="520"/>
        <v>-5208.333333333333</v>
      </c>
      <c r="DU41" s="82">
        <f t="shared" si="520"/>
        <v>-5208.333333333333</v>
      </c>
      <c r="DV41" s="82">
        <f t="shared" si="520"/>
        <v>-5208.333333333333</v>
      </c>
      <c r="DW41" s="82">
        <f t="shared" si="520"/>
        <v>-5208.333333333333</v>
      </c>
      <c r="DX41" s="82">
        <f t="shared" si="520"/>
        <v>-5208.333333333333</v>
      </c>
      <c r="DY41" s="82">
        <f t="shared" si="520"/>
        <v>-5208.333333333333</v>
      </c>
      <c r="DZ41" s="82">
        <f t="shared" si="520"/>
        <v>-5208.333333333333</v>
      </c>
      <c r="EA41" s="82">
        <f t="shared" si="520"/>
        <v>-5208.333333333333</v>
      </c>
      <c r="EB41" s="82">
        <f t="shared" si="520"/>
        <v>-5208.333333333333</v>
      </c>
      <c r="EC41" s="82">
        <f t="shared" si="520"/>
        <v>-5208.333333333333</v>
      </c>
      <c r="ED41" s="82">
        <f t="shared" si="520"/>
        <v>-5208.333333333333</v>
      </c>
      <c r="EE41" s="82">
        <f t="shared" si="520"/>
        <v>-5208.333333333333</v>
      </c>
      <c r="EF41" s="82">
        <f t="shared" si="520"/>
        <v>-5208.333333333333</v>
      </c>
      <c r="EG41" s="82">
        <f t="shared" si="520"/>
        <v>-5208.333333333333</v>
      </c>
      <c r="EH41" s="82">
        <f t="shared" si="520"/>
        <v>-5208.333333333333</v>
      </c>
      <c r="EI41" s="82">
        <f t="shared" si="520"/>
        <v>-5208.333333333333</v>
      </c>
      <c r="EJ41" s="82">
        <f t="shared" si="520"/>
        <v>-5208.333333333333</v>
      </c>
      <c r="EK41" s="82">
        <f t="shared" ref="EK41" si="521">EJ41</f>
        <v>-5208.333333333333</v>
      </c>
      <c r="EM41" s="109">
        <f t="shared" si="517"/>
        <v>0</v>
      </c>
      <c r="EN41" s="109">
        <f t="shared" si="517"/>
        <v>-62500.000000000007</v>
      </c>
      <c r="EO41" s="109">
        <f t="shared" si="517"/>
        <v>-62500.000000000007</v>
      </c>
      <c r="EP41" s="109">
        <f t="shared" si="517"/>
        <v>-62500.000000000007</v>
      </c>
      <c r="EQ41" s="109">
        <f t="shared" si="517"/>
        <v>-62500.000000000007</v>
      </c>
      <c r="ER41" s="109">
        <f t="shared" si="517"/>
        <v>-62500.000000000007</v>
      </c>
      <c r="ES41" s="109">
        <f t="shared" si="517"/>
        <v>-62500.000000000007</v>
      </c>
      <c r="ET41" s="109">
        <f t="shared" si="517"/>
        <v>-62500.000000000007</v>
      </c>
      <c r="EU41" s="109">
        <f t="shared" si="517"/>
        <v>-62500.000000000007</v>
      </c>
      <c r="EV41" s="109">
        <f t="shared" si="517"/>
        <v>-62500.000000000007</v>
      </c>
      <c r="EW41" s="109">
        <f t="shared" si="517"/>
        <v>-62500.000000000007</v>
      </c>
      <c r="EX41" s="109">
        <f t="shared" si="517"/>
        <v>-62500.000000000007</v>
      </c>
    </row>
    <row r="42" spans="2:154" x14ac:dyDescent="0.3">
      <c r="B42" s="8" t="s">
        <v>32</v>
      </c>
      <c r="C42" s="3"/>
      <c r="D42" s="3"/>
      <c r="E42" s="10">
        <f>SUM(E32:E41)</f>
        <v>-3195787.1428</v>
      </c>
      <c r="F42" s="10">
        <f>SUM(F32:F41)</f>
        <v>-3053699.5307999998</v>
      </c>
      <c r="G42" s="10">
        <f>SUM(G32:G41)</f>
        <v>12783.148571199999</v>
      </c>
      <c r="H42" s="3"/>
      <c r="I42" s="3"/>
      <c r="J42" s="10">
        <f t="shared" ref="J42:L42" si="522">SUM(J32:J41)</f>
        <v>-271676.79499996942</v>
      </c>
      <c r="K42" s="10">
        <f t="shared" si="522"/>
        <v>-271676.79499996942</v>
      </c>
      <c r="L42" s="10">
        <f t="shared" si="522"/>
        <v>-271711.85229071259</v>
      </c>
      <c r="M42" s="10">
        <f t="shared" ref="M42" si="523">SUM(M32:M41)</f>
        <v>-271746.90958145575</v>
      </c>
      <c r="N42" s="10">
        <f t="shared" ref="N42" si="524">SUM(N32:N41)</f>
        <v>-271781.96687219891</v>
      </c>
      <c r="O42" s="10">
        <f t="shared" ref="O42" si="525">SUM(O32:O41)</f>
        <v>-271817.02416294208</v>
      </c>
      <c r="P42" s="10">
        <f t="shared" ref="P42" si="526">SUM(P32:P41)</f>
        <v>-271852.08145368524</v>
      </c>
      <c r="Q42" s="10">
        <f t="shared" ref="Q42" si="527">SUM(Q32:Q41)</f>
        <v>-271887.1387444284</v>
      </c>
      <c r="R42" s="10">
        <f t="shared" ref="R42" si="528">SUM(R32:R41)</f>
        <v>-271922.19603517157</v>
      </c>
      <c r="S42" s="10">
        <f t="shared" ref="S42" si="529">SUM(S32:S41)</f>
        <v>-271957.25332591479</v>
      </c>
      <c r="T42" s="10">
        <f t="shared" ref="T42" si="530">SUM(T32:T41)</f>
        <v>-271992.31061665795</v>
      </c>
      <c r="U42" s="10">
        <f t="shared" ref="U42" si="531">SUM(U32:U41)</f>
        <v>-272027.36790740112</v>
      </c>
      <c r="V42" s="10">
        <f t="shared" ref="V42" si="532">SUM(V32:V41)</f>
        <v>-278468.40839539765</v>
      </c>
      <c r="W42" s="10">
        <f t="shared" ref="W42" si="533">SUM(W32:W41)</f>
        <v>-278538.8831908232</v>
      </c>
      <c r="X42" s="10">
        <f t="shared" ref="X42" si="534">SUM(X32:X41)</f>
        <v>-278609.44556085655</v>
      </c>
      <c r="Y42" s="10">
        <f t="shared" ref="Y42" si="535">SUM(Y32:Y41)</f>
        <v>-278680.0957244343</v>
      </c>
      <c r="Z42" s="10">
        <f t="shared" ref="Z42" si="536">SUM(Z32:Z41)</f>
        <v>-278750.8339010402</v>
      </c>
      <c r="AA42" s="10">
        <f t="shared" ref="AA42" si="537">SUM(AA32:AA41)</f>
        <v>-278821.66031070694</v>
      </c>
      <c r="AB42" s="10">
        <f t="shared" ref="AB42" si="538">SUM(AB32:AB41)</f>
        <v>-278892.57517401705</v>
      </c>
      <c r="AC42" s="10">
        <f t="shared" ref="AC42" si="539">SUM(AC32:AC41)</f>
        <v>-278963.57871210476</v>
      </c>
      <c r="AD42" s="10">
        <f t="shared" ref="AD42" si="540">SUM(AD32:AD41)</f>
        <v>-279034.67114665697</v>
      </c>
      <c r="AE42" s="10">
        <f t="shared" ref="AE42" si="541">SUM(AE32:AE41)</f>
        <v>-279105.85269991483</v>
      </c>
      <c r="AF42" s="10">
        <f t="shared" ref="AF42" si="542">SUM(AF32:AF41)</f>
        <v>-279177.1235946751</v>
      </c>
      <c r="AG42" s="10">
        <f t="shared" ref="AG42" si="543">SUM(AG32:AG41)</f>
        <v>-279248.4840542915</v>
      </c>
      <c r="AH42" s="10">
        <f t="shared" ref="AH42" si="544">SUM(AH32:AH41)</f>
        <v>-285871.91224918293</v>
      </c>
      <c r="AI42" s="10">
        <f t="shared" ref="AI42" si="545">SUM(AI32:AI41)</f>
        <v>-285956.43875157053</v>
      </c>
      <c r="AJ42" s="10">
        <f t="shared" ref="AJ42" si="546">SUM(AJ32:AJ41)</f>
        <v>-286005.29495307966</v>
      </c>
      <c r="AK42" s="10">
        <f t="shared" ref="AK42" si="547">SUM(AK32:AK41)</f>
        <v>-286054.31400859379</v>
      </c>
      <c r="AL42" s="10">
        <f t="shared" ref="AL42" si="548">SUM(AL32:AL41)</f>
        <v>-286103.49646095966</v>
      </c>
      <c r="AM42" s="10">
        <f t="shared" ref="AM42" si="549">SUM(AM32:AM41)</f>
        <v>-286152.8428548334</v>
      </c>
      <c r="AN42" s="10">
        <f t="shared" ref="AN42" si="550">SUM(AN32:AN41)</f>
        <v>-286202.35373668675</v>
      </c>
      <c r="AO42" s="10">
        <f t="shared" ref="AO42" si="551">SUM(AO32:AO41)</f>
        <v>-286252.02965481288</v>
      </c>
      <c r="AP42" s="10">
        <f t="shared" ref="AP42" si="552">SUM(AP32:AP41)</f>
        <v>-286301.87115933286</v>
      </c>
      <c r="AQ42" s="10">
        <f t="shared" ref="AQ42" si="553">SUM(AQ32:AQ41)</f>
        <v>-286351.87880220119</v>
      </c>
      <c r="AR42" s="10">
        <f t="shared" ref="AR42" si="554">SUM(AR32:AR41)</f>
        <v>-286402.05313721241</v>
      </c>
      <c r="AS42" s="10">
        <f t="shared" ref="AS42" si="555">SUM(AS32:AS41)</f>
        <v>-286452.39472000697</v>
      </c>
      <c r="AT42" s="10">
        <f t="shared" ref="AT42" si="556">SUM(AT32:AT41)</f>
        <v>-293026.63166005991</v>
      </c>
      <c r="AU42" s="10">
        <f t="shared" ref="AU42" si="557">SUM(AU32:AU41)</f>
        <v>-293064.6084062155</v>
      </c>
      <c r="AV42" s="10">
        <f t="shared" ref="AV42" si="558">SUM(AV32:AV41)</f>
        <v>-293102.68009423645</v>
      </c>
      <c r="AW42" s="10">
        <f t="shared" ref="AW42" si="559">SUM(AW32:AW41)</f>
        <v>-293140.84696147748</v>
      </c>
      <c r="AX42" s="10">
        <f t="shared" ref="AX42" si="560">SUM(AX32:AX41)</f>
        <v>-293179.10924588656</v>
      </c>
      <c r="AY42" s="10">
        <f t="shared" ref="AY42" si="561">SUM(AY32:AY41)</f>
        <v>-293217.46718600672</v>
      </c>
      <c r="AZ42" s="10">
        <f t="shared" ref="AZ42" si="562">SUM(AZ32:AZ41)</f>
        <v>-293255.92102097714</v>
      </c>
      <c r="BA42" s="10">
        <f t="shared" ref="BA42" si="563">SUM(BA32:BA41)</f>
        <v>-293294.47099053499</v>
      </c>
      <c r="BB42" s="10">
        <f t="shared" ref="BB42" si="564">SUM(BB32:BB41)</f>
        <v>-293333.11733501672</v>
      </c>
      <c r="BC42" s="10">
        <f t="shared" ref="BC42" si="565">SUM(BC32:BC41)</f>
        <v>-293371.86029535974</v>
      </c>
      <c r="BD42" s="10">
        <f t="shared" ref="BD42" si="566">SUM(BD32:BD41)</f>
        <v>-293410.70011310349</v>
      </c>
      <c r="BE42" s="10">
        <f t="shared" ref="BE42" si="567">SUM(BE32:BE41)</f>
        <v>-293449.63703039172</v>
      </c>
      <c r="BF42" s="10">
        <f t="shared" ref="BF42" si="568">SUM(BF32:BF41)</f>
        <v>-300192.70517658314</v>
      </c>
      <c r="BG42" s="10">
        <f t="shared" ref="BG42" si="569">SUM(BG32:BG41)</f>
        <v>-300231.8370218135</v>
      </c>
      <c r="BH42" s="10">
        <f t="shared" ref="BH42" si="570">SUM(BH32:BH41)</f>
        <v>-300271.06669665693</v>
      </c>
      <c r="BI42" s="10">
        <f t="shared" ref="BI42" si="571">SUM(BI32:BI41)</f>
        <v>-300310.39444568742</v>
      </c>
      <c r="BJ42" s="10">
        <f t="shared" ref="BJ42" si="572">SUM(BJ32:BJ41)</f>
        <v>-300349.82051409059</v>
      </c>
      <c r="BK42" s="10">
        <f t="shared" ref="BK42" si="573">SUM(BK32:BK41)</f>
        <v>-300389.34514766466</v>
      </c>
      <c r="BL42" s="10">
        <f t="shared" ref="BL42" si="574">SUM(BL32:BL41)</f>
        <v>-300428.96859282273</v>
      </c>
      <c r="BM42" s="10">
        <f t="shared" ref="BM42" si="575">SUM(BM32:BM41)</f>
        <v>-300468.69109659368</v>
      </c>
      <c r="BN42" s="10">
        <f t="shared" ref="BN42" si="576">SUM(BN32:BN41)</f>
        <v>-300508.51290662406</v>
      </c>
      <c r="BO42" s="10">
        <f t="shared" ref="BO42" si="577">SUM(BO32:BO41)</f>
        <v>-300548.43427117949</v>
      </c>
      <c r="BP42" s="10">
        <f t="shared" ref="BP42" si="578">SUM(BP32:BP41)</f>
        <v>-300588.45543914638</v>
      </c>
      <c r="BQ42" s="10">
        <f t="shared" ref="BQ42" si="579">SUM(BQ32:BQ41)</f>
        <v>-300628.57666003308</v>
      </c>
      <c r="BR42" s="10">
        <f t="shared" ref="BR42" si="580">SUM(BR32:BR41)</f>
        <v>-307544.97319463314</v>
      </c>
      <c r="BS42" s="10">
        <f t="shared" ref="BS42" si="581">SUM(BS32:BS41)</f>
        <v>-307585.29527238198</v>
      </c>
      <c r="BT42" s="10">
        <f t="shared" ref="BT42" si="582">SUM(BT32:BT41)</f>
        <v>-307625.71815532516</v>
      </c>
      <c r="BU42" s="10">
        <f t="shared" ref="BU42" si="583">SUM(BU32:BU41)</f>
        <v>-307666.24209547573</v>
      </c>
      <c r="BV42" s="10">
        <f t="shared" ref="BV42" si="584">SUM(BV32:BV41)</f>
        <v>-307706.86734547664</v>
      </c>
      <c r="BW42" s="10">
        <f t="shared" ref="BW42" si="585">SUM(BW32:BW41)</f>
        <v>-307747.59415860259</v>
      </c>
      <c r="BX42" s="10">
        <f t="shared" ref="BX42" si="586">SUM(BX32:BX41)</f>
        <v>-307788.42278876132</v>
      </c>
      <c r="BY42" s="10">
        <f t="shared" ref="BY42" si="587">SUM(BY32:BY41)</f>
        <v>-307829.35349049547</v>
      </c>
      <c r="BZ42" s="10">
        <f t="shared" ref="BZ42" si="588">SUM(BZ32:BZ41)</f>
        <v>-307870.38651898393</v>
      </c>
      <c r="CA42" s="10">
        <f t="shared" ref="CA42" si="589">SUM(CA32:CA41)</f>
        <v>-307911.5221300436</v>
      </c>
      <c r="CB42" s="10">
        <f t="shared" ref="CB42" si="590">SUM(CB32:CB41)</f>
        <v>-307952.76058013097</v>
      </c>
      <c r="CC42" s="10">
        <f t="shared" ref="CC42" si="591">SUM(CC32:CC41)</f>
        <v>-307994.10212634353</v>
      </c>
      <c r="CD42" s="10">
        <f t="shared" ref="CD42" si="592">SUM(CD32:CD41)</f>
        <v>-315088.44779700448</v>
      </c>
      <c r="CE42" s="10">
        <f t="shared" ref="CE42" si="593">SUM(CE32:CE41)</f>
        <v>-315129.99630933278</v>
      </c>
      <c r="CF42" s="10">
        <f t="shared" ref="CF42" si="594">SUM(CF32:CF41)</f>
        <v>-315171.64869294188</v>
      </c>
      <c r="CG42" s="10">
        <f t="shared" ref="CG42" si="595">SUM(CG32:CG41)</f>
        <v>-315213.40520750999</v>
      </c>
      <c r="CH42" s="10">
        <f t="shared" ref="CH42" si="596">SUM(CH32:CH41)</f>
        <v>-315255.2661133646</v>
      </c>
      <c r="CI42" s="10">
        <f t="shared" ref="CI42" si="597">SUM(CI32:CI41)</f>
        <v>-315297.23167148378</v>
      </c>
      <c r="CJ42" s="10">
        <f t="shared" ref="CJ42" si="598">SUM(CJ32:CJ41)</f>
        <v>-315339.30214349827</v>
      </c>
      <c r="CK42" s="10">
        <f t="shared" ref="CK42" si="599">SUM(CK32:CK41)</f>
        <v>-315381.47779169283</v>
      </c>
      <c r="CL42" s="10">
        <f t="shared" ref="CL42" si="600">SUM(CL32:CL41)</f>
        <v>-315423.75887900777</v>
      </c>
      <c r="CM42" s="10">
        <f t="shared" ref="CM42" si="601">SUM(CM32:CM41)</f>
        <v>-315466.14566904109</v>
      </c>
      <c r="CN42" s="10">
        <f t="shared" ref="CN42" si="602">SUM(CN32:CN41)</f>
        <v>-315508.6384260495</v>
      </c>
      <c r="CO42" s="10">
        <f t="shared" ref="CO42" si="603">SUM(CO32:CO41)</f>
        <v>-315551.23741495039</v>
      </c>
      <c r="CP42" s="10">
        <f t="shared" ref="CP42" si="604">SUM(CP32:CP41)</f>
        <v>-322828.28001481772</v>
      </c>
      <c r="CQ42" s="10">
        <f t="shared" ref="CQ42" si="605">SUM(CQ32:CQ41)</f>
        <v>-322871.09226490679</v>
      </c>
      <c r="CR42" s="10">
        <f t="shared" ref="CR42" si="606">SUM(CR32:CR41)</f>
        <v>-322914.01154562109</v>
      </c>
      <c r="CS42" s="10">
        <f t="shared" ref="CS42" si="607">SUM(CS32:CS41)</f>
        <v>-322957.03812453721</v>
      </c>
      <c r="CT42" s="10">
        <f t="shared" ref="CT42" si="608">SUM(CT32:CT41)</f>
        <v>-323000.17226990056</v>
      </c>
      <c r="CU42" s="10">
        <f t="shared" ref="CU42" si="609">SUM(CU32:CU41)</f>
        <v>-323043.41425062739</v>
      </c>
      <c r="CV42" s="10">
        <f t="shared" ref="CV42" si="610">SUM(CV32:CV41)</f>
        <v>-323086.76433630602</v>
      </c>
      <c r="CW42" s="10">
        <f t="shared" ref="CW42" si="611">SUM(CW32:CW41)</f>
        <v>-323130.2227971988</v>
      </c>
      <c r="CX42" s="10">
        <f t="shared" ref="CX42" si="612">SUM(CX32:CX41)</f>
        <v>-323173.78990424389</v>
      </c>
      <c r="CY42" s="10">
        <f t="shared" ref="CY42" si="613">SUM(CY32:CY41)</f>
        <v>-323217.46592905652</v>
      </c>
      <c r="CZ42" s="10">
        <f t="shared" ref="CZ42" si="614">SUM(CZ32:CZ41)</f>
        <v>-323261.25114393118</v>
      </c>
      <c r="DA42" s="10">
        <f t="shared" ref="DA42" si="615">SUM(DA32:DA41)</f>
        <v>-323305.14582184306</v>
      </c>
      <c r="DB42" s="10">
        <f t="shared" ref="DB42" si="616">SUM(DB32:DB41)</f>
        <v>-330769.76376953849</v>
      </c>
      <c r="DC42" s="10">
        <f t="shared" ref="DC42" si="617">SUM(DC32:DC41)</f>
        <v>-330813.87819518166</v>
      </c>
      <c r="DD42" s="10">
        <f t="shared" ref="DD42" si="618">SUM(DD32:DD41)</f>
        <v>-330858.10290688893</v>
      </c>
      <c r="DE42" s="10">
        <f t="shared" ref="DE42" si="619">SUM(DE32:DE41)</f>
        <v>-330902.43818037549</v>
      </c>
      <c r="DF42" s="10">
        <f t="shared" ref="DF42" si="620">SUM(DF32:DF41)</f>
        <v>-330946.88429204572</v>
      </c>
      <c r="DG42" s="10">
        <f t="shared" ref="DG42" si="621">SUM(DG32:DG41)</f>
        <v>-330991.44151899521</v>
      </c>
      <c r="DH42" s="10">
        <f t="shared" ref="DH42" si="622">SUM(DH32:DH41)</f>
        <v>-331036.11013901199</v>
      </c>
      <c r="DI42" s="10">
        <f t="shared" ref="DI42" si="623">SUM(DI32:DI41)</f>
        <v>-331080.89043057885</v>
      </c>
      <c r="DJ42" s="10">
        <f t="shared" ref="DJ42" si="624">SUM(DJ32:DJ41)</f>
        <v>-331125.78267287463</v>
      </c>
      <c r="DK42" s="10">
        <f t="shared" ref="DK42" si="625">SUM(DK32:DK41)</f>
        <v>-331170.78714577609</v>
      </c>
      <c r="DL42" s="10">
        <f t="shared" ref="DL42" si="626">SUM(DL32:DL41)</f>
        <v>-331215.90412985987</v>
      </c>
      <c r="DM42" s="10">
        <f t="shared" ref="DM42" si="627">SUM(DM32:DM41)</f>
        <v>-331261.13390640385</v>
      </c>
      <c r="DN42" s="10">
        <f t="shared" ref="DN42" si="628">SUM(DN32:DN41)</f>
        <v>-338918.33992878412</v>
      </c>
      <c r="DO42" s="10">
        <f t="shared" ref="DO42" si="629">SUM(DO32:DO41)</f>
        <v>-338963.79613689694</v>
      </c>
      <c r="DP42" s="10">
        <f t="shared" ref="DP42" si="630">SUM(DP32:DP41)</f>
        <v>-339009.36598553002</v>
      </c>
      <c r="DQ42" s="10">
        <f t="shared" ref="DQ42" si="631">SUM(DQ32:DQ41)</f>
        <v>-339055.04975878465</v>
      </c>
      <c r="DR42" s="10">
        <f t="shared" ref="DR42" si="632">SUM(DR32:DR41)</f>
        <v>-339100.84774147248</v>
      </c>
      <c r="DS42" s="10">
        <f t="shared" ref="DS42" si="633">SUM(DS32:DS41)</f>
        <v>-339146.76021911699</v>
      </c>
      <c r="DT42" s="10">
        <f t="shared" ref="DT42" si="634">SUM(DT32:DT41)</f>
        <v>-339192.78747795563</v>
      </c>
      <c r="DU42" s="10">
        <f t="shared" ref="DU42" si="635">SUM(DU32:DU41)</f>
        <v>-339238.92980494135</v>
      </c>
      <c r="DV42" s="10">
        <f t="shared" ref="DV42" si="636">SUM(DV32:DV41)</f>
        <v>-339285.18748774455</v>
      </c>
      <c r="DW42" s="10">
        <f t="shared" ref="DW42" si="637">SUM(DW32:DW41)</f>
        <v>-339331.56081475475</v>
      </c>
      <c r="DX42" s="10">
        <f t="shared" ref="DX42" si="638">SUM(DX32:DX41)</f>
        <v>-339378.05007508246</v>
      </c>
      <c r="DY42" s="10">
        <f t="shared" ref="DY42" si="639">SUM(DY32:DY41)</f>
        <v>-339424.65555856103</v>
      </c>
      <c r="DZ42" s="10">
        <f t="shared" ref="DZ42" si="640">SUM(DZ32:DZ41)</f>
        <v>-347279.60047924495</v>
      </c>
      <c r="EA42" s="10">
        <f t="shared" ref="EA42" si="641">SUM(EA32:EA41)</f>
        <v>-347326.43928142515</v>
      </c>
      <c r="EB42" s="10">
        <f t="shared" ref="EB42" si="642">SUM(EB32:EB41)</f>
        <v>-347373.39518061082</v>
      </c>
      <c r="EC42" s="10">
        <f t="shared" ref="EC42" si="643">SUM(EC32:EC41)</f>
        <v>-347420.46846954443</v>
      </c>
      <c r="ED42" s="10">
        <f t="shared" ref="ED42" si="644">SUM(ED32:ED41)</f>
        <v>-347467.65944170038</v>
      </c>
      <c r="EE42" s="10">
        <f t="shared" ref="EE42" si="645">SUM(EE32:EE41)</f>
        <v>-347514.96839128673</v>
      </c>
      <c r="EF42" s="10">
        <f t="shared" ref="EF42" si="646">SUM(EF32:EF41)</f>
        <v>-347562.39561324706</v>
      </c>
      <c r="EG42" s="10">
        <f t="shared" ref="EG42" si="647">SUM(EG32:EG41)</f>
        <v>-347609.94140326226</v>
      </c>
      <c r="EH42" s="10">
        <f t="shared" ref="EH42" si="648">SUM(EH32:EH41)</f>
        <v>-347657.60605775251</v>
      </c>
      <c r="EI42" s="10">
        <f t="shared" ref="EI42" si="649">SUM(EI32:EI41)</f>
        <v>-347705.38987387897</v>
      </c>
      <c r="EJ42" s="10">
        <f t="shared" ref="EJ42" si="650">SUM(EJ32:EJ41)</f>
        <v>-347753.29314954579</v>
      </c>
      <c r="EK42" s="10">
        <f t="shared" ref="EK42:EX42" si="651">SUM(EK32:EK41)</f>
        <v>-347801.31618340174</v>
      </c>
      <c r="EM42" s="10">
        <f t="shared" si="651"/>
        <v>0</v>
      </c>
      <c r="EN42" s="10">
        <f t="shared" si="651"/>
        <v>-3262049.6909905076</v>
      </c>
      <c r="EO42" s="10">
        <f t="shared" si="651"/>
        <v>-3346291.6124649192</v>
      </c>
      <c r="EP42" s="10">
        <f t="shared" si="651"/>
        <v>-3434106.8804884739</v>
      </c>
      <c r="EQ42" s="10">
        <f t="shared" si="651"/>
        <v>-3518847.0503392676</v>
      </c>
      <c r="ER42" s="10">
        <f t="shared" si="651"/>
        <v>-3604916.8079688963</v>
      </c>
      <c r="ES42" s="10">
        <f t="shared" si="651"/>
        <v>-3693223.2378566549</v>
      </c>
      <c r="ET42" s="10">
        <f t="shared" si="651"/>
        <v>-3783826.5561158769</v>
      </c>
      <c r="EU42" s="10">
        <f t="shared" si="651"/>
        <v>-3876788.6484029908</v>
      </c>
      <c r="EV42" s="10">
        <f t="shared" si="651"/>
        <v>-3972173.117287531</v>
      </c>
      <c r="EW42" s="10">
        <f t="shared" si="651"/>
        <v>-4070045.3309896248</v>
      </c>
      <c r="EX42" s="10">
        <f t="shared" si="651"/>
        <v>-4170472.4735249002</v>
      </c>
    </row>
    <row r="43" spans="2:154" x14ac:dyDescent="0.3">
      <c r="E43" s="23"/>
      <c r="F43" s="23"/>
    </row>
    <row r="44" spans="2:154" x14ac:dyDescent="0.3">
      <c r="B44" s="2" t="s">
        <v>33</v>
      </c>
      <c r="E44" s="24">
        <f>E29+E42</f>
        <v>2650713.6172000007</v>
      </c>
      <c r="F44" s="24">
        <f>F29+F42</f>
        <v>2820269.5692000017</v>
      </c>
      <c r="J44" s="100">
        <f t="shared" ref="J44:L44" si="652">J29+J42</f>
        <v>222955.13033336395</v>
      </c>
      <c r="K44" s="100">
        <f t="shared" si="652"/>
        <v>222955.13033336395</v>
      </c>
      <c r="L44" s="100">
        <f t="shared" si="652"/>
        <v>224097.58250050183</v>
      </c>
      <c r="M44" s="100">
        <f t="shared" ref="M44:BX44" si="653">M29+M42</f>
        <v>225240.03466763964</v>
      </c>
      <c r="N44" s="100">
        <f t="shared" si="653"/>
        <v>226382.4868347774</v>
      </c>
      <c r="O44" s="100">
        <f t="shared" si="653"/>
        <v>227524.93900191528</v>
      </c>
      <c r="P44" s="100">
        <f t="shared" si="653"/>
        <v>228667.39116905315</v>
      </c>
      <c r="Q44" s="100">
        <f t="shared" si="653"/>
        <v>229809.84333619091</v>
      </c>
      <c r="R44" s="100">
        <f t="shared" si="653"/>
        <v>230952.29550332867</v>
      </c>
      <c r="S44" s="100">
        <f t="shared" si="653"/>
        <v>232094.74767046649</v>
      </c>
      <c r="T44" s="100">
        <f t="shared" si="653"/>
        <v>233237.19983760425</v>
      </c>
      <c r="U44" s="100">
        <f t="shared" si="653"/>
        <v>234379.65200474206</v>
      </c>
      <c r="V44" s="100">
        <f t="shared" si="653"/>
        <v>236476.65573462658</v>
      </c>
      <c r="W44" s="100">
        <f t="shared" si="653"/>
        <v>238773.29877394025</v>
      </c>
      <c r="X44" s="100">
        <f t="shared" si="653"/>
        <v>241072.79570750508</v>
      </c>
      <c r="Y44" s="100">
        <f t="shared" si="653"/>
        <v>243375.15367005643</v>
      </c>
      <c r="Z44" s="100">
        <f t="shared" si="653"/>
        <v>245680.37981416687</v>
      </c>
      <c r="AA44" s="100">
        <f t="shared" si="653"/>
        <v>247988.48131029028</v>
      </c>
      <c r="AB44" s="100">
        <f t="shared" si="653"/>
        <v>250299.46534680662</v>
      </c>
      <c r="AC44" s="100">
        <f t="shared" si="653"/>
        <v>252613.33913006709</v>
      </c>
      <c r="AD44" s="100">
        <f t="shared" si="653"/>
        <v>254930.10988443822</v>
      </c>
      <c r="AE44" s="100">
        <f t="shared" si="653"/>
        <v>257249.78485234792</v>
      </c>
      <c r="AF44" s="100">
        <f t="shared" si="653"/>
        <v>259572.37129433034</v>
      </c>
      <c r="AG44" s="100">
        <f t="shared" si="653"/>
        <v>261897.87648907036</v>
      </c>
      <c r="AH44" s="100">
        <f t="shared" si="653"/>
        <v>264621.65907078504</v>
      </c>
      <c r="AI44" s="100">
        <f t="shared" si="653"/>
        <v>267376.22121138894</v>
      </c>
      <c r="AJ44" s="100">
        <f t="shared" si="653"/>
        <v>268968.35432005208</v>
      </c>
      <c r="AK44" s="100">
        <f t="shared" si="653"/>
        <v>270565.79453907744</v>
      </c>
      <c r="AL44" s="100">
        <f t="shared" si="653"/>
        <v>272168.55955883279</v>
      </c>
      <c r="AM44" s="100">
        <f t="shared" si="653"/>
        <v>273776.66712865414</v>
      </c>
      <c r="AN44" s="100">
        <f t="shared" si="653"/>
        <v>275390.13505704119</v>
      </c>
      <c r="AO44" s="100">
        <f t="shared" si="653"/>
        <v>277008.98121185671</v>
      </c>
      <c r="AP44" s="100">
        <f t="shared" si="653"/>
        <v>278633.22352052113</v>
      </c>
      <c r="AQ44" s="100">
        <f t="shared" si="653"/>
        <v>280262.87997021474</v>
      </c>
      <c r="AR44" s="100">
        <f t="shared" si="653"/>
        <v>281897.96860807389</v>
      </c>
      <c r="AS44" s="100">
        <f t="shared" si="653"/>
        <v>283538.50754139258</v>
      </c>
      <c r="AT44" s="100">
        <f t="shared" si="653"/>
        <v>279201.17738737969</v>
      </c>
      <c r="AU44" s="100">
        <f t="shared" si="653"/>
        <v>280438.76919857034</v>
      </c>
      <c r="AV44" s="100">
        <f t="shared" si="653"/>
        <v>281679.45498928888</v>
      </c>
      <c r="AW44" s="100">
        <f t="shared" si="653"/>
        <v>282923.24249448435</v>
      </c>
      <c r="AX44" s="100">
        <f t="shared" si="653"/>
        <v>284170.13946844253</v>
      </c>
      <c r="AY44" s="100">
        <f t="shared" si="653"/>
        <v>285420.15368483576</v>
      </c>
      <c r="AZ44" s="100">
        <f t="shared" si="653"/>
        <v>286673.29293677007</v>
      </c>
      <c r="BA44" s="100">
        <f t="shared" si="653"/>
        <v>287929.5650368341</v>
      </c>
      <c r="BB44" s="100">
        <f t="shared" si="653"/>
        <v>289188.97781714832</v>
      </c>
      <c r="BC44" s="100">
        <f t="shared" si="653"/>
        <v>290451.5391294132</v>
      </c>
      <c r="BD44" s="100">
        <f t="shared" si="653"/>
        <v>291717.25684495887</v>
      </c>
      <c r="BE44" s="100">
        <f t="shared" si="653"/>
        <v>292986.13885479339</v>
      </c>
      <c r="BF44" s="100">
        <f t="shared" si="653"/>
        <v>288547.61395663733</v>
      </c>
      <c r="BG44" s="100">
        <f t="shared" si="653"/>
        <v>289822.84830703365</v>
      </c>
      <c r="BH44" s="100">
        <f t="shared" si="653"/>
        <v>291101.27074330597</v>
      </c>
      <c r="BI44" s="100">
        <f t="shared" si="653"/>
        <v>292382.88923566893</v>
      </c>
      <c r="BJ44" s="100">
        <f t="shared" si="653"/>
        <v>293667.7117742626</v>
      </c>
      <c r="BK44" s="100">
        <f t="shared" si="653"/>
        <v>294955.74636920297</v>
      </c>
      <c r="BL44" s="100">
        <f t="shared" si="653"/>
        <v>296247.00105063088</v>
      </c>
      <c r="BM44" s="100">
        <f t="shared" si="653"/>
        <v>297541.48386876186</v>
      </c>
      <c r="BN44" s="100">
        <f t="shared" si="653"/>
        <v>298839.20289393846</v>
      </c>
      <c r="BO44" s="100">
        <f t="shared" si="653"/>
        <v>300140.1662166781</v>
      </c>
      <c r="BP44" s="100">
        <f t="shared" si="653"/>
        <v>301444.38194772438</v>
      </c>
      <c r="BQ44" s="100">
        <f t="shared" si="653"/>
        <v>302751.85821809829</v>
      </c>
      <c r="BR44" s="100">
        <f t="shared" si="653"/>
        <v>298209.68658529001</v>
      </c>
      <c r="BS44" s="100">
        <f t="shared" si="653"/>
        <v>299523.70840874244</v>
      </c>
      <c r="BT44" s="100">
        <f t="shared" si="653"/>
        <v>300841.01528675354</v>
      </c>
      <c r="BU44" s="100">
        <f t="shared" si="653"/>
        <v>302161.6154319598</v>
      </c>
      <c r="BV44" s="100">
        <f t="shared" si="653"/>
        <v>303485.5170775291</v>
      </c>
      <c r="BW44" s="100">
        <f t="shared" si="653"/>
        <v>304812.72847721219</v>
      </c>
      <c r="BX44" s="100">
        <f t="shared" si="653"/>
        <v>306143.25790539465</v>
      </c>
      <c r="BY44" s="100">
        <f t="shared" ref="BY44:EJ44" si="654">BY29+BY42</f>
        <v>307477.11365714739</v>
      </c>
      <c r="BZ44" s="100">
        <f t="shared" si="654"/>
        <v>308814.30404827936</v>
      </c>
      <c r="CA44" s="100">
        <f t="shared" si="654"/>
        <v>310154.8374153896</v>
      </c>
      <c r="CB44" s="100">
        <f t="shared" si="654"/>
        <v>311498.72211591736</v>
      </c>
      <c r="CC44" s="100">
        <f t="shared" si="654"/>
        <v>312845.96652819635</v>
      </c>
      <c r="CD44" s="100">
        <f t="shared" si="654"/>
        <v>308197.63445023017</v>
      </c>
      <c r="CE44" s="100">
        <f t="shared" si="654"/>
        <v>309551.62350484822</v>
      </c>
      <c r="CF44" s="100">
        <f t="shared" si="654"/>
        <v>310908.99753210298</v>
      </c>
      <c r="CG44" s="100">
        <f t="shared" si="654"/>
        <v>312269.7649944257</v>
      </c>
      <c r="CH44" s="100">
        <f t="shared" si="654"/>
        <v>313633.93437540415</v>
      </c>
      <c r="CI44" s="100">
        <f t="shared" si="654"/>
        <v>315001.51417983515</v>
      </c>
      <c r="CJ44" s="100">
        <f t="shared" si="654"/>
        <v>316372.51293377735</v>
      </c>
      <c r="CK44" s="100">
        <f t="shared" si="654"/>
        <v>317746.9391846041</v>
      </c>
      <c r="CL44" s="100">
        <f t="shared" si="654"/>
        <v>319124.80150105816</v>
      </c>
      <c r="CM44" s="100">
        <f t="shared" si="654"/>
        <v>320506.10847330326</v>
      </c>
      <c r="CN44" s="100">
        <f t="shared" si="654"/>
        <v>321890.86871297902</v>
      </c>
      <c r="CO44" s="100">
        <f t="shared" si="654"/>
        <v>323279.09085325396</v>
      </c>
      <c r="CP44" s="100">
        <f t="shared" si="654"/>
        <v>318522.02128977142</v>
      </c>
      <c r="CQ44" s="100">
        <f t="shared" si="654"/>
        <v>319917.19321713626</v>
      </c>
      <c r="CR44" s="100">
        <f t="shared" si="654"/>
        <v>321315.8530743192</v>
      </c>
      <c r="CS44" s="100">
        <f t="shared" si="654"/>
        <v>322718.00958114536</v>
      </c>
      <c r="CT44" s="100">
        <f t="shared" si="654"/>
        <v>324123.67147923831</v>
      </c>
      <c r="CU44" s="100">
        <f t="shared" si="654"/>
        <v>325532.84753207664</v>
      </c>
      <c r="CV44" s="100">
        <f t="shared" si="654"/>
        <v>326945.54652504704</v>
      </c>
      <c r="CW44" s="100">
        <f t="shared" si="654"/>
        <v>328361.77726550004</v>
      </c>
      <c r="CX44" s="100">
        <f t="shared" si="654"/>
        <v>329781.54858280404</v>
      </c>
      <c r="CY44" s="100">
        <f t="shared" si="654"/>
        <v>331204.86932840128</v>
      </c>
      <c r="CZ44" s="100">
        <f t="shared" si="654"/>
        <v>332631.74837586272</v>
      </c>
      <c r="DA44" s="100">
        <f t="shared" si="654"/>
        <v>334062.19462094258</v>
      </c>
      <c r="DB44" s="100">
        <f t="shared" si="654"/>
        <v>329193.74554856401</v>
      </c>
      <c r="DC44" s="100">
        <f t="shared" si="654"/>
        <v>330631.35296515835</v>
      </c>
      <c r="DD44" s="100">
        <f t="shared" si="654"/>
        <v>332072.5544002942</v>
      </c>
      <c r="DE44" s="100">
        <f t="shared" si="654"/>
        <v>333517.35883901792</v>
      </c>
      <c r="DF44" s="100">
        <f t="shared" si="654"/>
        <v>334965.77528883831</v>
      </c>
      <c r="DG44" s="100">
        <f t="shared" si="654"/>
        <v>336417.81277978339</v>
      </c>
      <c r="DH44" s="100">
        <f t="shared" si="654"/>
        <v>337873.48036445573</v>
      </c>
      <c r="DI44" s="100">
        <f t="shared" si="654"/>
        <v>339332.78711808973</v>
      </c>
      <c r="DJ44" s="100">
        <f t="shared" si="654"/>
        <v>340795.74213860789</v>
      </c>
      <c r="DK44" s="100">
        <f t="shared" si="654"/>
        <v>342262.35454667732</v>
      </c>
      <c r="DL44" s="100">
        <f t="shared" si="654"/>
        <v>343732.63348576694</v>
      </c>
      <c r="DM44" s="100">
        <f t="shared" si="654"/>
        <v>345206.58812220424</v>
      </c>
      <c r="DN44" s="100">
        <f t="shared" si="654"/>
        <v>340224.05083685607</v>
      </c>
      <c r="DO44" s="100">
        <f t="shared" si="654"/>
        <v>341705.38445869205</v>
      </c>
      <c r="DP44" s="100">
        <f t="shared" si="654"/>
        <v>343190.42141458258</v>
      </c>
      <c r="DQ44" s="100">
        <f t="shared" si="654"/>
        <v>344679.17096286296</v>
      </c>
      <c r="DR44" s="100">
        <f t="shared" si="654"/>
        <v>346171.64238501393</v>
      </c>
      <c r="DS44" s="100">
        <f t="shared" si="654"/>
        <v>347667.84498572041</v>
      </c>
      <c r="DT44" s="100">
        <f t="shared" si="654"/>
        <v>349167.78809292853</v>
      </c>
      <c r="DU44" s="100">
        <f t="shared" si="654"/>
        <v>350671.48105790484</v>
      </c>
      <c r="DV44" s="100">
        <f t="shared" si="654"/>
        <v>352178.93325529335</v>
      </c>
      <c r="DW44" s="100">
        <f t="shared" si="654"/>
        <v>353690.15408317553</v>
      </c>
      <c r="DX44" s="100">
        <f t="shared" si="654"/>
        <v>355205.15296312748</v>
      </c>
      <c r="DY44" s="100">
        <f t="shared" si="654"/>
        <v>356723.93934027903</v>
      </c>
      <c r="DZ44" s="100">
        <f t="shared" si="654"/>
        <v>351624.53671378584</v>
      </c>
      <c r="EA44" s="100">
        <f t="shared" si="654"/>
        <v>353150.92651523818</v>
      </c>
      <c r="EB44" s="100">
        <f t="shared" si="654"/>
        <v>354681.13229119417</v>
      </c>
      <c r="EC44" s="100">
        <f t="shared" si="654"/>
        <v>356215.16358159005</v>
      </c>
      <c r="ED44" s="100">
        <f t="shared" si="654"/>
        <v>357753.02995021181</v>
      </c>
      <c r="EE44" s="100">
        <f t="shared" si="654"/>
        <v>359294.74098475516</v>
      </c>
      <c r="EF44" s="100">
        <f t="shared" si="654"/>
        <v>360840.3062968849</v>
      </c>
      <c r="EG44" s="100">
        <f t="shared" si="654"/>
        <v>362389.73552229494</v>
      </c>
      <c r="EH44" s="100">
        <f t="shared" si="654"/>
        <v>363943.03832076839</v>
      </c>
      <c r="EI44" s="100">
        <f t="shared" si="654"/>
        <v>365500.22437623824</v>
      </c>
      <c r="EJ44" s="100">
        <f t="shared" si="654"/>
        <v>367061.30339684675</v>
      </c>
      <c r="EK44" s="100">
        <f t="shared" ref="EK44:EX44" si="655">EK29+EK42</f>
        <v>368626.28511500685</v>
      </c>
      <c r="EM44" s="24">
        <f t="shared" si="655"/>
        <v>0</v>
      </c>
      <c r="EN44" s="24">
        <f t="shared" si="655"/>
        <v>2738296.4331929479</v>
      </c>
      <c r="EO44" s="24">
        <f t="shared" si="655"/>
        <v>2989929.712007646</v>
      </c>
      <c r="EP44" s="24">
        <f t="shared" si="655"/>
        <v>3294208.9517378882</v>
      </c>
      <c r="EQ44" s="24">
        <f t="shared" si="655"/>
        <v>3432779.70784292</v>
      </c>
      <c r="ER44" s="24">
        <f t="shared" si="655"/>
        <v>3547442.1745819435</v>
      </c>
      <c r="ES44" s="24">
        <f t="shared" si="655"/>
        <v>3665968.4729378098</v>
      </c>
      <c r="ET44" s="24">
        <f t="shared" si="655"/>
        <v>3788483.7906958228</v>
      </c>
      <c r="EU44" s="24">
        <f t="shared" si="655"/>
        <v>3915117.2808722444</v>
      </c>
      <c r="EV44" s="24">
        <f t="shared" si="655"/>
        <v>4046002.1855974593</v>
      </c>
      <c r="EW44" s="24">
        <f t="shared" si="655"/>
        <v>4181275.9638364385</v>
      </c>
      <c r="EX44" s="24">
        <f t="shared" si="655"/>
        <v>4321080.4230648149</v>
      </c>
    </row>
    <row r="45" spans="2:154" x14ac:dyDescent="0.3">
      <c r="B45" s="42" t="s">
        <v>126</v>
      </c>
      <c r="J45" s="87">
        <f>SUM(K44:V44)</f>
        <v>2751817.95859421</v>
      </c>
      <c r="K45" s="87">
        <f t="shared" ref="K45:L45" si="656">SUM(L44:W44)</f>
        <v>2767636.1270347866</v>
      </c>
      <c r="L45" s="87">
        <f t="shared" si="656"/>
        <v>2784611.3402417903</v>
      </c>
      <c r="M45" s="87">
        <f t="shared" ref="M45" si="657">SUM(N44:Y44)</f>
        <v>2802746.4592442065</v>
      </c>
      <c r="N45" s="87">
        <f t="shared" ref="N45" si="658">SUM(O44:Z44)</f>
        <v>2822044.3522235961</v>
      </c>
      <c r="O45" s="87">
        <f t="shared" ref="O45" si="659">SUM(P44:AA44)</f>
        <v>2842507.8945319708</v>
      </c>
      <c r="P45" s="87">
        <f t="shared" ref="P45" si="660">SUM(Q44:AB44)</f>
        <v>2864139.9687097245</v>
      </c>
      <c r="Q45" s="87">
        <f t="shared" ref="Q45" si="661">SUM(R44:AC44)</f>
        <v>2886943.4645036007</v>
      </c>
      <c r="R45" s="87">
        <f t="shared" ref="R45" si="662">SUM(S44:AD44)</f>
        <v>2910921.2788847103</v>
      </c>
      <c r="S45" s="87">
        <f t="shared" ref="S45" si="663">SUM(T44:AE44)</f>
        <v>2936076.3160665915</v>
      </c>
      <c r="T45" s="87">
        <f t="shared" ref="T45" si="664">SUM(U44:AF44)</f>
        <v>2962411.4875233173</v>
      </c>
      <c r="U45" s="87">
        <f t="shared" ref="U45" si="665">SUM(V44:AG44)</f>
        <v>2989929.712007646</v>
      </c>
      <c r="V45" s="87">
        <f t="shared" ref="V45" si="666">SUM(W44:AH44)</f>
        <v>3018074.7153438046</v>
      </c>
      <c r="W45" s="87">
        <f t="shared" ref="W45" si="667">SUM(X44:AI44)</f>
        <v>3046677.6377812531</v>
      </c>
      <c r="X45" s="87">
        <f t="shared" ref="X45" si="668">SUM(Y44:AJ44)</f>
        <v>3074573.1963938</v>
      </c>
      <c r="Y45" s="87">
        <f t="shared" ref="Y45" si="669">SUM(Z44:AK44)</f>
        <v>3101763.8372628205</v>
      </c>
      <c r="Z45" s="87">
        <f t="shared" ref="Z45" si="670">SUM(AA44:AL44)</f>
        <v>3128252.0170074869</v>
      </c>
      <c r="AA45" s="87">
        <f t="shared" ref="AA45" si="671">SUM(AB44:AM44)</f>
        <v>3154040.2028258508</v>
      </c>
      <c r="AB45" s="87">
        <f t="shared" ref="AB45" si="672">SUM(AC44:AN44)</f>
        <v>3179130.8725360855</v>
      </c>
      <c r="AC45" s="87">
        <f t="shared" ref="AC45" si="673">SUM(AD44:AO44)</f>
        <v>3203526.5146178761</v>
      </c>
      <c r="AD45" s="87">
        <f t="shared" ref="AD45" si="674">SUM(AE44:AP44)</f>
        <v>3227229.6282539582</v>
      </c>
      <c r="AE45" s="87">
        <f t="shared" ref="AE45" si="675">SUM(AF44:AQ44)</f>
        <v>3250242.7233718247</v>
      </c>
      <c r="AF45" s="87">
        <f t="shared" ref="AF45" si="676">SUM(AG44:AR44)</f>
        <v>3272568.3206855687</v>
      </c>
      <c r="AG45" s="87">
        <f t="shared" ref="AG45" si="677">SUM(AH44:AS44)</f>
        <v>3294208.951737891</v>
      </c>
      <c r="AH45" s="87">
        <f t="shared" ref="AH45" si="678">SUM(AI44:AT44)</f>
        <v>3308788.4700544854</v>
      </c>
      <c r="AI45" s="87">
        <f t="shared" ref="AI45" si="679">SUM(AJ44:AU44)</f>
        <v>3321851.0180416666</v>
      </c>
      <c r="AJ45" s="87">
        <f t="shared" ref="AJ45" si="680">SUM(AK44:AV44)</f>
        <v>3334562.1187109035</v>
      </c>
      <c r="AK45" s="87">
        <f t="shared" ref="AK45" si="681">SUM(AL44:AW44)</f>
        <v>3346919.5666663107</v>
      </c>
      <c r="AL45" s="87">
        <f t="shared" ref="AL45" si="682">SUM(AM44:AX44)</f>
        <v>3358921.1465759203</v>
      </c>
      <c r="AM45" s="87">
        <f t="shared" ref="AM45" si="683">SUM(AN44:AY44)</f>
        <v>3370564.633132102</v>
      </c>
      <c r="AN45" s="87">
        <f t="shared" ref="AN45" si="684">SUM(AO44:AZ44)</f>
        <v>3381847.7910118313</v>
      </c>
      <c r="AO45" s="87">
        <f t="shared" ref="AO45" si="685">SUM(AP44:BA44)</f>
        <v>3392768.3748368085</v>
      </c>
      <c r="AP45" s="87">
        <f t="shared" ref="AP45" si="686">SUM(AQ44:BB44)</f>
        <v>3403324.1291334359</v>
      </c>
      <c r="AQ45" s="87">
        <f t="shared" ref="AQ45" si="687">SUM(AR44:BC44)</f>
        <v>3413512.7882926343</v>
      </c>
      <c r="AR45" s="87">
        <f t="shared" ref="AR45" si="688">SUM(AS44:BD44)</f>
        <v>3423332.0765295192</v>
      </c>
      <c r="AS45" s="87">
        <f t="shared" ref="AS45" si="689">SUM(AT44:BE44)</f>
        <v>3432779.7078429195</v>
      </c>
      <c r="AT45" s="87">
        <f t="shared" ref="AT45" si="690">SUM(AU44:BF44)</f>
        <v>3442126.1444121767</v>
      </c>
      <c r="AU45" s="87">
        <f t="shared" ref="AU45" si="691">SUM(AV44:BG44)</f>
        <v>3451510.2235206398</v>
      </c>
      <c r="AV45" s="87">
        <f t="shared" ref="AV45" si="692">SUM(AW44:BH44)</f>
        <v>3460932.0392746571</v>
      </c>
      <c r="AW45" s="87">
        <f t="shared" ref="AW45" si="693">SUM(AX44:BI44)</f>
        <v>3470391.6860158416</v>
      </c>
      <c r="AX45" s="87">
        <f t="shared" ref="AX45" si="694">SUM(AY44:BJ44)</f>
        <v>3479889.2583216615</v>
      </c>
      <c r="AY45" s="87">
        <f t="shared" ref="AY45" si="695">SUM(AZ44:BK44)</f>
        <v>3489424.8510060287</v>
      </c>
      <c r="AZ45" s="87">
        <f t="shared" ref="AZ45" si="696">SUM(BA44:BL44)</f>
        <v>3498998.55911989</v>
      </c>
      <c r="BA45" s="87">
        <f t="shared" ref="BA45" si="697">SUM(BB44:BM44)</f>
        <v>3508610.4779518181</v>
      </c>
      <c r="BB45" s="87">
        <f t="shared" ref="BB45" si="698">SUM(BC44:BN44)</f>
        <v>3518260.7030286086</v>
      </c>
      <c r="BC45" s="87">
        <f t="shared" ref="BC45" si="699">SUM(BD44:BO44)</f>
        <v>3527949.3301158734</v>
      </c>
      <c r="BD45" s="87">
        <f t="shared" ref="BD45" si="700">SUM(BE44:BP44)</f>
        <v>3537676.4552186383</v>
      </c>
      <c r="BE45" s="87">
        <f t="shared" ref="BE45" si="701">SUM(BF44:BQ44)</f>
        <v>3547442.1745819431</v>
      </c>
      <c r="BF45" s="87">
        <f t="shared" ref="BF45" si="702">SUM(BG44:BR44)</f>
        <v>3557104.2472105962</v>
      </c>
      <c r="BG45" s="87">
        <f t="shared" ref="BG45" si="703">SUM(BH44:BS44)</f>
        <v>3566805.1073123049</v>
      </c>
      <c r="BH45" s="87">
        <f t="shared" ref="BH45" si="704">SUM(BI44:BT44)</f>
        <v>3576544.8518557525</v>
      </c>
      <c r="BI45" s="87">
        <f t="shared" ref="BI45" si="705">SUM(BJ44:BU44)</f>
        <v>3586323.5780520434</v>
      </c>
      <c r="BJ45" s="87">
        <f t="shared" ref="BJ45" si="706">SUM(BK44:BV44)</f>
        <v>3596141.3833553102</v>
      </c>
      <c r="BK45" s="87">
        <f t="shared" ref="BK45" si="707">SUM(BL44:BW44)</f>
        <v>3605998.3654633188</v>
      </c>
      <c r="BL45" s="87">
        <f t="shared" ref="BL45" si="708">SUM(BM44:BX44)</f>
        <v>3615894.622318083</v>
      </c>
      <c r="BM45" s="87">
        <f t="shared" ref="BM45" si="709">SUM(BN44:BY44)</f>
        <v>3625830.2521064682</v>
      </c>
      <c r="BN45" s="87">
        <f t="shared" ref="BN45" si="710">SUM(BO44:BZ44)</f>
        <v>3635805.3532608086</v>
      </c>
      <c r="BO45" s="87">
        <f t="shared" ref="BO45" si="711">SUM(BP44:CA44)</f>
        <v>3645820.0244595204</v>
      </c>
      <c r="BP45" s="87">
        <f t="shared" ref="BP45" si="712">SUM(BQ44:CB44)</f>
        <v>3655874.3646277133</v>
      </c>
      <c r="BQ45" s="87">
        <f t="shared" ref="BQ45" si="713">SUM(BR44:CC44)</f>
        <v>3665968.4729378116</v>
      </c>
      <c r="BR45" s="87">
        <f t="shared" ref="BR45" si="714">SUM(BS44:CD44)</f>
        <v>3675956.4208027516</v>
      </c>
      <c r="BS45" s="87">
        <f t="shared" ref="BS45" si="715">SUM(BT44:CE44)</f>
        <v>3685984.3358988585</v>
      </c>
      <c r="BT45" s="87">
        <f t="shared" ref="BT45" si="716">SUM(BU44:CF44)</f>
        <v>3696052.3181442069</v>
      </c>
      <c r="BU45" s="87">
        <f t="shared" ref="BU45" si="717">SUM(BV44:CG44)</f>
        <v>3706160.4677066738</v>
      </c>
      <c r="BV45" s="87">
        <f t="shared" ref="BV45" si="718">SUM(BW44:CH44)</f>
        <v>3716308.8850045484</v>
      </c>
      <c r="BW45" s="87">
        <f t="shared" ref="BW45" si="719">SUM(BX44:CI44)</f>
        <v>3726497.6707071709</v>
      </c>
      <c r="BX45" s="87">
        <f t="shared" ref="BX45" si="720">SUM(BY44:CJ44)</f>
        <v>3736726.9257355542</v>
      </c>
      <c r="BY45" s="87">
        <f t="shared" ref="BY45" si="721">SUM(BZ44:CK44)</f>
        <v>3746996.7512630108</v>
      </c>
      <c r="BZ45" s="87">
        <f t="shared" ref="BZ45" si="722">SUM(CA44:CL44)</f>
        <v>3757307.2487157895</v>
      </c>
      <c r="CA45" s="87">
        <f t="shared" ref="CA45" si="723">SUM(CB44:CM44)</f>
        <v>3767658.5197737026</v>
      </c>
      <c r="CB45" s="87">
        <f t="shared" ref="CB45" si="724">SUM(CC44:CN44)</f>
        <v>3778050.6663707644</v>
      </c>
      <c r="CC45" s="87">
        <f t="shared" ref="CC45" si="725">SUM(CD44:CO44)</f>
        <v>3788483.7906958219</v>
      </c>
      <c r="CD45" s="87">
        <f t="shared" ref="CD45" si="726">SUM(CE44:CP44)</f>
        <v>3798808.177535363</v>
      </c>
      <c r="CE45" s="87">
        <f t="shared" ref="CE45" si="727">SUM(CF44:CQ44)</f>
        <v>3809173.7472476512</v>
      </c>
      <c r="CF45" s="87">
        <f t="shared" ref="CF45" si="728">SUM(CG44:CR44)</f>
        <v>3819580.6027898677</v>
      </c>
      <c r="CG45" s="87">
        <f t="shared" ref="CG45" si="729">SUM(CH44:CS44)</f>
        <v>3830028.8473765873</v>
      </c>
      <c r="CH45" s="87">
        <f t="shared" ref="CH45" si="730">SUM(CI44:CT44)</f>
        <v>3840518.5844804216</v>
      </c>
      <c r="CI45" s="87">
        <f t="shared" ref="CI45" si="731">SUM(CJ44:CU44)</f>
        <v>3851049.9178326628</v>
      </c>
      <c r="CJ45" s="87">
        <f t="shared" ref="CJ45" si="732">SUM(CK44:CV44)</f>
        <v>3861622.9514239328</v>
      </c>
      <c r="CK45" s="87">
        <f t="shared" ref="CK45" si="733">SUM(CL44:CW44)</f>
        <v>3872237.7895048289</v>
      </c>
      <c r="CL45" s="87">
        <f t="shared" ref="CL45" si="734">SUM(CM44:CX44)</f>
        <v>3882894.5365865747</v>
      </c>
      <c r="CM45" s="87">
        <f t="shared" ref="CM45" si="735">SUM(CN44:CY44)</f>
        <v>3893593.2974416725</v>
      </c>
      <c r="CN45" s="87">
        <f t="shared" ref="CN45" si="736">SUM(CO44:CZ44)</f>
        <v>3904334.1771045569</v>
      </c>
      <c r="CO45" s="87">
        <f t="shared" ref="CO45" si="737">SUM(CP44:DA44)</f>
        <v>3915117.2808722453</v>
      </c>
      <c r="CP45" s="87">
        <f t="shared" ref="CP45" si="738">SUM(CQ44:DB44)</f>
        <v>3925789.0051310379</v>
      </c>
      <c r="CQ45" s="87">
        <f t="shared" ref="CQ45" si="739">SUM(CR44:DC44)</f>
        <v>3936503.1648790604</v>
      </c>
      <c r="CR45" s="87">
        <f t="shared" ref="CR45" si="740">SUM(CS44:DD44)</f>
        <v>3947259.8662050348</v>
      </c>
      <c r="CS45" s="87">
        <f t="shared" ref="CS45" si="741">SUM(CT44:DE44)</f>
        <v>3958059.2154629068</v>
      </c>
      <c r="CT45" s="87">
        <f t="shared" ref="CT45" si="742">SUM(CU44:DF44)</f>
        <v>3968901.319272507</v>
      </c>
      <c r="CU45" s="87">
        <f t="shared" ref="CU45" si="743">SUM(CV44:DG44)</f>
        <v>3979786.284520214</v>
      </c>
      <c r="CV45" s="87">
        <f t="shared" ref="CV45" si="744">SUM(CW44:DH44)</f>
        <v>3990714.2183596226</v>
      </c>
      <c r="CW45" s="87">
        <f t="shared" ref="CW45" si="745">SUM(CX44:DI44)</f>
        <v>4001685.2282122122</v>
      </c>
      <c r="CX45" s="87">
        <f t="shared" ref="CX45" si="746">SUM(CY44:DJ44)</f>
        <v>4012699.4217680162</v>
      </c>
      <c r="CY45" s="87">
        <f t="shared" ref="CY45" si="747">SUM(CZ44:DK44)</f>
        <v>4023756.9069862925</v>
      </c>
      <c r="CZ45" s="87">
        <f t="shared" ref="CZ45" si="748">SUM(DA44:DL44)</f>
        <v>4034857.7920961967</v>
      </c>
      <c r="DA45" s="87">
        <f t="shared" ref="DA45" si="749">SUM(DB44:DM44)</f>
        <v>4046002.1855974584</v>
      </c>
      <c r="DB45" s="87">
        <f t="shared" ref="DB45" si="750">SUM(DC44:DN44)</f>
        <v>4057032.4908857504</v>
      </c>
      <c r="DC45" s="87">
        <f t="shared" ref="DC45" si="751">SUM(DD44:DO44)</f>
        <v>4068106.5223792838</v>
      </c>
      <c r="DD45" s="87">
        <f t="shared" ref="DD45" si="752">SUM(DE44:DP44)</f>
        <v>4079224.3893935722</v>
      </c>
      <c r="DE45" s="87">
        <f t="shared" ref="DE45" si="753">SUM(DF44:DQ44)</f>
        <v>4090386.2015174171</v>
      </c>
      <c r="DF45" s="87">
        <f t="shared" ref="DF45" si="754">SUM(DG44:DR44)</f>
        <v>4101592.068613593</v>
      </c>
      <c r="DG45" s="87">
        <f t="shared" ref="DG45" si="755">SUM(DH44:DS44)</f>
        <v>4112842.10081953</v>
      </c>
      <c r="DH45" s="87">
        <f t="shared" ref="DH45" si="756">SUM(DI44:DT44)</f>
        <v>4124136.4085480026</v>
      </c>
      <c r="DI45" s="87">
        <f t="shared" ref="DI45" si="757">SUM(DJ44:DU44)</f>
        <v>4135475.1024878174</v>
      </c>
      <c r="DJ45" s="87">
        <f t="shared" ref="DJ45" si="758">SUM(DK44:DV44)</f>
        <v>4146858.2936045029</v>
      </c>
      <c r="DK45" s="87">
        <f t="shared" ref="DK45" si="759">SUM(DL44:DW44)</f>
        <v>4158286.0931410012</v>
      </c>
      <c r="DL45" s="87">
        <f t="shared" ref="DL45" si="760">SUM(DM44:DX44)</f>
        <v>4169758.6126183616</v>
      </c>
      <c r="DM45" s="87">
        <f t="shared" ref="DM45" si="761">SUM(DN44:DY44)</f>
        <v>4181275.9638364366</v>
      </c>
      <c r="DN45" s="87">
        <f t="shared" ref="DN45" si="762">SUM(DO44:DZ44)</f>
        <v>4192676.4497133666</v>
      </c>
      <c r="DO45" s="87">
        <f t="shared" ref="DO45" si="763">SUM(DP44:EA44)</f>
        <v>4204121.9917699127</v>
      </c>
      <c r="DP45" s="87">
        <f t="shared" ref="DP45" si="764">SUM(DQ44:EB44)</f>
        <v>4215612.7026465246</v>
      </c>
      <c r="DQ45" s="87">
        <f t="shared" ref="DQ45" si="765">SUM(DR44:EC44)</f>
        <v>4227148.6952652512</v>
      </c>
      <c r="DR45" s="87">
        <f t="shared" ref="DR45" si="766">SUM(DS44:ED44)</f>
        <v>4238730.0828304496</v>
      </c>
      <c r="DS45" s="87">
        <f t="shared" ref="DS45" si="767">SUM(DT44:EE44)</f>
        <v>4250356.9788294844</v>
      </c>
      <c r="DT45" s="87">
        <f t="shared" ref="DT45" si="768">SUM(DU44:EF44)</f>
        <v>4262029.4970334405</v>
      </c>
      <c r="DU45" s="87">
        <f t="shared" ref="DU45" si="769">SUM(DV44:EG44)</f>
        <v>4273747.7514978312</v>
      </c>
      <c r="DV45" s="87">
        <f t="shared" ref="DV45" si="770">SUM(DW44:EH44)</f>
        <v>4285511.8565633055</v>
      </c>
      <c r="DW45" s="87">
        <f t="shared" ref="DW45" si="771">SUM(DX44:EI44)</f>
        <v>4297321.9268563678</v>
      </c>
      <c r="DX45" s="87">
        <f t="shared" ref="DX45" si="772">SUM(DY44:EJ44)</f>
        <v>4309178.0772900879</v>
      </c>
      <c r="DY45" s="87">
        <f t="shared" ref="DY45" si="773">SUM(DZ44:EK44)</f>
        <v>4321080.4230648149</v>
      </c>
      <c r="DZ45" s="87">
        <f t="shared" ref="DZ45" si="774">SUM(EA44:EL44)</f>
        <v>3969455.8863510299</v>
      </c>
      <c r="EA45" s="87">
        <f t="shared" ref="EA45" si="775">SUM(EB44:EM44)</f>
        <v>3616304.9598357915</v>
      </c>
      <c r="EB45" s="87">
        <f t="shared" ref="EB45" si="776">SUM(EC44:EN44)</f>
        <v>5999920.2607375458</v>
      </c>
      <c r="EC45" s="87">
        <f t="shared" ref="EC45" si="777">SUM(ED44:EO44)</f>
        <v>8633634.8091636002</v>
      </c>
      <c r="ED45" s="87">
        <f t="shared" ref="ED45" si="778">SUM(EE44:EP44)</f>
        <v>11570090.730951278</v>
      </c>
      <c r="EE45" s="87">
        <f t="shared" ref="EE45" si="779">SUM(EF44:EQ44)</f>
        <v>14643575.697809441</v>
      </c>
      <c r="EF45" s="87">
        <f t="shared" ref="EF45" si="780">SUM(EG44:ER44)</f>
        <v>17830177.566094499</v>
      </c>
      <c r="EG45" s="87">
        <f t="shared" ref="EG45" si="781">SUM(EH44:ES44)</f>
        <v>21133756.303510018</v>
      </c>
      <c r="EH45" s="87">
        <f t="shared" ref="EH45" si="782">SUM(EI44:ET44)</f>
        <v>24558297.055885073</v>
      </c>
      <c r="EI45" s="87">
        <f t="shared" ref="EI45" si="783">SUM(EJ44:EU44)</f>
        <v>28107914.112381078</v>
      </c>
      <c r="EJ45" s="87">
        <f t="shared" ref="EJ45" si="784">SUM(EK44:EV44)</f>
        <v>31786854.994581692</v>
      </c>
      <c r="EK45" s="87">
        <f t="shared" ref="EK45" si="785">SUM(EL44:EW44)</f>
        <v>35599504.67330312</v>
      </c>
      <c r="EN45" s="20"/>
      <c r="EO45" s="20"/>
      <c r="EP45" s="20"/>
      <c r="EQ45" s="20"/>
      <c r="ER45" s="20"/>
      <c r="ES45" s="20"/>
      <c r="ET45" s="20"/>
      <c r="EU45" s="20"/>
      <c r="EV45" s="20"/>
      <c r="EW45" s="20"/>
    </row>
    <row r="46" spans="2:154" x14ac:dyDescent="0.3">
      <c r="B46" s="113" t="s">
        <v>155</v>
      </c>
      <c r="E46" s="117">
        <f>E44/E29</f>
        <v>0.45338463570130461</v>
      </c>
      <c r="F46" s="117">
        <f>F44/F29</f>
        <v>0.48013013367741431</v>
      </c>
      <c r="J46" s="117">
        <f>J44/J29</f>
        <v>0.45074957542037764</v>
      </c>
      <c r="K46" s="117">
        <f t="shared" ref="K46:BV46" si="786">K44/K29</f>
        <v>0.45074957542037764</v>
      </c>
      <c r="L46" s="117">
        <f t="shared" si="786"/>
        <v>0.45198329595093206</v>
      </c>
      <c r="M46" s="117">
        <f t="shared" si="786"/>
        <v>0.45321117038186587</v>
      </c>
      <c r="N46" s="117">
        <f t="shared" si="786"/>
        <v>0.45443324016839048</v>
      </c>
      <c r="O46" s="117">
        <f t="shared" si="786"/>
        <v>0.45564954637469174</v>
      </c>
      <c r="P46" s="117">
        <f t="shared" si="786"/>
        <v>0.4568601296785289</v>
      </c>
      <c r="Q46" s="117">
        <f t="shared" si="786"/>
        <v>0.45806503037576979</v>
      </c>
      <c r="R46" s="117">
        <f t="shared" si="786"/>
        <v>0.45926428838486211</v>
      </c>
      <c r="S46" s="117">
        <f t="shared" si="786"/>
        <v>0.46045794325124156</v>
      </c>
      <c r="T46" s="117">
        <f t="shared" si="786"/>
        <v>0.46164603415167871</v>
      </c>
      <c r="U46" s="117">
        <f t="shared" si="786"/>
        <v>0.46282859989856523</v>
      </c>
      <c r="V46" s="117">
        <f t="shared" si="786"/>
        <v>0.45922695877111264</v>
      </c>
      <c r="W46" s="117">
        <f t="shared" si="786"/>
        <v>0.46156519621686432</v>
      </c>
      <c r="X46" s="117">
        <f t="shared" si="786"/>
        <v>0.46388499849279274</v>
      </c>
      <c r="Y46" s="117">
        <f t="shared" si="786"/>
        <v>0.46618658456616752</v>
      </c>
      <c r="Z46" s="117">
        <f t="shared" si="786"/>
        <v>0.46847016994603197</v>
      </c>
      <c r="AA46" s="117">
        <f t="shared" si="786"/>
        <v>0.47073596675118778</v>
      </c>
      <c r="AB46" s="117">
        <f t="shared" si="786"/>
        <v>0.47298418377658374</v>
      </c>
      <c r="AC46" s="117">
        <f t="shared" si="786"/>
        <v>0.47521502655814979</v>
      </c>
      <c r="AD46" s="117">
        <f t="shared" si="786"/>
        <v>0.47742869743611888</v>
      </c>
      <c r="AE46" s="117">
        <f t="shared" si="786"/>
        <v>0.47962539561688</v>
      </c>
      <c r="AF46" s="117">
        <f t="shared" si="786"/>
        <v>0.48180531723339826</v>
      </c>
      <c r="AG46" s="117">
        <f t="shared" si="786"/>
        <v>0.48396865540424266</v>
      </c>
      <c r="AH46" s="117">
        <f t="shared" si="786"/>
        <v>0.48069890886514421</v>
      </c>
      <c r="AI46" s="117">
        <f t="shared" si="786"/>
        <v>0.48321062636947421</v>
      </c>
      <c r="AJ46" s="117">
        <f t="shared" si="786"/>
        <v>0.48465067606782641</v>
      </c>
      <c r="AK46" s="117">
        <f t="shared" si="786"/>
        <v>0.48608699251817467</v>
      </c>
      <c r="AL46" s="117">
        <f t="shared" si="786"/>
        <v>0.48751958229695735</v>
      </c>
      <c r="AM46" s="117">
        <f t="shared" si="786"/>
        <v>0.48894845198769371</v>
      </c>
      <c r="AN46" s="117">
        <f t="shared" si="786"/>
        <v>0.49037360818084508</v>
      </c>
      <c r="AO46" s="117">
        <f t="shared" si="786"/>
        <v>0.49179505747367974</v>
      </c>
      <c r="AP46" s="117">
        <f t="shared" si="786"/>
        <v>0.49321280647013305</v>
      </c>
      <c r="AQ46" s="117">
        <f t="shared" si="786"/>
        <v>0.49462686178067583</v>
      </c>
      <c r="AR46" s="117">
        <f t="shared" si="786"/>
        <v>0.49603723002217542</v>
      </c>
      <c r="AS46" s="117">
        <f t="shared" si="786"/>
        <v>0.49744391781776365</v>
      </c>
      <c r="AT46" s="117">
        <f t="shared" si="786"/>
        <v>0.487919623920677</v>
      </c>
      <c r="AU46" s="117">
        <f t="shared" si="786"/>
        <v>0.48899235845796019</v>
      </c>
      <c r="AV46" s="117">
        <f t="shared" si="786"/>
        <v>0.490062995692022</v>
      </c>
      <c r="AW46" s="117">
        <f t="shared" si="786"/>
        <v>0.49113153843989593</v>
      </c>
      <c r="AX46" s="117">
        <f t="shared" si="786"/>
        <v>0.4921979895206362</v>
      </c>
      <c r="AY46" s="117">
        <f t="shared" si="786"/>
        <v>0.49326235175528677</v>
      </c>
      <c r="AZ46" s="117">
        <f t="shared" si="786"/>
        <v>0.49432462796684817</v>
      </c>
      <c r="BA46" s="117">
        <f t="shared" si="786"/>
        <v>0.49538482098024567</v>
      </c>
      <c r="BB46" s="117">
        <f t="shared" si="786"/>
        <v>0.49644293362229813</v>
      </c>
      <c r="BC46" s="117">
        <f t="shared" si="786"/>
        <v>0.49749896872168548</v>
      </c>
      <c r="BD46" s="117">
        <f t="shared" si="786"/>
        <v>0.49855292910891796</v>
      </c>
      <c r="BE46" s="117">
        <f t="shared" si="786"/>
        <v>0.4996048176163036</v>
      </c>
      <c r="BF46" s="117">
        <f t="shared" si="786"/>
        <v>0.49011016330842566</v>
      </c>
      <c r="BG46" s="117">
        <f t="shared" si="786"/>
        <v>0.49117964065569725</v>
      </c>
      <c r="BH46" s="117">
        <f t="shared" si="786"/>
        <v>0.49224701987833352</v>
      </c>
      <c r="BI46" s="117">
        <f t="shared" si="786"/>
        <v>0.49331230382704955</v>
      </c>
      <c r="BJ46" s="117">
        <f t="shared" si="786"/>
        <v>0.49437549535441633</v>
      </c>
      <c r="BK46" s="117">
        <f t="shared" si="786"/>
        <v>0.49543659731483003</v>
      </c>
      <c r="BL46" s="117">
        <f t="shared" si="786"/>
        <v>0.49649561256447883</v>
      </c>
      <c r="BM46" s="117">
        <f t="shared" si="786"/>
        <v>0.49755254396131188</v>
      </c>
      <c r="BN46" s="117">
        <f t="shared" si="786"/>
        <v>0.49860739436500906</v>
      </c>
      <c r="BO46" s="117">
        <f t="shared" si="786"/>
        <v>0.49966016663694818</v>
      </c>
      <c r="BP46" s="117">
        <f t="shared" si="786"/>
        <v>0.50071086364017381</v>
      </c>
      <c r="BQ46" s="117">
        <f t="shared" si="786"/>
        <v>0.50175948823936767</v>
      </c>
      <c r="BR46" s="117">
        <f t="shared" si="786"/>
        <v>0.49229449872268854</v>
      </c>
      <c r="BS46" s="117">
        <f t="shared" si="786"/>
        <v>0.4933606759125963</v>
      </c>
      <c r="BT46" s="117">
        <f t="shared" si="786"/>
        <v>0.49442475447245016</v>
      </c>
      <c r="BU46" s="117">
        <f t="shared" si="786"/>
        <v>0.49548673728530984</v>
      </c>
      <c r="BV46" s="117">
        <f t="shared" si="786"/>
        <v>0.49654662723592941</v>
      </c>
      <c r="BW46" s="117">
        <f t="shared" ref="BW46:EH46" si="787">BW44/BW29</f>
        <v>0.49760442721072612</v>
      </c>
      <c r="BX46" s="117">
        <f t="shared" si="787"/>
        <v>0.49866014009774956</v>
      </c>
      <c r="BY46" s="117">
        <f t="shared" si="787"/>
        <v>0.49971376878664958</v>
      </c>
      <c r="BZ46" s="117">
        <f t="shared" si="787"/>
        <v>0.50076531616864617</v>
      </c>
      <c r="CA46" s="117">
        <f t="shared" si="787"/>
        <v>0.5018147851364988</v>
      </c>
      <c r="CB46" s="117">
        <f t="shared" si="787"/>
        <v>0.5028621785844738</v>
      </c>
      <c r="CC46" s="117">
        <f t="shared" si="787"/>
        <v>0.50390749940831592</v>
      </c>
      <c r="CD46" s="117">
        <f t="shared" si="787"/>
        <v>0.49447219058547742</v>
      </c>
      <c r="CE46" s="117">
        <f t="shared" si="787"/>
        <v>0.49553502726225246</v>
      </c>
      <c r="CF46" s="117">
        <f t="shared" si="787"/>
        <v>0.49659576510906339</v>
      </c>
      <c r="CG46" s="117">
        <f t="shared" si="787"/>
        <v>0.49765440704000319</v>
      </c>
      <c r="CH46" s="117">
        <f t="shared" si="787"/>
        <v>0.4987109559707017</v>
      </c>
      <c r="CI46" s="117">
        <f t="shared" si="787"/>
        <v>0.49976541481829445</v>
      </c>
      <c r="CJ46" s="117">
        <f t="shared" si="787"/>
        <v>0.50081778650139119</v>
      </c>
      <c r="CK46" s="117">
        <f t="shared" si="787"/>
        <v>0.5018680739400454</v>
      </c>
      <c r="CL46" s="117">
        <f t="shared" si="787"/>
        <v>0.50291628005572464</v>
      </c>
      <c r="CM46" s="117">
        <f t="shared" si="787"/>
        <v>0.50396240777127843</v>
      </c>
      <c r="CN46" s="117">
        <f t="shared" si="787"/>
        <v>0.50500646001090921</v>
      </c>
      <c r="CO46" s="117">
        <f t="shared" si="787"/>
        <v>0.50604843970014146</v>
      </c>
      <c r="CP46" s="117">
        <f t="shared" si="787"/>
        <v>0.49664281850629305</v>
      </c>
      <c r="CQ46" s="117">
        <f t="shared" si="787"/>
        <v>0.49770227685033547</v>
      </c>
      <c r="CR46" s="117">
        <f t="shared" si="787"/>
        <v>0.49875963645969384</v>
      </c>
      <c r="CS46" s="117">
        <f t="shared" si="787"/>
        <v>0.49981490027821179</v>
      </c>
      <c r="CT46" s="117">
        <f t="shared" si="787"/>
        <v>0.50086807125111377</v>
      </c>
      <c r="CU46" s="117">
        <f t="shared" si="787"/>
        <v>0.50191915232497619</v>
      </c>
      <c r="CV46" s="117">
        <f t="shared" si="787"/>
        <v>0.50296814644769561</v>
      </c>
      <c r="CW46" s="117">
        <f t="shared" si="787"/>
        <v>0.50401505656845957</v>
      </c>
      <c r="CX46" s="117">
        <f t="shared" si="787"/>
        <v>0.5050598856377152</v>
      </c>
      <c r="CY46" s="117">
        <f t="shared" si="787"/>
        <v>0.50610263660714028</v>
      </c>
      <c r="CZ46" s="117">
        <f t="shared" si="787"/>
        <v>0.50714331242961286</v>
      </c>
      <c r="DA46" s="117">
        <f t="shared" si="787"/>
        <v>0.50818191605918073</v>
      </c>
      <c r="DB46" s="117">
        <f t="shared" si="787"/>
        <v>0.49880598078626887</v>
      </c>
      <c r="DC46" s="117">
        <f t="shared" si="787"/>
        <v>0.49986202543957942</v>
      </c>
      <c r="DD46" s="117">
        <f t="shared" si="787"/>
        <v>0.50091597173853619</v>
      </c>
      <c r="DE46" s="117">
        <f t="shared" si="787"/>
        <v>0.50196782265547557</v>
      </c>
      <c r="DF46" s="117">
        <f t="shared" si="787"/>
        <v>0.50301758116396378</v>
      </c>
      <c r="DG46" s="117">
        <f t="shared" si="787"/>
        <v>0.50406525023876803</v>
      </c>
      <c r="DH46" s="117">
        <f t="shared" si="787"/>
        <v>0.50511083285582548</v>
      </c>
      <c r="DI46" s="117">
        <f t="shared" si="787"/>
        <v>0.50615433199221371</v>
      </c>
      <c r="DJ46" s="117">
        <f t="shared" si="787"/>
        <v>0.50719575062612132</v>
      </c>
      <c r="DK46" s="117">
        <f t="shared" si="787"/>
        <v>0.50823509173681758</v>
      </c>
      <c r="DL46" s="117">
        <f t="shared" si="787"/>
        <v>0.50927235830462314</v>
      </c>
      <c r="DM46" s="117">
        <f t="shared" si="787"/>
        <v>0.51030755331088118</v>
      </c>
      <c r="DN46" s="117">
        <f t="shared" si="787"/>
        <v>0.50096129392438593</v>
      </c>
      <c r="DO46" s="117">
        <f t="shared" si="787"/>
        <v>0.50201389191691936</v>
      </c>
      <c r="DP46" s="117">
        <f t="shared" si="787"/>
        <v>0.50306439221051846</v>
      </c>
      <c r="DQ46" s="117">
        <f t="shared" si="787"/>
        <v>0.50411279780478324</v>
      </c>
      <c r="DR46" s="117">
        <f t="shared" si="787"/>
        <v>0.50515911170039551</v>
      </c>
      <c r="DS46" s="117">
        <f t="shared" si="787"/>
        <v>0.50620333689909092</v>
      </c>
      <c r="DT46" s="117">
        <f t="shared" si="787"/>
        <v>0.50724547640362772</v>
      </c>
      <c r="DU46" s="117">
        <f t="shared" si="787"/>
        <v>0.50828553321775882</v>
      </c>
      <c r="DV46" s="117">
        <f t="shared" si="787"/>
        <v>0.50932351034620083</v>
      </c>
      <c r="DW46" s="117">
        <f t="shared" si="787"/>
        <v>0.51035941079460656</v>
      </c>
      <c r="DX46" s="117">
        <f t="shared" si="787"/>
        <v>0.51139323756953448</v>
      </c>
      <c r="DY46" s="117">
        <f t="shared" si="787"/>
        <v>0.51242499367841987</v>
      </c>
      <c r="DZ46" s="117">
        <f t="shared" si="787"/>
        <v>0.50310839212655911</v>
      </c>
      <c r="EA46" s="117">
        <f t="shared" si="787"/>
        <v>0.50415751280356413</v>
      </c>
      <c r="EB46" s="117">
        <f t="shared" si="787"/>
        <v>0.50520453670236953</v>
      </c>
      <c r="EC46" s="117">
        <f t="shared" si="787"/>
        <v>0.50624946684863625</v>
      </c>
      <c r="ED46" s="117">
        <f t="shared" si="787"/>
        <v>0.50729230626896393</v>
      </c>
      <c r="EE46" s="117">
        <f t="shared" si="787"/>
        <v>0.50833305799086104</v>
      </c>
      <c r="EF46" s="117">
        <f t="shared" si="787"/>
        <v>0.50937172504271611</v>
      </c>
      <c r="EG46" s="117">
        <f t="shared" si="787"/>
        <v>0.51040831045376822</v>
      </c>
      <c r="EH46" s="117">
        <f t="shared" si="787"/>
        <v>0.51144281725407859</v>
      </c>
      <c r="EI46" s="117">
        <f t="shared" ref="EI46:EK46" si="788">EI44/EI29</f>
        <v>0.51247524847450143</v>
      </c>
      <c r="EJ46" s="117">
        <f t="shared" si="788"/>
        <v>0.51350560714665527</v>
      </c>
      <c r="EK46" s="117">
        <f t="shared" si="788"/>
        <v>0.51453389630289459</v>
      </c>
      <c r="EM46" s="118"/>
      <c r="EN46" s="117">
        <f t="shared" ref="EN46:EX46" si="789">EN44/EN29</f>
        <v>0.45635641286702994</v>
      </c>
      <c r="EO46" s="117">
        <f t="shared" si="789"/>
        <v>0.47187898889509378</v>
      </c>
      <c r="EP46" s="117">
        <f t="shared" si="789"/>
        <v>0.48960379296699169</v>
      </c>
      <c r="EQ46" s="117">
        <f t="shared" si="789"/>
        <v>0.49380955382889014</v>
      </c>
      <c r="ER46" s="117">
        <f t="shared" si="789"/>
        <v>0.49598212047751167</v>
      </c>
      <c r="ES46" s="117">
        <f t="shared" si="789"/>
        <v>0.4981482501074902</v>
      </c>
      <c r="ET46" s="117">
        <f t="shared" si="789"/>
        <v>0.50030751741322299</v>
      </c>
      <c r="EU46" s="117">
        <f t="shared" si="789"/>
        <v>0.50245951586281656</v>
      </c>
      <c r="EV46" s="117">
        <f t="shared" si="789"/>
        <v>0.50460385720697354</v>
      </c>
      <c r="EW46" s="117">
        <f t="shared" si="789"/>
        <v>0.50674017099034552</v>
      </c>
      <c r="EX46" s="117">
        <f t="shared" si="789"/>
        <v>0.50886810406612437</v>
      </c>
    </row>
    <row r="47" spans="2:154" x14ac:dyDescent="0.3">
      <c r="B47" s="113" t="s">
        <v>227</v>
      </c>
      <c r="J47" s="160">
        <f>(J44*12)/J99</f>
        <v>5.1590328993108669E-2</v>
      </c>
      <c r="K47" s="160">
        <f t="shared" ref="K47:BV47" si="790">(K44*12)/K99</f>
        <v>5.1546842968207676E-2</v>
      </c>
      <c r="L47" s="160">
        <f t="shared" si="790"/>
        <v>5.170202550822315E-2</v>
      </c>
      <c r="M47" s="160">
        <f t="shared" si="790"/>
        <v>5.1856556768206968E-2</v>
      </c>
      <c r="N47" s="160">
        <f t="shared" si="790"/>
        <v>5.2010440839574276E-2</v>
      </c>
      <c r="O47" s="160">
        <f t="shared" si="790"/>
        <v>5.2163681779541532E-2</v>
      </c>
      <c r="P47" s="160">
        <f t="shared" si="790"/>
        <v>5.2359958192855154E-2</v>
      </c>
      <c r="Q47" s="160">
        <f t="shared" si="790"/>
        <v>5.2555743655633043E-2</v>
      </c>
      <c r="R47" s="160">
        <f t="shared" si="790"/>
        <v>5.2751040007612493E-2</v>
      </c>
      <c r="S47" s="160">
        <f t="shared" si="790"/>
        <v>5.2945849079350189E-2</v>
      </c>
      <c r="T47" s="160">
        <f t="shared" si="790"/>
        <v>5.3140172692279407E-2</v>
      </c>
      <c r="U47" s="160">
        <f t="shared" si="790"/>
        <v>5.333401265876684E-2</v>
      </c>
      <c r="V47" s="160">
        <f t="shared" si="790"/>
        <v>5.3744312778375512E-2</v>
      </c>
      <c r="W47" s="160">
        <f t="shared" si="790"/>
        <v>5.4198910174540975E-2</v>
      </c>
      <c r="X47" s="160">
        <f t="shared" si="790"/>
        <v>5.4653027344051142E-2</v>
      </c>
      <c r="Y47" s="160">
        <f t="shared" si="790"/>
        <v>5.5106667686354992E-2</v>
      </c>
      <c r="Z47" s="160">
        <f t="shared" si="790"/>
        <v>5.555983458811839E-2</v>
      </c>
      <c r="AA47" s="160">
        <f t="shared" si="790"/>
        <v>5.6012531423312972E-2</v>
      </c>
      <c r="AB47" s="160">
        <f t="shared" si="790"/>
        <v>5.6464761553304606E-2</v>
      </c>
      <c r="AC47" s="160">
        <f t="shared" si="790"/>
        <v>5.6916528326941176E-2</v>
      </c>
      <c r="AD47" s="160">
        <f t="shared" si="790"/>
        <v>5.7367835080639536E-2</v>
      </c>
      <c r="AE47" s="160">
        <f t="shared" si="790"/>
        <v>5.7818685138472312E-2</v>
      </c>
      <c r="AF47" s="160">
        <f t="shared" si="790"/>
        <v>5.8269081812253654E-2</v>
      </c>
      <c r="AG47" s="160">
        <f t="shared" si="790"/>
        <v>5.8719028401624455E-2</v>
      </c>
      <c r="AH47" s="160">
        <f t="shared" si="790"/>
        <v>5.925705971452349E-2</v>
      </c>
      <c r="AI47" s="160">
        <f t="shared" si="790"/>
        <v>5.9800658941852207E-2</v>
      </c>
      <c r="AJ47" s="160">
        <f t="shared" si="790"/>
        <v>6.0156751224815251E-2</v>
      </c>
      <c r="AK47" s="160">
        <f t="shared" si="790"/>
        <v>6.0514030482054837E-2</v>
      </c>
      <c r="AL47" s="160">
        <f t="shared" si="790"/>
        <v>6.0872500670151874E-2</v>
      </c>
      <c r="AM47" s="160">
        <f t="shared" si="790"/>
        <v>6.1232165758875925E-2</v>
      </c>
      <c r="AN47" s="160">
        <f t="shared" si="790"/>
        <v>6.1593029731228981E-2</v>
      </c>
      <c r="AO47" s="160">
        <f t="shared" si="790"/>
        <v>6.1955096583489994E-2</v>
      </c>
      <c r="AP47" s="160">
        <f t="shared" si="790"/>
        <v>6.2318370325258443E-2</v>
      </c>
      <c r="AQ47" s="160">
        <f t="shared" si="790"/>
        <v>6.2682854979499505E-2</v>
      </c>
      <c r="AR47" s="160">
        <f t="shared" si="790"/>
        <v>6.3048554582588026E-2</v>
      </c>
      <c r="AS47" s="160">
        <f t="shared" si="790"/>
        <v>6.3415473184353505E-2</v>
      </c>
      <c r="AT47" s="160">
        <f t="shared" si="790"/>
        <v>6.2445397385977736E-2</v>
      </c>
      <c r="AU47" s="160">
        <f t="shared" si="790"/>
        <v>6.2722193899425835E-2</v>
      </c>
      <c r="AV47" s="160">
        <f t="shared" si="790"/>
        <v>6.2999682404157528E-2</v>
      </c>
      <c r="AW47" s="160">
        <f t="shared" si="790"/>
        <v>6.3277864630151101E-2</v>
      </c>
      <c r="AX47" s="160">
        <f t="shared" si="790"/>
        <v>6.3556742311709588E-2</v>
      </c>
      <c r="AY47" s="160">
        <f t="shared" si="790"/>
        <v>6.3836317187472E-2</v>
      </c>
      <c r="AZ47" s="160">
        <f t="shared" si="790"/>
        <v>6.4116591000423856E-2</v>
      </c>
      <c r="BA47" s="160">
        <f t="shared" si="790"/>
        <v>6.4397565497908038E-2</v>
      </c>
      <c r="BB47" s="160">
        <f t="shared" si="790"/>
        <v>6.4679242431635961E-2</v>
      </c>
      <c r="BC47" s="160">
        <f t="shared" si="790"/>
        <v>6.4961623557698162E-2</v>
      </c>
      <c r="BD47" s="160">
        <f t="shared" si="790"/>
        <v>6.5244710636575554E-2</v>
      </c>
      <c r="BE47" s="160">
        <f t="shared" si="790"/>
        <v>6.5528505433150128E-2</v>
      </c>
      <c r="BF47" s="160">
        <f t="shared" si="790"/>
        <v>6.4535796685764174E-2</v>
      </c>
      <c r="BG47" s="160">
        <f t="shared" si="790"/>
        <v>6.4821012230039124E-2</v>
      </c>
      <c r="BH47" s="160">
        <f t="shared" si="790"/>
        <v>6.5106940813174752E-2</v>
      </c>
      <c r="BI47" s="160">
        <f t="shared" si="790"/>
        <v>6.5393584217768225E-2</v>
      </c>
      <c r="BJ47" s="160">
        <f t="shared" si="790"/>
        <v>6.5680944230873131E-2</v>
      </c>
      <c r="BK47" s="160">
        <f t="shared" si="790"/>
        <v>6.5969022644010847E-2</v>
      </c>
      <c r="BL47" s="160">
        <f t="shared" si="790"/>
        <v>6.6257821253181443E-2</v>
      </c>
      <c r="BM47" s="160">
        <f t="shared" si="790"/>
        <v>6.6547341858874856E-2</v>
      </c>
      <c r="BN47" s="160">
        <f t="shared" si="790"/>
        <v>6.6837586266082577E-2</v>
      </c>
      <c r="BO47" s="160">
        <f t="shared" si="790"/>
        <v>6.7128556284308333E-2</v>
      </c>
      <c r="BP47" s="160">
        <f t="shared" si="790"/>
        <v>6.7420253727579607E-2</v>
      </c>
      <c r="BQ47" s="160">
        <f t="shared" si="790"/>
        <v>6.7712680414459062E-2</v>
      </c>
      <c r="BR47" s="160">
        <f t="shared" si="790"/>
        <v>6.6696790312346446E-2</v>
      </c>
      <c r="BS47" s="160">
        <f t="shared" si="790"/>
        <v>6.6990680960327093E-2</v>
      </c>
      <c r="BT47" s="160">
        <f t="shared" si="790"/>
        <v>6.7285306334927686E-2</v>
      </c>
      <c r="BU47" s="160">
        <f t="shared" si="790"/>
        <v>6.7580668272964814E-2</v>
      </c>
      <c r="BV47" s="160">
        <f t="shared" si="790"/>
        <v>6.7876768615847044E-2</v>
      </c>
      <c r="BW47" s="160">
        <f t="shared" ref="BW47:EH47" si="791">(BW44*12)/BW99</f>
        <v>6.8173609209586455E-2</v>
      </c>
      <c r="BX47" s="160">
        <f t="shared" si="791"/>
        <v>6.8471191904810227E-2</v>
      </c>
      <c r="BY47" s="160">
        <f t="shared" si="791"/>
        <v>6.8769518556772047E-2</v>
      </c>
      <c r="BZ47" s="160">
        <f t="shared" si="791"/>
        <v>6.9068591025363724E-2</v>
      </c>
      <c r="CA47" s="160">
        <f t="shared" si="791"/>
        <v>6.9368411175126973E-2</v>
      </c>
      <c r="CB47" s="160">
        <f t="shared" si="791"/>
        <v>6.9668980875264588E-2</v>
      </c>
      <c r="CC47" s="160">
        <f t="shared" si="791"/>
        <v>6.9970301999652512E-2</v>
      </c>
      <c r="CD47" s="160">
        <f t="shared" si="791"/>
        <v>6.8930668332965447E-2</v>
      </c>
      <c r="CE47" s="160">
        <f t="shared" si="791"/>
        <v>6.9233497946232375E-2</v>
      </c>
      <c r="CF47" s="160">
        <f t="shared" si="791"/>
        <v>6.9537084633532489E-2</v>
      </c>
      <c r="CG47" s="160">
        <f t="shared" si="791"/>
        <v>6.9841430287550826E-2</v>
      </c>
      <c r="CH47" s="160">
        <f t="shared" si="791"/>
        <v>7.0146536805704193E-2</v>
      </c>
      <c r="CI47" s="160">
        <f t="shared" si="791"/>
        <v>7.0452406090152964E-2</v>
      </c>
      <c r="CJ47" s="160">
        <f t="shared" si="791"/>
        <v>7.0759040047812874E-2</v>
      </c>
      <c r="CK47" s="160">
        <f t="shared" si="791"/>
        <v>7.1066440590366875E-2</v>
      </c>
      <c r="CL47" s="160">
        <f t="shared" si="791"/>
        <v>7.1374609634277317E-2</v>
      </c>
      <c r="CM47" s="160">
        <f t="shared" si="791"/>
        <v>7.1683549100797508E-2</v>
      </c>
      <c r="CN47" s="160">
        <f t="shared" si="791"/>
        <v>7.1993260915984014E-2</v>
      </c>
      <c r="CO47" s="160">
        <f t="shared" si="791"/>
        <v>7.2303747010708477E-2</v>
      </c>
      <c r="CP47" s="160">
        <f t="shared" si="791"/>
        <v>7.1239793405411714E-2</v>
      </c>
      <c r="CQ47" s="160">
        <f t="shared" si="791"/>
        <v>7.1551833871147927E-2</v>
      </c>
      <c r="CR47" s="160">
        <f t="shared" si="791"/>
        <v>7.1864654438048403E-2</v>
      </c>
      <c r="CS47" s="160">
        <f t="shared" si="791"/>
        <v>7.2178257056366213E-2</v>
      </c>
      <c r="CT47" s="160">
        <f t="shared" si="791"/>
        <v>7.2492643681229735E-2</v>
      </c>
      <c r="CU47" s="160">
        <f t="shared" si="791"/>
        <v>7.2807816272655465E-2</v>
      </c>
      <c r="CV47" s="160">
        <f t="shared" si="791"/>
        <v>7.3123776795559745E-2</v>
      </c>
      <c r="CW47" s="160">
        <f t="shared" si="791"/>
        <v>7.3440527219771318E-2</v>
      </c>
      <c r="CX47" s="160">
        <f t="shared" si="791"/>
        <v>7.3758069520043393E-2</v>
      </c>
      <c r="CY47" s="160">
        <f t="shared" si="791"/>
        <v>7.4076405676066159E-2</v>
      </c>
      <c r="CZ47" s="160">
        <f t="shared" si="791"/>
        <v>7.4395537672479015E-2</v>
      </c>
      <c r="DA47" s="160">
        <f t="shared" si="791"/>
        <v>7.4715467498882845E-2</v>
      </c>
      <c r="DB47" s="160">
        <f t="shared" si="791"/>
        <v>7.3626603047010325E-2</v>
      </c>
      <c r="DC47" s="160">
        <f t="shared" si="791"/>
        <v>7.3948134522107592E-2</v>
      </c>
      <c r="DD47" s="160">
        <f t="shared" si="791"/>
        <v>7.4270469825892638E-2</v>
      </c>
      <c r="DE47" s="160">
        <f t="shared" si="791"/>
        <v>7.4593610967937138E-2</v>
      </c>
      <c r="DF47" s="160">
        <f t="shared" si="791"/>
        <v>7.4917559962836722E-2</v>
      </c>
      <c r="DG47" s="160">
        <f t="shared" si="791"/>
        <v>7.5242318830223573E-2</v>
      </c>
      <c r="DH47" s="160">
        <f t="shared" si="791"/>
        <v>7.5567889594778878E-2</v>
      </c>
      <c r="DI47" s="160">
        <f t="shared" si="791"/>
        <v>7.5894274286245567E-2</v>
      </c>
      <c r="DJ47" s="160">
        <f t="shared" si="791"/>
        <v>7.6221474939440939E-2</v>
      </c>
      <c r="DK47" s="160">
        <f t="shared" si="791"/>
        <v>7.6549493594269297E-2</v>
      </c>
      <c r="DL47" s="160">
        <f t="shared" si="791"/>
        <v>7.6878332295734736E-2</v>
      </c>
      <c r="DM47" s="160">
        <f t="shared" si="791"/>
        <v>7.7207993093953819E-2</v>
      </c>
      <c r="DN47" s="160">
        <f t="shared" si="791"/>
        <v>7.6093611973911734E-2</v>
      </c>
      <c r="DO47" s="160">
        <f t="shared" si="791"/>
        <v>7.6424923136501899E-2</v>
      </c>
      <c r="DP47" s="160">
        <f t="shared" si="791"/>
        <v>7.6757062576998547E-2</v>
      </c>
      <c r="DQ47" s="160">
        <f t="shared" si="791"/>
        <v>7.7090032366096448E-2</v>
      </c>
      <c r="DR47" s="160">
        <f t="shared" si="791"/>
        <v>7.7423834579667075E-2</v>
      </c>
      <c r="DS47" s="160">
        <f t="shared" si="791"/>
        <v>7.7758471298771656E-2</v>
      </c>
      <c r="DT47" s="160">
        <f t="shared" si="791"/>
        <v>7.8093944609673976E-2</v>
      </c>
      <c r="DU47" s="160">
        <f t="shared" si="791"/>
        <v>7.8430256603853582E-2</v>
      </c>
      <c r="DV47" s="160">
        <f t="shared" si="791"/>
        <v>7.8767409378018585E-2</v>
      </c>
      <c r="DW47" s="160">
        <f t="shared" si="791"/>
        <v>7.9105405034119045E-2</v>
      </c>
      <c r="DX47" s="160">
        <f t="shared" si="791"/>
        <v>7.9444245679359773E-2</v>
      </c>
      <c r="DY47" s="160">
        <f t="shared" si="791"/>
        <v>7.9783933426213552E-2</v>
      </c>
      <c r="DZ47" s="160">
        <f t="shared" si="791"/>
        <v>7.8643414512854323E-2</v>
      </c>
      <c r="EA47" s="160">
        <f t="shared" si="791"/>
        <v>7.898480282149084E-2</v>
      </c>
      <c r="EB47" s="160">
        <f t="shared" si="791"/>
        <v>7.9327044600898927E-2</v>
      </c>
      <c r="EC47" s="160">
        <f t="shared" si="791"/>
        <v>7.9670141984755513E-2</v>
      </c>
      <c r="ED47" s="160">
        <f t="shared" si="791"/>
        <v>8.0014097112071761E-2</v>
      </c>
      <c r="EE47" s="160">
        <f t="shared" si="791"/>
        <v>8.0358912127206278E-2</v>
      </c>
      <c r="EF47" s="160">
        <f t="shared" si="791"/>
        <v>8.0704589179878633E-2</v>
      </c>
      <c r="EG47" s="160">
        <f t="shared" si="791"/>
        <v>8.1051130425182694E-2</v>
      </c>
      <c r="EH47" s="160">
        <f t="shared" si="791"/>
        <v>8.1398538023599962E-2</v>
      </c>
      <c r="EI47" s="160">
        <f t="shared" ref="EI47:EK47" si="792">(EI44*12)/EI99</f>
        <v>8.1746814141013341E-2</v>
      </c>
      <c r="EJ47" s="160">
        <f t="shared" si="792"/>
        <v>8.2095960948720237E-2</v>
      </c>
      <c r="EK47" s="160">
        <f t="shared" si="792"/>
        <v>8.2445980623446408E-2</v>
      </c>
      <c r="EN47" s="160">
        <f>EN44/EN99</f>
        <v>5.1925844593801014E-2</v>
      </c>
      <c r="EO47" s="160">
        <f t="shared" ref="EO47:EX47" si="793">EO44/EO99</f>
        <v>5.5863303803701192E-2</v>
      </c>
      <c r="EP47" s="160">
        <f t="shared" si="793"/>
        <v>6.1397838943179628E-2</v>
      </c>
      <c r="EQ47" s="160">
        <f t="shared" si="793"/>
        <v>6.3980536364690463E-2</v>
      </c>
      <c r="ER47" s="160">
        <f t="shared" si="793"/>
        <v>6.6117628385509677E-2</v>
      </c>
      <c r="ES47" s="160">
        <f t="shared" si="793"/>
        <v>6.8326734936915767E-2</v>
      </c>
      <c r="ET47" s="160">
        <f t="shared" si="793"/>
        <v>7.0610189283007121E-2</v>
      </c>
      <c r="EU47" s="160">
        <f t="shared" si="793"/>
        <v>7.2970398592305155E-2</v>
      </c>
      <c r="EV47" s="160">
        <f t="shared" si="793"/>
        <v>7.5409846246702619E-2</v>
      </c>
      <c r="EW47" s="160">
        <f t="shared" si="793"/>
        <v>7.7931094221932187E-2</v>
      </c>
      <c r="EX47" s="160">
        <f t="shared" si="793"/>
        <v>8.05367855417599E-2</v>
      </c>
    </row>
    <row r="49" spans="2:154" x14ac:dyDescent="0.3">
      <c r="B49" s="2" t="s">
        <v>110</v>
      </c>
    </row>
    <row r="50" spans="2:154" x14ac:dyDescent="0.3">
      <c r="B50" s="1" t="s">
        <v>111</v>
      </c>
      <c r="J50" s="70">
        <f>-('Inputs &amp; Drivers'!$E$22/'Inputs &amp; Drivers'!$E$67)*(J$6&gt;='Inputs &amp; Drivers'!$C$67)*(J$6&lt;'Inputs &amp; Drivers'!$D$67)</f>
        <v>-43750</v>
      </c>
      <c r="K50" s="70">
        <f>-('Inputs &amp; Drivers'!$E$22/'Inputs &amp; Drivers'!$E$67)*(K$6&gt;='Inputs &amp; Drivers'!$C$67)*(K$6&lt;'Inputs &amp; Drivers'!$D$67)</f>
        <v>-43750</v>
      </c>
      <c r="L50" s="70">
        <f>-('Inputs &amp; Drivers'!$E$22/'Inputs &amp; Drivers'!$E$67)*(L$6&gt;='Inputs &amp; Drivers'!$C$67)*(L$6&lt;'Inputs &amp; Drivers'!$D$67)</f>
        <v>-43750</v>
      </c>
      <c r="M50" s="70">
        <f>-('Inputs &amp; Drivers'!$E$22/'Inputs &amp; Drivers'!$E$67)*(M$6&gt;='Inputs &amp; Drivers'!$C$67)*(M$6&lt;'Inputs &amp; Drivers'!$D$67)</f>
        <v>-43750</v>
      </c>
      <c r="N50" s="70">
        <f>-('Inputs &amp; Drivers'!$E$22/'Inputs &amp; Drivers'!$E$67)*(N$6&gt;='Inputs &amp; Drivers'!$C$67)*(N$6&lt;'Inputs &amp; Drivers'!$D$67)</f>
        <v>-43750</v>
      </c>
      <c r="O50" s="70">
        <f>-('Inputs &amp; Drivers'!$E$22/'Inputs &amp; Drivers'!$E$67)*(O$6&gt;='Inputs &amp; Drivers'!$C$67)*(O$6&lt;'Inputs &amp; Drivers'!$D$67)</f>
        <v>-43750</v>
      </c>
      <c r="P50" s="70">
        <f>-('Inputs &amp; Drivers'!$E$22/'Inputs &amp; Drivers'!$E$67)*(P$6&gt;='Inputs &amp; Drivers'!$C$67)*(P$6&lt;'Inputs &amp; Drivers'!$D$67)</f>
        <v>0</v>
      </c>
      <c r="Q50" s="70">
        <f>-('Inputs &amp; Drivers'!$E$22/'Inputs &amp; Drivers'!$E$67)*(Q$6&gt;='Inputs &amp; Drivers'!$C$67)*(Q$6&lt;'Inputs &amp; Drivers'!$D$67)</f>
        <v>0</v>
      </c>
      <c r="R50" s="70">
        <f>-('Inputs &amp; Drivers'!$E$22/'Inputs &amp; Drivers'!$E$67)*(R$6&gt;='Inputs &amp; Drivers'!$C$67)*(R$6&lt;'Inputs &amp; Drivers'!$D$67)</f>
        <v>0</v>
      </c>
      <c r="S50" s="70">
        <f>-('Inputs &amp; Drivers'!$E$22/'Inputs &amp; Drivers'!$E$67)*(S$6&gt;='Inputs &amp; Drivers'!$C$67)*(S$6&lt;'Inputs &amp; Drivers'!$D$67)</f>
        <v>0</v>
      </c>
      <c r="T50" s="70">
        <f>-('Inputs &amp; Drivers'!$E$22/'Inputs &amp; Drivers'!$E$67)*(T$6&gt;='Inputs &amp; Drivers'!$C$67)*(T$6&lt;'Inputs &amp; Drivers'!$D$67)</f>
        <v>0</v>
      </c>
      <c r="U50" s="70">
        <f>-('Inputs &amp; Drivers'!$E$22/'Inputs &amp; Drivers'!$E$67)*(U$6&gt;='Inputs &amp; Drivers'!$C$67)*(U$6&lt;'Inputs &amp; Drivers'!$D$67)</f>
        <v>0</v>
      </c>
      <c r="V50" s="70">
        <f>-('Inputs &amp; Drivers'!$E$22/'Inputs &amp; Drivers'!$E$67)*(V$6&gt;='Inputs &amp; Drivers'!$C$67)*(V$6&lt;'Inputs &amp; Drivers'!$D$67)</f>
        <v>0</v>
      </c>
      <c r="W50" s="70">
        <f>-('Inputs &amp; Drivers'!$E$22/'Inputs &amp; Drivers'!$E$67)*(W$6&gt;='Inputs &amp; Drivers'!$C$67)*(W$6&lt;'Inputs &amp; Drivers'!$D$67)</f>
        <v>0</v>
      </c>
      <c r="X50" s="70">
        <f>-('Inputs &amp; Drivers'!$E$22/'Inputs &amp; Drivers'!$E$67)*(X$6&gt;='Inputs &amp; Drivers'!$C$67)*(X$6&lt;'Inputs &amp; Drivers'!$D$67)</f>
        <v>0</v>
      </c>
      <c r="Y50" s="70">
        <f>-('Inputs &amp; Drivers'!$E$22/'Inputs &amp; Drivers'!$E$67)*(Y$6&gt;='Inputs &amp; Drivers'!$C$67)*(Y$6&lt;'Inputs &amp; Drivers'!$D$67)</f>
        <v>0</v>
      </c>
      <c r="Z50" s="70">
        <f>-('Inputs &amp; Drivers'!$E$22/'Inputs &amp; Drivers'!$E$67)*(Z$6&gt;='Inputs &amp; Drivers'!$C$67)*(Z$6&lt;'Inputs &amp; Drivers'!$D$67)</f>
        <v>0</v>
      </c>
      <c r="AA50" s="70">
        <f>-('Inputs &amp; Drivers'!$E$22/'Inputs &amp; Drivers'!$E$67)*(AA$6&gt;='Inputs &amp; Drivers'!$C$67)*(AA$6&lt;'Inputs &amp; Drivers'!$D$67)</f>
        <v>0</v>
      </c>
      <c r="AB50" s="70">
        <f>-('Inputs &amp; Drivers'!$E$22/'Inputs &amp; Drivers'!$E$67)*(AB$6&gt;='Inputs &amp; Drivers'!$C$67)*(AB$6&lt;'Inputs &amp; Drivers'!$D$67)</f>
        <v>0</v>
      </c>
      <c r="AC50" s="70">
        <f>-('Inputs &amp; Drivers'!$E$22/'Inputs &amp; Drivers'!$E$67)*(AC$6&gt;='Inputs &amp; Drivers'!$C$67)*(AC$6&lt;'Inputs &amp; Drivers'!$D$67)</f>
        <v>0</v>
      </c>
      <c r="AD50" s="70">
        <f>-('Inputs &amp; Drivers'!$E$22/'Inputs &amp; Drivers'!$E$67)*(AD$6&gt;='Inputs &amp; Drivers'!$C$67)*(AD$6&lt;'Inputs &amp; Drivers'!$D$67)</f>
        <v>0</v>
      </c>
      <c r="AE50" s="70">
        <f>-('Inputs &amp; Drivers'!$E$22/'Inputs &amp; Drivers'!$E$67)*(AE$6&gt;='Inputs &amp; Drivers'!$C$67)*(AE$6&lt;'Inputs &amp; Drivers'!$D$67)</f>
        <v>0</v>
      </c>
      <c r="AF50" s="70">
        <f>-('Inputs &amp; Drivers'!$E$22/'Inputs &amp; Drivers'!$E$67)*(AF$6&gt;='Inputs &amp; Drivers'!$C$67)*(AF$6&lt;'Inputs &amp; Drivers'!$D$67)</f>
        <v>0</v>
      </c>
      <c r="AG50" s="70">
        <f>-('Inputs &amp; Drivers'!$E$22/'Inputs &amp; Drivers'!$E$67)*(AG$6&gt;='Inputs &amp; Drivers'!$C$67)*(AG$6&lt;'Inputs &amp; Drivers'!$D$67)</f>
        <v>0</v>
      </c>
      <c r="AH50" s="70">
        <f>-('Inputs &amp; Drivers'!$E$22/'Inputs &amp; Drivers'!$E$67)*(AH$6&gt;='Inputs &amp; Drivers'!$C$67)*(AH$6&lt;'Inputs &amp; Drivers'!$D$67)</f>
        <v>0</v>
      </c>
      <c r="AI50" s="70">
        <f>-('Inputs &amp; Drivers'!$E$22/'Inputs &amp; Drivers'!$E$67)*(AI$6&gt;='Inputs &amp; Drivers'!$C$67)*(AI$6&lt;'Inputs &amp; Drivers'!$D$67)</f>
        <v>0</v>
      </c>
      <c r="AJ50" s="70">
        <f>-('Inputs &amp; Drivers'!$E$22/'Inputs &amp; Drivers'!$E$67)*(AJ$6&gt;='Inputs &amp; Drivers'!$C$67)*(AJ$6&lt;'Inputs &amp; Drivers'!$D$67)</f>
        <v>0</v>
      </c>
      <c r="AK50" s="70">
        <f>-('Inputs &amp; Drivers'!$E$22/'Inputs &amp; Drivers'!$E$67)*(AK$6&gt;='Inputs &amp; Drivers'!$C$67)*(AK$6&lt;'Inputs &amp; Drivers'!$D$67)</f>
        <v>0</v>
      </c>
      <c r="AL50" s="70">
        <f>-('Inputs &amp; Drivers'!$E$22/'Inputs &amp; Drivers'!$E$67)*(AL$6&gt;='Inputs &amp; Drivers'!$C$67)*(AL$6&lt;'Inputs &amp; Drivers'!$D$67)</f>
        <v>0</v>
      </c>
      <c r="AM50" s="70">
        <f>-('Inputs &amp; Drivers'!$E$22/'Inputs &amp; Drivers'!$E$67)*(AM$6&gt;='Inputs &amp; Drivers'!$C$67)*(AM$6&lt;'Inputs &amp; Drivers'!$D$67)</f>
        <v>0</v>
      </c>
      <c r="AN50" s="70">
        <f>-('Inputs &amp; Drivers'!$E$22/'Inputs &amp; Drivers'!$E$67)*(AN$6&gt;='Inputs &amp; Drivers'!$C$67)*(AN$6&lt;'Inputs &amp; Drivers'!$D$67)</f>
        <v>0</v>
      </c>
      <c r="AO50" s="70">
        <f>-('Inputs &amp; Drivers'!$E$22/'Inputs &amp; Drivers'!$E$67)*(AO$6&gt;='Inputs &amp; Drivers'!$C$67)*(AO$6&lt;'Inputs &amp; Drivers'!$D$67)</f>
        <v>0</v>
      </c>
      <c r="AP50" s="70">
        <f>-('Inputs &amp; Drivers'!$E$22/'Inputs &amp; Drivers'!$E$67)*(AP$6&gt;='Inputs &amp; Drivers'!$C$67)*(AP$6&lt;'Inputs &amp; Drivers'!$D$67)</f>
        <v>0</v>
      </c>
      <c r="AQ50" s="70">
        <f>-('Inputs &amp; Drivers'!$E$22/'Inputs &amp; Drivers'!$E$67)*(AQ$6&gt;='Inputs &amp; Drivers'!$C$67)*(AQ$6&lt;'Inputs &amp; Drivers'!$D$67)</f>
        <v>0</v>
      </c>
      <c r="AR50" s="70">
        <f>-('Inputs &amp; Drivers'!$E$22/'Inputs &amp; Drivers'!$E$67)*(AR$6&gt;='Inputs &amp; Drivers'!$C$67)*(AR$6&lt;'Inputs &amp; Drivers'!$D$67)</f>
        <v>0</v>
      </c>
      <c r="AS50" s="70">
        <f>-('Inputs &amp; Drivers'!$E$22/'Inputs &amp; Drivers'!$E$67)*(AS$6&gt;='Inputs &amp; Drivers'!$C$67)*(AS$6&lt;'Inputs &amp; Drivers'!$D$67)</f>
        <v>0</v>
      </c>
      <c r="AT50" s="70">
        <f>-('Inputs &amp; Drivers'!$E$22/'Inputs &amp; Drivers'!$E$67)*(AT$6&gt;='Inputs &amp; Drivers'!$C$67)*(AT$6&lt;'Inputs &amp; Drivers'!$D$67)</f>
        <v>0</v>
      </c>
      <c r="AU50" s="70">
        <f>-('Inputs &amp; Drivers'!$E$22/'Inputs &amp; Drivers'!$E$67)*(AU$6&gt;='Inputs &amp; Drivers'!$C$67)*(AU$6&lt;'Inputs &amp; Drivers'!$D$67)</f>
        <v>0</v>
      </c>
      <c r="AV50" s="70">
        <f>-('Inputs &amp; Drivers'!$E$22/'Inputs &amp; Drivers'!$E$67)*(AV$6&gt;='Inputs &amp; Drivers'!$C$67)*(AV$6&lt;'Inputs &amp; Drivers'!$D$67)</f>
        <v>0</v>
      </c>
      <c r="AW50" s="70">
        <f>-('Inputs &amp; Drivers'!$E$22/'Inputs &amp; Drivers'!$E$67)*(AW$6&gt;='Inputs &amp; Drivers'!$C$67)*(AW$6&lt;'Inputs &amp; Drivers'!$D$67)</f>
        <v>0</v>
      </c>
      <c r="AX50" s="70">
        <f>-('Inputs &amp; Drivers'!$E$22/'Inputs &amp; Drivers'!$E$67)*(AX$6&gt;='Inputs &amp; Drivers'!$C$67)*(AX$6&lt;'Inputs &amp; Drivers'!$D$67)</f>
        <v>0</v>
      </c>
      <c r="AY50" s="70">
        <f>-('Inputs &amp; Drivers'!$E$22/'Inputs &amp; Drivers'!$E$67)*(AY$6&gt;='Inputs &amp; Drivers'!$C$67)*(AY$6&lt;'Inputs &amp; Drivers'!$D$67)</f>
        <v>0</v>
      </c>
      <c r="AZ50" s="70">
        <f>-('Inputs &amp; Drivers'!$E$22/'Inputs &amp; Drivers'!$E$67)*(AZ$6&gt;='Inputs &amp; Drivers'!$C$67)*(AZ$6&lt;'Inputs &amp; Drivers'!$D$67)</f>
        <v>0</v>
      </c>
      <c r="BA50" s="70">
        <f>-('Inputs &amp; Drivers'!$E$22/'Inputs &amp; Drivers'!$E$67)*(BA$6&gt;='Inputs &amp; Drivers'!$C$67)*(BA$6&lt;'Inputs &amp; Drivers'!$D$67)</f>
        <v>0</v>
      </c>
      <c r="BB50" s="70">
        <f>-('Inputs &amp; Drivers'!$E$22/'Inputs &amp; Drivers'!$E$67)*(BB$6&gt;='Inputs &amp; Drivers'!$C$67)*(BB$6&lt;'Inputs &amp; Drivers'!$D$67)</f>
        <v>0</v>
      </c>
      <c r="BC50" s="70">
        <f>-('Inputs &amp; Drivers'!$E$22/'Inputs &amp; Drivers'!$E$67)*(BC$6&gt;='Inputs &amp; Drivers'!$C$67)*(BC$6&lt;'Inputs &amp; Drivers'!$D$67)</f>
        <v>0</v>
      </c>
      <c r="BD50" s="70">
        <f>-('Inputs &amp; Drivers'!$E$22/'Inputs &amp; Drivers'!$E$67)*(BD$6&gt;='Inputs &amp; Drivers'!$C$67)*(BD$6&lt;'Inputs &amp; Drivers'!$D$67)</f>
        <v>0</v>
      </c>
      <c r="BE50" s="70">
        <f>-('Inputs &amp; Drivers'!$E$22/'Inputs &amp; Drivers'!$E$67)*(BE$6&gt;='Inputs &amp; Drivers'!$C$67)*(BE$6&lt;'Inputs &amp; Drivers'!$D$67)</f>
        <v>0</v>
      </c>
      <c r="BF50" s="70">
        <f>-('Inputs &amp; Drivers'!$E$22/'Inputs &amp; Drivers'!$E$67)*(BF$6&gt;='Inputs &amp; Drivers'!$C$67)*(BF$6&lt;'Inputs &amp; Drivers'!$D$67)</f>
        <v>0</v>
      </c>
      <c r="BG50" s="70">
        <f>-('Inputs &amp; Drivers'!$E$22/'Inputs &amp; Drivers'!$E$67)*(BG$6&gt;='Inputs &amp; Drivers'!$C$67)*(BG$6&lt;'Inputs &amp; Drivers'!$D$67)</f>
        <v>0</v>
      </c>
      <c r="BH50" s="70">
        <f>-('Inputs &amp; Drivers'!$E$22/'Inputs &amp; Drivers'!$E$67)*(BH$6&gt;='Inputs &amp; Drivers'!$C$67)*(BH$6&lt;'Inputs &amp; Drivers'!$D$67)</f>
        <v>0</v>
      </c>
      <c r="BI50" s="70">
        <f>-('Inputs &amp; Drivers'!$E$22/'Inputs &amp; Drivers'!$E$67)*(BI$6&gt;='Inputs &amp; Drivers'!$C$67)*(BI$6&lt;'Inputs &amp; Drivers'!$D$67)</f>
        <v>0</v>
      </c>
      <c r="BJ50" s="70">
        <f>-('Inputs &amp; Drivers'!$E$22/'Inputs &amp; Drivers'!$E$67)*(BJ$6&gt;='Inputs &amp; Drivers'!$C$67)*(BJ$6&lt;'Inputs &amp; Drivers'!$D$67)</f>
        <v>0</v>
      </c>
      <c r="BK50" s="70">
        <f>-('Inputs &amp; Drivers'!$E$22/'Inputs &amp; Drivers'!$E$67)*(BK$6&gt;='Inputs &amp; Drivers'!$C$67)*(BK$6&lt;'Inputs &amp; Drivers'!$D$67)</f>
        <v>0</v>
      </c>
      <c r="BL50" s="70">
        <f>-('Inputs &amp; Drivers'!$E$22/'Inputs &amp; Drivers'!$E$67)*(BL$6&gt;='Inputs &amp; Drivers'!$C$67)*(BL$6&lt;'Inputs &amp; Drivers'!$D$67)</f>
        <v>0</v>
      </c>
      <c r="BM50" s="70">
        <f>-('Inputs &amp; Drivers'!$E$22/'Inputs &amp; Drivers'!$E$67)*(BM$6&gt;='Inputs &amp; Drivers'!$C$67)*(BM$6&lt;'Inputs &amp; Drivers'!$D$67)</f>
        <v>0</v>
      </c>
      <c r="BN50" s="70">
        <f>-('Inputs &amp; Drivers'!$E$22/'Inputs &amp; Drivers'!$E$67)*(BN$6&gt;='Inputs &amp; Drivers'!$C$67)*(BN$6&lt;'Inputs &amp; Drivers'!$D$67)</f>
        <v>0</v>
      </c>
      <c r="BO50" s="70">
        <f>-('Inputs &amp; Drivers'!$E$22/'Inputs &amp; Drivers'!$E$67)*(BO$6&gt;='Inputs &amp; Drivers'!$C$67)*(BO$6&lt;'Inputs &amp; Drivers'!$D$67)</f>
        <v>0</v>
      </c>
      <c r="BP50" s="70">
        <f>-('Inputs &amp; Drivers'!$E$22/'Inputs &amp; Drivers'!$E$67)*(BP$6&gt;='Inputs &amp; Drivers'!$C$67)*(BP$6&lt;'Inputs &amp; Drivers'!$D$67)</f>
        <v>0</v>
      </c>
      <c r="BQ50" s="70">
        <f>-('Inputs &amp; Drivers'!$E$22/'Inputs &amp; Drivers'!$E$67)*(BQ$6&gt;='Inputs &amp; Drivers'!$C$67)*(BQ$6&lt;'Inputs &amp; Drivers'!$D$67)</f>
        <v>0</v>
      </c>
      <c r="BR50" s="70">
        <f>-('Inputs &amp; Drivers'!$E$22/'Inputs &amp; Drivers'!$E$67)*(BR$6&gt;='Inputs &amp; Drivers'!$C$67)*(BR$6&lt;'Inputs &amp; Drivers'!$D$67)</f>
        <v>0</v>
      </c>
      <c r="BS50" s="70">
        <f>-('Inputs &amp; Drivers'!$E$22/'Inputs &amp; Drivers'!$E$67)*(BS$6&gt;='Inputs &amp; Drivers'!$C$67)*(BS$6&lt;'Inputs &amp; Drivers'!$D$67)</f>
        <v>0</v>
      </c>
      <c r="BT50" s="70">
        <f>-('Inputs &amp; Drivers'!$E$22/'Inputs &amp; Drivers'!$E$67)*(BT$6&gt;='Inputs &amp; Drivers'!$C$67)*(BT$6&lt;'Inputs &amp; Drivers'!$D$67)</f>
        <v>0</v>
      </c>
      <c r="BU50" s="70">
        <f>-('Inputs &amp; Drivers'!$E$22/'Inputs &amp; Drivers'!$E$67)*(BU$6&gt;='Inputs &amp; Drivers'!$C$67)*(BU$6&lt;'Inputs &amp; Drivers'!$D$67)</f>
        <v>0</v>
      </c>
      <c r="BV50" s="70">
        <f>-('Inputs &amp; Drivers'!$E$22/'Inputs &amp; Drivers'!$E$67)*(BV$6&gt;='Inputs &amp; Drivers'!$C$67)*(BV$6&lt;'Inputs &amp; Drivers'!$D$67)</f>
        <v>0</v>
      </c>
      <c r="BW50" s="70">
        <f>-('Inputs &amp; Drivers'!$E$22/'Inputs &amp; Drivers'!$E$67)*(BW$6&gt;='Inputs &amp; Drivers'!$C$67)*(BW$6&lt;'Inputs &amp; Drivers'!$D$67)</f>
        <v>0</v>
      </c>
      <c r="BX50" s="70">
        <f>-('Inputs &amp; Drivers'!$E$22/'Inputs &amp; Drivers'!$E$67)*(BX$6&gt;='Inputs &amp; Drivers'!$C$67)*(BX$6&lt;'Inputs &amp; Drivers'!$D$67)</f>
        <v>0</v>
      </c>
      <c r="BY50" s="70">
        <f>-('Inputs &amp; Drivers'!$E$22/'Inputs &amp; Drivers'!$E$67)*(BY$6&gt;='Inputs &amp; Drivers'!$C$67)*(BY$6&lt;'Inputs &amp; Drivers'!$D$67)</f>
        <v>0</v>
      </c>
      <c r="BZ50" s="70">
        <f>-('Inputs &amp; Drivers'!$E$22/'Inputs &amp; Drivers'!$E$67)*(BZ$6&gt;='Inputs &amp; Drivers'!$C$67)*(BZ$6&lt;'Inputs &amp; Drivers'!$D$67)</f>
        <v>0</v>
      </c>
      <c r="CA50" s="70">
        <f>-('Inputs &amp; Drivers'!$E$22/'Inputs &amp; Drivers'!$E$67)*(CA$6&gt;='Inputs &amp; Drivers'!$C$67)*(CA$6&lt;'Inputs &amp; Drivers'!$D$67)</f>
        <v>0</v>
      </c>
      <c r="CB50" s="70">
        <f>-('Inputs &amp; Drivers'!$E$22/'Inputs &amp; Drivers'!$E$67)*(CB$6&gt;='Inputs &amp; Drivers'!$C$67)*(CB$6&lt;'Inputs &amp; Drivers'!$D$67)</f>
        <v>0</v>
      </c>
      <c r="CC50" s="70">
        <f>-('Inputs &amp; Drivers'!$E$22/'Inputs &amp; Drivers'!$E$67)*(CC$6&gt;='Inputs &amp; Drivers'!$C$67)*(CC$6&lt;'Inputs &amp; Drivers'!$D$67)</f>
        <v>0</v>
      </c>
      <c r="CD50" s="70">
        <f>-('Inputs &amp; Drivers'!$E$22/'Inputs &amp; Drivers'!$E$67)*(CD$6&gt;='Inputs &amp; Drivers'!$C$67)*(CD$6&lt;'Inputs &amp; Drivers'!$D$67)</f>
        <v>0</v>
      </c>
      <c r="CE50" s="70">
        <f>-('Inputs &amp; Drivers'!$E$22/'Inputs &amp; Drivers'!$E$67)*(CE$6&gt;='Inputs &amp; Drivers'!$C$67)*(CE$6&lt;'Inputs &amp; Drivers'!$D$67)</f>
        <v>0</v>
      </c>
      <c r="CF50" s="70">
        <f>-('Inputs &amp; Drivers'!$E$22/'Inputs &amp; Drivers'!$E$67)*(CF$6&gt;='Inputs &amp; Drivers'!$C$67)*(CF$6&lt;'Inputs &amp; Drivers'!$D$67)</f>
        <v>0</v>
      </c>
      <c r="CG50" s="70">
        <f>-('Inputs &amp; Drivers'!$E$22/'Inputs &amp; Drivers'!$E$67)*(CG$6&gt;='Inputs &amp; Drivers'!$C$67)*(CG$6&lt;'Inputs &amp; Drivers'!$D$67)</f>
        <v>0</v>
      </c>
      <c r="CH50" s="70">
        <f>-('Inputs &amp; Drivers'!$E$22/'Inputs &amp; Drivers'!$E$67)*(CH$6&gt;='Inputs &amp; Drivers'!$C$67)*(CH$6&lt;'Inputs &amp; Drivers'!$D$67)</f>
        <v>0</v>
      </c>
      <c r="CI50" s="70">
        <f>-('Inputs &amp; Drivers'!$E$22/'Inputs &amp; Drivers'!$E$67)*(CI$6&gt;='Inputs &amp; Drivers'!$C$67)*(CI$6&lt;'Inputs &amp; Drivers'!$D$67)</f>
        <v>0</v>
      </c>
      <c r="CJ50" s="70">
        <f>-('Inputs &amp; Drivers'!$E$22/'Inputs &amp; Drivers'!$E$67)*(CJ$6&gt;='Inputs &amp; Drivers'!$C$67)*(CJ$6&lt;'Inputs &amp; Drivers'!$D$67)</f>
        <v>0</v>
      </c>
      <c r="CK50" s="70">
        <f>-('Inputs &amp; Drivers'!$E$22/'Inputs &amp; Drivers'!$E$67)*(CK$6&gt;='Inputs &amp; Drivers'!$C$67)*(CK$6&lt;'Inputs &amp; Drivers'!$D$67)</f>
        <v>0</v>
      </c>
      <c r="CL50" s="70">
        <f>-('Inputs &amp; Drivers'!$E$22/'Inputs &amp; Drivers'!$E$67)*(CL$6&gt;='Inputs &amp; Drivers'!$C$67)*(CL$6&lt;'Inputs &amp; Drivers'!$D$67)</f>
        <v>0</v>
      </c>
      <c r="CM50" s="70">
        <f>-('Inputs &amp; Drivers'!$E$22/'Inputs &amp; Drivers'!$E$67)*(CM$6&gt;='Inputs &amp; Drivers'!$C$67)*(CM$6&lt;'Inputs &amp; Drivers'!$D$67)</f>
        <v>0</v>
      </c>
      <c r="CN50" s="70">
        <f>-('Inputs &amp; Drivers'!$E$22/'Inputs &amp; Drivers'!$E$67)*(CN$6&gt;='Inputs &amp; Drivers'!$C$67)*(CN$6&lt;'Inputs &amp; Drivers'!$D$67)</f>
        <v>0</v>
      </c>
      <c r="CO50" s="70">
        <f>-('Inputs &amp; Drivers'!$E$22/'Inputs &amp; Drivers'!$E$67)*(CO$6&gt;='Inputs &amp; Drivers'!$C$67)*(CO$6&lt;'Inputs &amp; Drivers'!$D$67)</f>
        <v>0</v>
      </c>
      <c r="CP50" s="70">
        <f>-('Inputs &amp; Drivers'!$E$22/'Inputs &amp; Drivers'!$E$67)*(CP$6&gt;='Inputs &amp; Drivers'!$C$67)*(CP$6&lt;'Inputs &amp; Drivers'!$D$67)</f>
        <v>0</v>
      </c>
      <c r="CQ50" s="70">
        <f>-('Inputs &amp; Drivers'!$E$22/'Inputs &amp; Drivers'!$E$67)*(CQ$6&gt;='Inputs &amp; Drivers'!$C$67)*(CQ$6&lt;'Inputs &amp; Drivers'!$D$67)</f>
        <v>0</v>
      </c>
      <c r="CR50" s="70">
        <f>-('Inputs &amp; Drivers'!$E$22/'Inputs &amp; Drivers'!$E$67)*(CR$6&gt;='Inputs &amp; Drivers'!$C$67)*(CR$6&lt;'Inputs &amp; Drivers'!$D$67)</f>
        <v>0</v>
      </c>
      <c r="CS50" s="70">
        <f>-('Inputs &amp; Drivers'!$E$22/'Inputs &amp; Drivers'!$E$67)*(CS$6&gt;='Inputs &amp; Drivers'!$C$67)*(CS$6&lt;'Inputs &amp; Drivers'!$D$67)</f>
        <v>0</v>
      </c>
      <c r="CT50" s="70">
        <f>-('Inputs &amp; Drivers'!$E$22/'Inputs &amp; Drivers'!$E$67)*(CT$6&gt;='Inputs &amp; Drivers'!$C$67)*(CT$6&lt;'Inputs &amp; Drivers'!$D$67)</f>
        <v>0</v>
      </c>
      <c r="CU50" s="70">
        <f>-('Inputs &amp; Drivers'!$E$22/'Inputs &amp; Drivers'!$E$67)*(CU$6&gt;='Inputs &amp; Drivers'!$C$67)*(CU$6&lt;'Inputs &amp; Drivers'!$D$67)</f>
        <v>0</v>
      </c>
      <c r="CV50" s="70">
        <f>-('Inputs &amp; Drivers'!$E$22/'Inputs &amp; Drivers'!$E$67)*(CV$6&gt;='Inputs &amp; Drivers'!$C$67)*(CV$6&lt;'Inputs &amp; Drivers'!$D$67)</f>
        <v>0</v>
      </c>
      <c r="CW50" s="70">
        <f>-('Inputs &amp; Drivers'!$E$22/'Inputs &amp; Drivers'!$E$67)*(CW$6&gt;='Inputs &amp; Drivers'!$C$67)*(CW$6&lt;'Inputs &amp; Drivers'!$D$67)</f>
        <v>0</v>
      </c>
      <c r="CX50" s="70">
        <f>-('Inputs &amp; Drivers'!$E$22/'Inputs &amp; Drivers'!$E$67)*(CX$6&gt;='Inputs &amp; Drivers'!$C$67)*(CX$6&lt;'Inputs &amp; Drivers'!$D$67)</f>
        <v>0</v>
      </c>
      <c r="CY50" s="70">
        <f>-('Inputs &amp; Drivers'!$E$22/'Inputs &amp; Drivers'!$E$67)*(CY$6&gt;='Inputs &amp; Drivers'!$C$67)*(CY$6&lt;'Inputs &amp; Drivers'!$D$67)</f>
        <v>0</v>
      </c>
      <c r="CZ50" s="70">
        <f>-('Inputs &amp; Drivers'!$E$22/'Inputs &amp; Drivers'!$E$67)*(CZ$6&gt;='Inputs &amp; Drivers'!$C$67)*(CZ$6&lt;'Inputs &amp; Drivers'!$D$67)</f>
        <v>0</v>
      </c>
      <c r="DA50" s="70">
        <f>-('Inputs &amp; Drivers'!$E$22/'Inputs &amp; Drivers'!$E$67)*(DA$6&gt;='Inputs &amp; Drivers'!$C$67)*(DA$6&lt;'Inputs &amp; Drivers'!$D$67)</f>
        <v>0</v>
      </c>
      <c r="DB50" s="70">
        <f>-('Inputs &amp; Drivers'!$E$22/'Inputs &amp; Drivers'!$E$67)*(DB$6&gt;='Inputs &amp; Drivers'!$C$67)*(DB$6&lt;'Inputs &amp; Drivers'!$D$67)</f>
        <v>0</v>
      </c>
      <c r="DC50" s="70">
        <f>-('Inputs &amp; Drivers'!$E$22/'Inputs &amp; Drivers'!$E$67)*(DC$6&gt;='Inputs &amp; Drivers'!$C$67)*(DC$6&lt;'Inputs &amp; Drivers'!$D$67)</f>
        <v>0</v>
      </c>
      <c r="DD50" s="70">
        <f>-('Inputs &amp; Drivers'!$E$22/'Inputs &amp; Drivers'!$E$67)*(DD$6&gt;='Inputs &amp; Drivers'!$C$67)*(DD$6&lt;'Inputs &amp; Drivers'!$D$67)</f>
        <v>0</v>
      </c>
      <c r="DE50" s="70">
        <f>-('Inputs &amp; Drivers'!$E$22/'Inputs &amp; Drivers'!$E$67)*(DE$6&gt;='Inputs &amp; Drivers'!$C$67)*(DE$6&lt;'Inputs &amp; Drivers'!$D$67)</f>
        <v>0</v>
      </c>
      <c r="DF50" s="70">
        <f>-('Inputs &amp; Drivers'!$E$22/'Inputs &amp; Drivers'!$E$67)*(DF$6&gt;='Inputs &amp; Drivers'!$C$67)*(DF$6&lt;'Inputs &amp; Drivers'!$D$67)</f>
        <v>0</v>
      </c>
      <c r="DG50" s="70">
        <f>-('Inputs &amp; Drivers'!$E$22/'Inputs &amp; Drivers'!$E$67)*(DG$6&gt;='Inputs &amp; Drivers'!$C$67)*(DG$6&lt;'Inputs &amp; Drivers'!$D$67)</f>
        <v>0</v>
      </c>
      <c r="DH50" s="70">
        <f>-('Inputs &amp; Drivers'!$E$22/'Inputs &amp; Drivers'!$E$67)*(DH$6&gt;='Inputs &amp; Drivers'!$C$67)*(DH$6&lt;'Inputs &amp; Drivers'!$D$67)</f>
        <v>0</v>
      </c>
      <c r="DI50" s="70">
        <f>-('Inputs &amp; Drivers'!$E$22/'Inputs &amp; Drivers'!$E$67)*(DI$6&gt;='Inputs &amp; Drivers'!$C$67)*(DI$6&lt;'Inputs &amp; Drivers'!$D$67)</f>
        <v>0</v>
      </c>
      <c r="DJ50" s="70">
        <f>-('Inputs &amp; Drivers'!$E$22/'Inputs &amp; Drivers'!$E$67)*(DJ$6&gt;='Inputs &amp; Drivers'!$C$67)*(DJ$6&lt;'Inputs &amp; Drivers'!$D$67)</f>
        <v>0</v>
      </c>
      <c r="DK50" s="70">
        <f>-('Inputs &amp; Drivers'!$E$22/'Inputs &amp; Drivers'!$E$67)*(DK$6&gt;='Inputs &amp; Drivers'!$C$67)*(DK$6&lt;'Inputs &amp; Drivers'!$D$67)</f>
        <v>0</v>
      </c>
      <c r="DL50" s="70">
        <f>-('Inputs &amp; Drivers'!$E$22/'Inputs &amp; Drivers'!$E$67)*(DL$6&gt;='Inputs &amp; Drivers'!$C$67)*(DL$6&lt;'Inputs &amp; Drivers'!$D$67)</f>
        <v>0</v>
      </c>
      <c r="DM50" s="70">
        <f>-('Inputs &amp; Drivers'!$E$22/'Inputs &amp; Drivers'!$E$67)*(DM$6&gt;='Inputs &amp; Drivers'!$C$67)*(DM$6&lt;'Inputs &amp; Drivers'!$D$67)</f>
        <v>0</v>
      </c>
      <c r="DN50" s="70">
        <f>-('Inputs &amp; Drivers'!$E$22/'Inputs &amp; Drivers'!$E$67)*(DN$6&gt;='Inputs &amp; Drivers'!$C$67)*(DN$6&lt;'Inputs &amp; Drivers'!$D$67)</f>
        <v>0</v>
      </c>
      <c r="DO50" s="70">
        <f>-('Inputs &amp; Drivers'!$E$22/'Inputs &amp; Drivers'!$E$67)*(DO$6&gt;='Inputs &amp; Drivers'!$C$67)*(DO$6&lt;'Inputs &amp; Drivers'!$D$67)</f>
        <v>0</v>
      </c>
      <c r="DP50" s="70">
        <f>-('Inputs &amp; Drivers'!$E$22/'Inputs &amp; Drivers'!$E$67)*(DP$6&gt;='Inputs &amp; Drivers'!$C$67)*(DP$6&lt;'Inputs &amp; Drivers'!$D$67)</f>
        <v>0</v>
      </c>
      <c r="DQ50" s="70">
        <f>-('Inputs &amp; Drivers'!$E$22/'Inputs &amp; Drivers'!$E$67)*(DQ$6&gt;='Inputs &amp; Drivers'!$C$67)*(DQ$6&lt;'Inputs &amp; Drivers'!$D$67)</f>
        <v>0</v>
      </c>
      <c r="DR50" s="70">
        <f>-('Inputs &amp; Drivers'!$E$22/'Inputs &amp; Drivers'!$E$67)*(DR$6&gt;='Inputs &amp; Drivers'!$C$67)*(DR$6&lt;'Inputs &amp; Drivers'!$D$67)</f>
        <v>0</v>
      </c>
      <c r="DS50" s="70">
        <f>-('Inputs &amp; Drivers'!$E$22/'Inputs &amp; Drivers'!$E$67)*(DS$6&gt;='Inputs &amp; Drivers'!$C$67)*(DS$6&lt;'Inputs &amp; Drivers'!$D$67)</f>
        <v>0</v>
      </c>
      <c r="DT50" s="70">
        <f>-('Inputs &amp; Drivers'!$E$22/'Inputs &amp; Drivers'!$E$67)*(DT$6&gt;='Inputs &amp; Drivers'!$C$67)*(DT$6&lt;'Inputs &amp; Drivers'!$D$67)</f>
        <v>0</v>
      </c>
      <c r="DU50" s="70">
        <f>-('Inputs &amp; Drivers'!$E$22/'Inputs &amp; Drivers'!$E$67)*(DU$6&gt;='Inputs &amp; Drivers'!$C$67)*(DU$6&lt;'Inputs &amp; Drivers'!$D$67)</f>
        <v>0</v>
      </c>
      <c r="DV50" s="70">
        <f>-('Inputs &amp; Drivers'!$E$22/'Inputs &amp; Drivers'!$E$67)*(DV$6&gt;='Inputs &amp; Drivers'!$C$67)*(DV$6&lt;'Inputs &amp; Drivers'!$D$67)</f>
        <v>0</v>
      </c>
      <c r="DW50" s="70">
        <f>-('Inputs &amp; Drivers'!$E$22/'Inputs &amp; Drivers'!$E$67)*(DW$6&gt;='Inputs &amp; Drivers'!$C$67)*(DW$6&lt;'Inputs &amp; Drivers'!$D$67)</f>
        <v>0</v>
      </c>
      <c r="DX50" s="70">
        <f>-('Inputs &amp; Drivers'!$E$22/'Inputs &amp; Drivers'!$E$67)*(DX$6&gt;='Inputs &amp; Drivers'!$C$67)*(DX$6&lt;'Inputs &amp; Drivers'!$D$67)</f>
        <v>0</v>
      </c>
      <c r="DY50" s="70">
        <f>-('Inputs &amp; Drivers'!$E$22/'Inputs &amp; Drivers'!$E$67)*(DY$6&gt;='Inputs &amp; Drivers'!$C$67)*(DY$6&lt;'Inputs &amp; Drivers'!$D$67)</f>
        <v>0</v>
      </c>
      <c r="DZ50" s="70">
        <f>-('Inputs &amp; Drivers'!$E$22/'Inputs &amp; Drivers'!$E$67)*(DZ$6&gt;='Inputs &amp; Drivers'!$C$67)*(DZ$6&lt;'Inputs &amp; Drivers'!$D$67)</f>
        <v>0</v>
      </c>
      <c r="EA50" s="70">
        <f>-('Inputs &amp; Drivers'!$E$22/'Inputs &amp; Drivers'!$E$67)*(EA$6&gt;='Inputs &amp; Drivers'!$C$67)*(EA$6&lt;'Inputs &amp; Drivers'!$D$67)</f>
        <v>0</v>
      </c>
      <c r="EB50" s="70">
        <f>-('Inputs &amp; Drivers'!$E$22/'Inputs &amp; Drivers'!$E$67)*(EB$6&gt;='Inputs &amp; Drivers'!$C$67)*(EB$6&lt;'Inputs &amp; Drivers'!$D$67)</f>
        <v>0</v>
      </c>
      <c r="EC50" s="70">
        <f>-('Inputs &amp; Drivers'!$E$22/'Inputs &amp; Drivers'!$E$67)*(EC$6&gt;='Inputs &amp; Drivers'!$C$67)*(EC$6&lt;'Inputs &amp; Drivers'!$D$67)</f>
        <v>0</v>
      </c>
      <c r="ED50" s="70">
        <f>-('Inputs &amp; Drivers'!$E$22/'Inputs &amp; Drivers'!$E$67)*(ED$6&gt;='Inputs &amp; Drivers'!$C$67)*(ED$6&lt;'Inputs &amp; Drivers'!$D$67)</f>
        <v>0</v>
      </c>
      <c r="EE50" s="70">
        <f>-('Inputs &amp; Drivers'!$E$22/'Inputs &amp; Drivers'!$E$67)*(EE$6&gt;='Inputs &amp; Drivers'!$C$67)*(EE$6&lt;'Inputs &amp; Drivers'!$D$67)</f>
        <v>0</v>
      </c>
      <c r="EF50" s="70">
        <f>-('Inputs &amp; Drivers'!$E$22/'Inputs &amp; Drivers'!$E$67)*(EF$6&gt;='Inputs &amp; Drivers'!$C$67)*(EF$6&lt;'Inputs &amp; Drivers'!$D$67)</f>
        <v>0</v>
      </c>
      <c r="EG50" s="70">
        <f>-('Inputs &amp; Drivers'!$E$22/'Inputs &amp; Drivers'!$E$67)*(EG$6&gt;='Inputs &amp; Drivers'!$C$67)*(EG$6&lt;'Inputs &amp; Drivers'!$D$67)</f>
        <v>0</v>
      </c>
      <c r="EH50" s="70">
        <f>-('Inputs &amp; Drivers'!$E$22/'Inputs &amp; Drivers'!$E$67)*(EH$6&gt;='Inputs &amp; Drivers'!$C$67)*(EH$6&lt;'Inputs &amp; Drivers'!$D$67)</f>
        <v>0</v>
      </c>
      <c r="EI50" s="70">
        <f>-('Inputs &amp; Drivers'!$E$22/'Inputs &amp; Drivers'!$E$67)*(EI$6&gt;='Inputs &amp; Drivers'!$C$67)*(EI$6&lt;'Inputs &amp; Drivers'!$D$67)</f>
        <v>0</v>
      </c>
      <c r="EJ50" s="70">
        <f>-('Inputs &amp; Drivers'!$E$22/'Inputs &amp; Drivers'!$E$67)*(EJ$6&gt;='Inputs &amp; Drivers'!$C$67)*(EJ$6&lt;'Inputs &amp; Drivers'!$D$67)</f>
        <v>0</v>
      </c>
      <c r="EK50" s="70">
        <f>-('Inputs &amp; Drivers'!$E$22/'Inputs &amp; Drivers'!$E$67)*(EK$6&gt;='Inputs &amp; Drivers'!$C$67)*(EK$6&lt;'Inputs &amp; Drivers'!$D$67)</f>
        <v>0</v>
      </c>
      <c r="EM50" s="109">
        <f t="shared" ref="EM50:EX51" si="794">SUMIF($I$4:$EK$4,EM$5,$I50:$EK50)</f>
        <v>0</v>
      </c>
      <c r="EN50" s="109">
        <f t="shared" si="794"/>
        <v>-262500</v>
      </c>
      <c r="EO50" s="109">
        <f t="shared" si="794"/>
        <v>0</v>
      </c>
      <c r="EP50" s="109">
        <f t="shared" si="794"/>
        <v>0</v>
      </c>
      <c r="EQ50" s="109">
        <f t="shared" si="794"/>
        <v>0</v>
      </c>
      <c r="ER50" s="109">
        <f t="shared" si="794"/>
        <v>0</v>
      </c>
      <c r="ES50" s="109">
        <f t="shared" si="794"/>
        <v>0</v>
      </c>
      <c r="ET50" s="109">
        <f t="shared" si="794"/>
        <v>0</v>
      </c>
      <c r="EU50" s="109">
        <f t="shared" si="794"/>
        <v>0</v>
      </c>
      <c r="EV50" s="109">
        <f t="shared" si="794"/>
        <v>0</v>
      </c>
      <c r="EW50" s="109">
        <f t="shared" si="794"/>
        <v>0</v>
      </c>
      <c r="EX50" s="109">
        <f t="shared" si="794"/>
        <v>0</v>
      </c>
    </row>
    <row r="51" spans="2:154" x14ac:dyDescent="0.3">
      <c r="B51" s="1" t="s">
        <v>112</v>
      </c>
      <c r="J51" s="41">
        <f>-('Inputs &amp; Drivers'!$E$27/'Inputs &amp; Drivers'!$E$68)*(J$6&gt;='Inputs &amp; Drivers'!$C$68)*(J$6&lt;'Inputs &amp; Drivers'!$D$68)</f>
        <v>0</v>
      </c>
      <c r="K51" s="41">
        <f>-('Inputs &amp; Drivers'!$E$27/'Inputs &amp; Drivers'!$E$68)*(K$6&gt;='Inputs &amp; Drivers'!$C$68)*(K$6&lt;'Inputs &amp; Drivers'!$D$68)</f>
        <v>0</v>
      </c>
      <c r="L51" s="41">
        <f>-('Inputs &amp; Drivers'!$E$27/'Inputs &amp; Drivers'!$E$68)*(L$6&gt;='Inputs &amp; Drivers'!$C$68)*(L$6&lt;'Inputs &amp; Drivers'!$D$68)</f>
        <v>-65625</v>
      </c>
      <c r="M51" s="41">
        <f>-('Inputs &amp; Drivers'!$E$27/'Inputs &amp; Drivers'!$E$68)*(M$6&gt;='Inputs &amp; Drivers'!$C$68)*(M$6&lt;'Inputs &amp; Drivers'!$D$68)</f>
        <v>-65625</v>
      </c>
      <c r="N51" s="41">
        <f>-('Inputs &amp; Drivers'!$E$27/'Inputs &amp; Drivers'!$E$68)*(N$6&gt;='Inputs &amp; Drivers'!$C$68)*(N$6&lt;'Inputs &amp; Drivers'!$D$68)</f>
        <v>-65625</v>
      </c>
      <c r="O51" s="41">
        <f>-('Inputs &amp; Drivers'!$E$27/'Inputs &amp; Drivers'!$E$68)*(O$6&gt;='Inputs &amp; Drivers'!$C$68)*(O$6&lt;'Inputs &amp; Drivers'!$D$68)</f>
        <v>-65625</v>
      </c>
      <c r="P51" s="41">
        <f>-('Inputs &amp; Drivers'!$E$27/'Inputs &amp; Drivers'!$E$68)*(P$6&gt;='Inputs &amp; Drivers'!$C$68)*(P$6&lt;'Inputs &amp; Drivers'!$D$68)</f>
        <v>-65625</v>
      </c>
      <c r="Q51" s="41">
        <f>-('Inputs &amp; Drivers'!$E$27/'Inputs &amp; Drivers'!$E$68)*(Q$6&gt;='Inputs &amp; Drivers'!$C$68)*(Q$6&lt;'Inputs &amp; Drivers'!$D$68)</f>
        <v>-65625</v>
      </c>
      <c r="R51" s="41">
        <f>-('Inputs &amp; Drivers'!$E$27/'Inputs &amp; Drivers'!$E$68)*(R$6&gt;='Inputs &amp; Drivers'!$C$68)*(R$6&lt;'Inputs &amp; Drivers'!$D$68)</f>
        <v>-65625</v>
      </c>
      <c r="S51" s="41">
        <f>-('Inputs &amp; Drivers'!$E$27/'Inputs &amp; Drivers'!$E$68)*(S$6&gt;='Inputs &amp; Drivers'!$C$68)*(S$6&lt;'Inputs &amp; Drivers'!$D$68)</f>
        <v>-65625</v>
      </c>
      <c r="T51" s="41">
        <f>-('Inputs &amp; Drivers'!$E$27/'Inputs &amp; Drivers'!$E$68)*(T$6&gt;='Inputs &amp; Drivers'!$C$68)*(T$6&lt;'Inputs &amp; Drivers'!$D$68)</f>
        <v>-65625</v>
      </c>
      <c r="U51" s="41">
        <f>-('Inputs &amp; Drivers'!$E$27/'Inputs &amp; Drivers'!$E$68)*(U$6&gt;='Inputs &amp; Drivers'!$C$68)*(U$6&lt;'Inputs &amp; Drivers'!$D$68)</f>
        <v>-65625</v>
      </c>
      <c r="V51" s="41">
        <f>-('Inputs &amp; Drivers'!$E$27/'Inputs &amp; Drivers'!$E$68)*(V$6&gt;='Inputs &amp; Drivers'!$C$68)*(V$6&lt;'Inputs &amp; Drivers'!$D$68)</f>
        <v>-65625</v>
      </c>
      <c r="W51" s="41">
        <f>-('Inputs &amp; Drivers'!$E$27/'Inputs &amp; Drivers'!$E$68)*(W$6&gt;='Inputs &amp; Drivers'!$C$68)*(W$6&lt;'Inputs &amp; Drivers'!$D$68)</f>
        <v>-65625</v>
      </c>
      <c r="X51" s="41">
        <f>-('Inputs &amp; Drivers'!$E$27/'Inputs &amp; Drivers'!$E$68)*(X$6&gt;='Inputs &amp; Drivers'!$C$68)*(X$6&lt;'Inputs &amp; Drivers'!$D$68)</f>
        <v>-65625</v>
      </c>
      <c r="Y51" s="41">
        <f>-('Inputs &amp; Drivers'!$E$27/'Inputs &amp; Drivers'!$E$68)*(Y$6&gt;='Inputs &amp; Drivers'!$C$68)*(Y$6&lt;'Inputs &amp; Drivers'!$D$68)</f>
        <v>-65625</v>
      </c>
      <c r="Z51" s="41">
        <f>-('Inputs &amp; Drivers'!$E$27/'Inputs &amp; Drivers'!$E$68)*(Z$6&gt;='Inputs &amp; Drivers'!$C$68)*(Z$6&lt;'Inputs &amp; Drivers'!$D$68)</f>
        <v>-65625</v>
      </c>
      <c r="AA51" s="41">
        <f>-('Inputs &amp; Drivers'!$E$27/'Inputs &amp; Drivers'!$E$68)*(AA$6&gt;='Inputs &amp; Drivers'!$C$68)*(AA$6&lt;'Inputs &amp; Drivers'!$D$68)</f>
        <v>-65625</v>
      </c>
      <c r="AB51" s="41">
        <f>-('Inputs &amp; Drivers'!$E$27/'Inputs &amp; Drivers'!$E$68)*(AB$6&gt;='Inputs &amp; Drivers'!$C$68)*(AB$6&lt;'Inputs &amp; Drivers'!$D$68)</f>
        <v>-65625</v>
      </c>
      <c r="AC51" s="41">
        <f>-('Inputs &amp; Drivers'!$E$27/'Inputs &amp; Drivers'!$E$68)*(AC$6&gt;='Inputs &amp; Drivers'!$C$68)*(AC$6&lt;'Inputs &amp; Drivers'!$D$68)</f>
        <v>-65625</v>
      </c>
      <c r="AD51" s="41">
        <f>-('Inputs &amp; Drivers'!$E$27/'Inputs &amp; Drivers'!$E$68)*(AD$6&gt;='Inputs &amp; Drivers'!$C$68)*(AD$6&lt;'Inputs &amp; Drivers'!$D$68)</f>
        <v>-65625</v>
      </c>
      <c r="AE51" s="41">
        <f>-('Inputs &amp; Drivers'!$E$27/'Inputs &amp; Drivers'!$E$68)*(AE$6&gt;='Inputs &amp; Drivers'!$C$68)*(AE$6&lt;'Inputs &amp; Drivers'!$D$68)</f>
        <v>-65625</v>
      </c>
      <c r="AF51" s="41">
        <f>-('Inputs &amp; Drivers'!$E$27/'Inputs &amp; Drivers'!$E$68)*(AF$6&gt;='Inputs &amp; Drivers'!$C$68)*(AF$6&lt;'Inputs &amp; Drivers'!$D$68)</f>
        <v>-65625</v>
      </c>
      <c r="AG51" s="41">
        <f>-('Inputs &amp; Drivers'!$E$27/'Inputs &amp; Drivers'!$E$68)*(AG$6&gt;='Inputs &amp; Drivers'!$C$68)*(AG$6&lt;'Inputs &amp; Drivers'!$D$68)</f>
        <v>-65625</v>
      </c>
      <c r="AH51" s="41">
        <f>-('Inputs &amp; Drivers'!$E$27/'Inputs &amp; Drivers'!$E$68)*(AH$6&gt;='Inputs &amp; Drivers'!$C$68)*(AH$6&lt;'Inputs &amp; Drivers'!$D$68)</f>
        <v>-65625</v>
      </c>
      <c r="AI51" s="41">
        <f>-('Inputs &amp; Drivers'!$E$27/'Inputs &amp; Drivers'!$E$68)*(AI$6&gt;='Inputs &amp; Drivers'!$C$68)*(AI$6&lt;'Inputs &amp; Drivers'!$D$68)</f>
        <v>-65625</v>
      </c>
      <c r="AJ51" s="41">
        <f>-('Inputs &amp; Drivers'!$E$27/'Inputs &amp; Drivers'!$E$68)*(AJ$6&gt;='Inputs &amp; Drivers'!$C$68)*(AJ$6&lt;'Inputs &amp; Drivers'!$D$68)</f>
        <v>0</v>
      </c>
      <c r="AK51" s="41">
        <f>-('Inputs &amp; Drivers'!$E$27/'Inputs &amp; Drivers'!$E$68)*(AK$6&gt;='Inputs &amp; Drivers'!$C$68)*(AK$6&lt;'Inputs &amp; Drivers'!$D$68)</f>
        <v>0</v>
      </c>
      <c r="AL51" s="41">
        <f>-('Inputs &amp; Drivers'!$E$27/'Inputs &amp; Drivers'!$E$68)*(AL$6&gt;='Inputs &amp; Drivers'!$C$68)*(AL$6&lt;'Inputs &amp; Drivers'!$D$68)</f>
        <v>0</v>
      </c>
      <c r="AM51" s="41">
        <f>-('Inputs &amp; Drivers'!$E$27/'Inputs &amp; Drivers'!$E$68)*(AM$6&gt;='Inputs &amp; Drivers'!$C$68)*(AM$6&lt;'Inputs &amp; Drivers'!$D$68)</f>
        <v>0</v>
      </c>
      <c r="AN51" s="41">
        <f>-('Inputs &amp; Drivers'!$E$27/'Inputs &amp; Drivers'!$E$68)*(AN$6&gt;='Inputs &amp; Drivers'!$C$68)*(AN$6&lt;'Inputs &amp; Drivers'!$D$68)</f>
        <v>0</v>
      </c>
      <c r="AO51" s="41">
        <f>-('Inputs &amp; Drivers'!$E$27/'Inputs &amp; Drivers'!$E$68)*(AO$6&gt;='Inputs &amp; Drivers'!$C$68)*(AO$6&lt;'Inputs &amp; Drivers'!$D$68)</f>
        <v>0</v>
      </c>
      <c r="AP51" s="41">
        <f>-('Inputs &amp; Drivers'!$E$27/'Inputs &amp; Drivers'!$E$68)*(AP$6&gt;='Inputs &amp; Drivers'!$C$68)*(AP$6&lt;'Inputs &amp; Drivers'!$D$68)</f>
        <v>0</v>
      </c>
      <c r="AQ51" s="41">
        <f>-('Inputs &amp; Drivers'!$E$27/'Inputs &amp; Drivers'!$E$68)*(AQ$6&gt;='Inputs &amp; Drivers'!$C$68)*(AQ$6&lt;'Inputs &amp; Drivers'!$D$68)</f>
        <v>0</v>
      </c>
      <c r="AR51" s="41">
        <f>-('Inputs &amp; Drivers'!$E$27/'Inputs &amp; Drivers'!$E$68)*(AR$6&gt;='Inputs &amp; Drivers'!$C$68)*(AR$6&lt;'Inputs &amp; Drivers'!$D$68)</f>
        <v>0</v>
      </c>
      <c r="AS51" s="41">
        <f>-('Inputs &amp; Drivers'!$E$27/'Inputs &amp; Drivers'!$E$68)*(AS$6&gt;='Inputs &amp; Drivers'!$C$68)*(AS$6&lt;'Inputs &amp; Drivers'!$D$68)</f>
        <v>0</v>
      </c>
      <c r="AT51" s="41">
        <f>-('Inputs &amp; Drivers'!$E$27/'Inputs &amp; Drivers'!$E$68)*(AT$6&gt;='Inputs &amp; Drivers'!$C$68)*(AT$6&lt;'Inputs &amp; Drivers'!$D$68)</f>
        <v>0</v>
      </c>
      <c r="AU51" s="41">
        <f>-('Inputs &amp; Drivers'!$E$27/'Inputs &amp; Drivers'!$E$68)*(AU$6&gt;='Inputs &amp; Drivers'!$C$68)*(AU$6&lt;'Inputs &amp; Drivers'!$D$68)</f>
        <v>0</v>
      </c>
      <c r="AV51" s="41">
        <f>-('Inputs &amp; Drivers'!$E$27/'Inputs &amp; Drivers'!$E$68)*(AV$6&gt;='Inputs &amp; Drivers'!$C$68)*(AV$6&lt;'Inputs &amp; Drivers'!$D$68)</f>
        <v>0</v>
      </c>
      <c r="AW51" s="41">
        <f>-('Inputs &amp; Drivers'!$E$27/'Inputs &amp; Drivers'!$E$68)*(AW$6&gt;='Inputs &amp; Drivers'!$C$68)*(AW$6&lt;'Inputs &amp; Drivers'!$D$68)</f>
        <v>0</v>
      </c>
      <c r="AX51" s="41">
        <f>-('Inputs &amp; Drivers'!$E$27/'Inputs &amp; Drivers'!$E$68)*(AX$6&gt;='Inputs &amp; Drivers'!$C$68)*(AX$6&lt;'Inputs &amp; Drivers'!$D$68)</f>
        <v>0</v>
      </c>
      <c r="AY51" s="41">
        <f>-('Inputs &amp; Drivers'!$E$27/'Inputs &amp; Drivers'!$E$68)*(AY$6&gt;='Inputs &amp; Drivers'!$C$68)*(AY$6&lt;'Inputs &amp; Drivers'!$D$68)</f>
        <v>0</v>
      </c>
      <c r="AZ51" s="41">
        <f>-('Inputs &amp; Drivers'!$E$27/'Inputs &amp; Drivers'!$E$68)*(AZ$6&gt;='Inputs &amp; Drivers'!$C$68)*(AZ$6&lt;'Inputs &amp; Drivers'!$D$68)</f>
        <v>0</v>
      </c>
      <c r="BA51" s="41">
        <f>-('Inputs &amp; Drivers'!$E$27/'Inputs &amp; Drivers'!$E$68)*(BA$6&gt;='Inputs &amp; Drivers'!$C$68)*(BA$6&lt;'Inputs &amp; Drivers'!$D$68)</f>
        <v>0</v>
      </c>
      <c r="BB51" s="41">
        <f>-('Inputs &amp; Drivers'!$E$27/'Inputs &amp; Drivers'!$E$68)*(BB$6&gt;='Inputs &amp; Drivers'!$C$68)*(BB$6&lt;'Inputs &amp; Drivers'!$D$68)</f>
        <v>0</v>
      </c>
      <c r="BC51" s="41">
        <f>-('Inputs &amp; Drivers'!$E$27/'Inputs &amp; Drivers'!$E$68)*(BC$6&gt;='Inputs &amp; Drivers'!$C$68)*(BC$6&lt;'Inputs &amp; Drivers'!$D$68)</f>
        <v>0</v>
      </c>
      <c r="BD51" s="41">
        <f>-('Inputs &amp; Drivers'!$E$27/'Inputs &amp; Drivers'!$E$68)*(BD$6&gt;='Inputs &amp; Drivers'!$C$68)*(BD$6&lt;'Inputs &amp; Drivers'!$D$68)</f>
        <v>0</v>
      </c>
      <c r="BE51" s="41">
        <f>-('Inputs &amp; Drivers'!$E$27/'Inputs &amp; Drivers'!$E$68)*(BE$6&gt;='Inputs &amp; Drivers'!$C$68)*(BE$6&lt;'Inputs &amp; Drivers'!$D$68)</f>
        <v>0</v>
      </c>
      <c r="BF51" s="41">
        <f>-('Inputs &amp; Drivers'!$E$27/'Inputs &amp; Drivers'!$E$68)*(BF$6&gt;='Inputs &amp; Drivers'!$C$68)*(BF$6&lt;'Inputs &amp; Drivers'!$D$68)</f>
        <v>0</v>
      </c>
      <c r="BG51" s="41">
        <f>-('Inputs &amp; Drivers'!$E$27/'Inputs &amp; Drivers'!$E$68)*(BG$6&gt;='Inputs &amp; Drivers'!$C$68)*(BG$6&lt;'Inputs &amp; Drivers'!$D$68)</f>
        <v>0</v>
      </c>
      <c r="BH51" s="41">
        <f>-('Inputs &amp; Drivers'!$E$27/'Inputs &amp; Drivers'!$E$68)*(BH$6&gt;='Inputs &amp; Drivers'!$C$68)*(BH$6&lt;'Inputs &amp; Drivers'!$D$68)</f>
        <v>0</v>
      </c>
      <c r="BI51" s="41">
        <f>-('Inputs &amp; Drivers'!$E$27/'Inputs &amp; Drivers'!$E$68)*(BI$6&gt;='Inputs &amp; Drivers'!$C$68)*(BI$6&lt;'Inputs &amp; Drivers'!$D$68)</f>
        <v>0</v>
      </c>
      <c r="BJ51" s="41">
        <f>-('Inputs &amp; Drivers'!$E$27/'Inputs &amp; Drivers'!$E$68)*(BJ$6&gt;='Inputs &amp; Drivers'!$C$68)*(BJ$6&lt;'Inputs &amp; Drivers'!$D$68)</f>
        <v>0</v>
      </c>
      <c r="BK51" s="41">
        <f>-('Inputs &amp; Drivers'!$E$27/'Inputs &amp; Drivers'!$E$68)*(BK$6&gt;='Inputs &amp; Drivers'!$C$68)*(BK$6&lt;'Inputs &amp; Drivers'!$D$68)</f>
        <v>0</v>
      </c>
      <c r="BL51" s="41">
        <f>-('Inputs &amp; Drivers'!$E$27/'Inputs &amp; Drivers'!$E$68)*(BL$6&gt;='Inputs &amp; Drivers'!$C$68)*(BL$6&lt;'Inputs &amp; Drivers'!$D$68)</f>
        <v>0</v>
      </c>
      <c r="BM51" s="41">
        <f>-('Inputs &amp; Drivers'!$E$27/'Inputs &amp; Drivers'!$E$68)*(BM$6&gt;='Inputs &amp; Drivers'!$C$68)*(BM$6&lt;'Inputs &amp; Drivers'!$D$68)</f>
        <v>0</v>
      </c>
      <c r="BN51" s="41">
        <f>-('Inputs &amp; Drivers'!$E$27/'Inputs &amp; Drivers'!$E$68)*(BN$6&gt;='Inputs &amp; Drivers'!$C$68)*(BN$6&lt;'Inputs &amp; Drivers'!$D$68)</f>
        <v>0</v>
      </c>
      <c r="BO51" s="41">
        <f>-('Inputs &amp; Drivers'!$E$27/'Inputs &amp; Drivers'!$E$68)*(BO$6&gt;='Inputs &amp; Drivers'!$C$68)*(BO$6&lt;'Inputs &amp; Drivers'!$D$68)</f>
        <v>0</v>
      </c>
      <c r="BP51" s="41">
        <f>-('Inputs &amp; Drivers'!$E$27/'Inputs &amp; Drivers'!$E$68)*(BP$6&gt;='Inputs &amp; Drivers'!$C$68)*(BP$6&lt;'Inputs &amp; Drivers'!$D$68)</f>
        <v>0</v>
      </c>
      <c r="BQ51" s="41">
        <f>-('Inputs &amp; Drivers'!$E$27/'Inputs &amp; Drivers'!$E$68)*(BQ$6&gt;='Inputs &amp; Drivers'!$C$68)*(BQ$6&lt;'Inputs &amp; Drivers'!$D$68)</f>
        <v>0</v>
      </c>
      <c r="BR51" s="41">
        <f>-('Inputs &amp; Drivers'!$E$27/'Inputs &amp; Drivers'!$E$68)*(BR$6&gt;='Inputs &amp; Drivers'!$C$68)*(BR$6&lt;'Inputs &amp; Drivers'!$D$68)</f>
        <v>0</v>
      </c>
      <c r="BS51" s="41">
        <f>-('Inputs &amp; Drivers'!$E$27/'Inputs &amp; Drivers'!$E$68)*(BS$6&gt;='Inputs &amp; Drivers'!$C$68)*(BS$6&lt;'Inputs &amp; Drivers'!$D$68)</f>
        <v>0</v>
      </c>
      <c r="BT51" s="41">
        <f>-('Inputs &amp; Drivers'!$E$27/'Inputs &amp; Drivers'!$E$68)*(BT$6&gt;='Inputs &amp; Drivers'!$C$68)*(BT$6&lt;'Inputs &amp; Drivers'!$D$68)</f>
        <v>0</v>
      </c>
      <c r="BU51" s="41">
        <f>-('Inputs &amp; Drivers'!$E$27/'Inputs &amp; Drivers'!$E$68)*(BU$6&gt;='Inputs &amp; Drivers'!$C$68)*(BU$6&lt;'Inputs &amp; Drivers'!$D$68)</f>
        <v>0</v>
      </c>
      <c r="BV51" s="41">
        <f>-('Inputs &amp; Drivers'!$E$27/'Inputs &amp; Drivers'!$E$68)*(BV$6&gt;='Inputs &amp; Drivers'!$C$68)*(BV$6&lt;'Inputs &amp; Drivers'!$D$68)</f>
        <v>0</v>
      </c>
      <c r="BW51" s="41">
        <f>-('Inputs &amp; Drivers'!$E$27/'Inputs &amp; Drivers'!$E$68)*(BW$6&gt;='Inputs &amp; Drivers'!$C$68)*(BW$6&lt;'Inputs &amp; Drivers'!$D$68)</f>
        <v>0</v>
      </c>
      <c r="BX51" s="41">
        <f>-('Inputs &amp; Drivers'!$E$27/'Inputs &amp; Drivers'!$E$68)*(BX$6&gt;='Inputs &amp; Drivers'!$C$68)*(BX$6&lt;'Inputs &amp; Drivers'!$D$68)</f>
        <v>0</v>
      </c>
      <c r="BY51" s="41">
        <f>-('Inputs &amp; Drivers'!$E$27/'Inputs &amp; Drivers'!$E$68)*(BY$6&gt;='Inputs &amp; Drivers'!$C$68)*(BY$6&lt;'Inputs &amp; Drivers'!$D$68)</f>
        <v>0</v>
      </c>
      <c r="BZ51" s="41">
        <f>-('Inputs &amp; Drivers'!$E$27/'Inputs &amp; Drivers'!$E$68)*(BZ$6&gt;='Inputs &amp; Drivers'!$C$68)*(BZ$6&lt;'Inputs &amp; Drivers'!$D$68)</f>
        <v>0</v>
      </c>
      <c r="CA51" s="41">
        <f>-('Inputs &amp; Drivers'!$E$27/'Inputs &amp; Drivers'!$E$68)*(CA$6&gt;='Inputs &amp; Drivers'!$C$68)*(CA$6&lt;'Inputs &amp; Drivers'!$D$68)</f>
        <v>0</v>
      </c>
      <c r="CB51" s="41">
        <f>-('Inputs &amp; Drivers'!$E$27/'Inputs &amp; Drivers'!$E$68)*(CB$6&gt;='Inputs &amp; Drivers'!$C$68)*(CB$6&lt;'Inputs &amp; Drivers'!$D$68)</f>
        <v>0</v>
      </c>
      <c r="CC51" s="41">
        <f>-('Inputs &amp; Drivers'!$E$27/'Inputs &amp; Drivers'!$E$68)*(CC$6&gt;='Inputs &amp; Drivers'!$C$68)*(CC$6&lt;'Inputs &amp; Drivers'!$D$68)</f>
        <v>0</v>
      </c>
      <c r="CD51" s="41">
        <f>-('Inputs &amp; Drivers'!$E$27/'Inputs &amp; Drivers'!$E$68)*(CD$6&gt;='Inputs &amp; Drivers'!$C$68)*(CD$6&lt;'Inputs &amp; Drivers'!$D$68)</f>
        <v>0</v>
      </c>
      <c r="CE51" s="41">
        <f>-('Inputs &amp; Drivers'!$E$27/'Inputs &amp; Drivers'!$E$68)*(CE$6&gt;='Inputs &amp; Drivers'!$C$68)*(CE$6&lt;'Inputs &amp; Drivers'!$D$68)</f>
        <v>0</v>
      </c>
      <c r="CF51" s="41">
        <f>-('Inputs &amp; Drivers'!$E$27/'Inputs &amp; Drivers'!$E$68)*(CF$6&gt;='Inputs &amp; Drivers'!$C$68)*(CF$6&lt;'Inputs &amp; Drivers'!$D$68)</f>
        <v>0</v>
      </c>
      <c r="CG51" s="41">
        <f>-('Inputs &amp; Drivers'!$E$27/'Inputs &amp; Drivers'!$E$68)*(CG$6&gt;='Inputs &amp; Drivers'!$C$68)*(CG$6&lt;'Inputs &amp; Drivers'!$D$68)</f>
        <v>0</v>
      </c>
      <c r="CH51" s="41">
        <f>-('Inputs &amp; Drivers'!$E$27/'Inputs &amp; Drivers'!$E$68)*(CH$6&gt;='Inputs &amp; Drivers'!$C$68)*(CH$6&lt;'Inputs &amp; Drivers'!$D$68)</f>
        <v>0</v>
      </c>
      <c r="CI51" s="41">
        <f>-('Inputs &amp; Drivers'!$E$27/'Inputs &amp; Drivers'!$E$68)*(CI$6&gt;='Inputs &amp; Drivers'!$C$68)*(CI$6&lt;'Inputs &amp; Drivers'!$D$68)</f>
        <v>0</v>
      </c>
      <c r="CJ51" s="41">
        <f>-('Inputs &amp; Drivers'!$E$27/'Inputs &amp; Drivers'!$E$68)*(CJ$6&gt;='Inputs &amp; Drivers'!$C$68)*(CJ$6&lt;'Inputs &amp; Drivers'!$D$68)</f>
        <v>0</v>
      </c>
      <c r="CK51" s="41">
        <f>-('Inputs &amp; Drivers'!$E$27/'Inputs &amp; Drivers'!$E$68)*(CK$6&gt;='Inputs &amp; Drivers'!$C$68)*(CK$6&lt;'Inputs &amp; Drivers'!$D$68)</f>
        <v>0</v>
      </c>
      <c r="CL51" s="41">
        <f>-('Inputs &amp; Drivers'!$E$27/'Inputs &amp; Drivers'!$E$68)*(CL$6&gt;='Inputs &amp; Drivers'!$C$68)*(CL$6&lt;'Inputs &amp; Drivers'!$D$68)</f>
        <v>0</v>
      </c>
      <c r="CM51" s="41">
        <f>-('Inputs &amp; Drivers'!$E$27/'Inputs &amp; Drivers'!$E$68)*(CM$6&gt;='Inputs &amp; Drivers'!$C$68)*(CM$6&lt;'Inputs &amp; Drivers'!$D$68)</f>
        <v>0</v>
      </c>
      <c r="CN51" s="41">
        <f>-('Inputs &amp; Drivers'!$E$27/'Inputs &amp; Drivers'!$E$68)*(CN$6&gt;='Inputs &amp; Drivers'!$C$68)*(CN$6&lt;'Inputs &amp; Drivers'!$D$68)</f>
        <v>0</v>
      </c>
      <c r="CO51" s="41">
        <f>-('Inputs &amp; Drivers'!$E$27/'Inputs &amp; Drivers'!$E$68)*(CO$6&gt;='Inputs &amp; Drivers'!$C$68)*(CO$6&lt;'Inputs &amp; Drivers'!$D$68)</f>
        <v>0</v>
      </c>
      <c r="CP51" s="41">
        <f>-('Inputs &amp; Drivers'!$E$27/'Inputs &amp; Drivers'!$E$68)*(CP$6&gt;='Inputs &amp; Drivers'!$C$68)*(CP$6&lt;'Inputs &amp; Drivers'!$D$68)</f>
        <v>0</v>
      </c>
      <c r="CQ51" s="41">
        <f>-('Inputs &amp; Drivers'!$E$27/'Inputs &amp; Drivers'!$E$68)*(CQ$6&gt;='Inputs &amp; Drivers'!$C$68)*(CQ$6&lt;'Inputs &amp; Drivers'!$D$68)</f>
        <v>0</v>
      </c>
      <c r="CR51" s="41">
        <f>-('Inputs &amp; Drivers'!$E$27/'Inputs &amp; Drivers'!$E$68)*(CR$6&gt;='Inputs &amp; Drivers'!$C$68)*(CR$6&lt;'Inputs &amp; Drivers'!$D$68)</f>
        <v>0</v>
      </c>
      <c r="CS51" s="41">
        <f>-('Inputs &amp; Drivers'!$E$27/'Inputs &amp; Drivers'!$E$68)*(CS$6&gt;='Inputs &amp; Drivers'!$C$68)*(CS$6&lt;'Inputs &amp; Drivers'!$D$68)</f>
        <v>0</v>
      </c>
      <c r="CT51" s="41">
        <f>-('Inputs &amp; Drivers'!$E$27/'Inputs &amp; Drivers'!$E$68)*(CT$6&gt;='Inputs &amp; Drivers'!$C$68)*(CT$6&lt;'Inputs &amp; Drivers'!$D$68)</f>
        <v>0</v>
      </c>
      <c r="CU51" s="41">
        <f>-('Inputs &amp; Drivers'!$E$27/'Inputs &amp; Drivers'!$E$68)*(CU$6&gt;='Inputs &amp; Drivers'!$C$68)*(CU$6&lt;'Inputs &amp; Drivers'!$D$68)</f>
        <v>0</v>
      </c>
      <c r="CV51" s="41">
        <f>-('Inputs &amp; Drivers'!$E$27/'Inputs &amp; Drivers'!$E$68)*(CV$6&gt;='Inputs &amp; Drivers'!$C$68)*(CV$6&lt;'Inputs &amp; Drivers'!$D$68)</f>
        <v>0</v>
      </c>
      <c r="CW51" s="41">
        <f>-('Inputs &amp; Drivers'!$E$27/'Inputs &amp; Drivers'!$E$68)*(CW$6&gt;='Inputs &amp; Drivers'!$C$68)*(CW$6&lt;'Inputs &amp; Drivers'!$D$68)</f>
        <v>0</v>
      </c>
      <c r="CX51" s="41">
        <f>-('Inputs &amp; Drivers'!$E$27/'Inputs &amp; Drivers'!$E$68)*(CX$6&gt;='Inputs &amp; Drivers'!$C$68)*(CX$6&lt;'Inputs &amp; Drivers'!$D$68)</f>
        <v>0</v>
      </c>
      <c r="CY51" s="41">
        <f>-('Inputs &amp; Drivers'!$E$27/'Inputs &amp; Drivers'!$E$68)*(CY$6&gt;='Inputs &amp; Drivers'!$C$68)*(CY$6&lt;'Inputs &amp; Drivers'!$D$68)</f>
        <v>0</v>
      </c>
      <c r="CZ51" s="41">
        <f>-('Inputs &amp; Drivers'!$E$27/'Inputs &amp; Drivers'!$E$68)*(CZ$6&gt;='Inputs &amp; Drivers'!$C$68)*(CZ$6&lt;'Inputs &amp; Drivers'!$D$68)</f>
        <v>0</v>
      </c>
      <c r="DA51" s="41">
        <f>-('Inputs &amp; Drivers'!$E$27/'Inputs &amp; Drivers'!$E$68)*(DA$6&gt;='Inputs &amp; Drivers'!$C$68)*(DA$6&lt;'Inputs &amp; Drivers'!$D$68)</f>
        <v>0</v>
      </c>
      <c r="DB51" s="41">
        <f>-('Inputs &amp; Drivers'!$E$27/'Inputs &amp; Drivers'!$E$68)*(DB$6&gt;='Inputs &amp; Drivers'!$C$68)*(DB$6&lt;'Inputs &amp; Drivers'!$D$68)</f>
        <v>0</v>
      </c>
      <c r="DC51" s="41">
        <f>-('Inputs &amp; Drivers'!$E$27/'Inputs &amp; Drivers'!$E$68)*(DC$6&gt;='Inputs &amp; Drivers'!$C$68)*(DC$6&lt;'Inputs &amp; Drivers'!$D$68)</f>
        <v>0</v>
      </c>
      <c r="DD51" s="41">
        <f>-('Inputs &amp; Drivers'!$E$27/'Inputs &amp; Drivers'!$E$68)*(DD$6&gt;='Inputs &amp; Drivers'!$C$68)*(DD$6&lt;'Inputs &amp; Drivers'!$D$68)</f>
        <v>0</v>
      </c>
      <c r="DE51" s="41">
        <f>-('Inputs &amp; Drivers'!$E$27/'Inputs &amp; Drivers'!$E$68)*(DE$6&gt;='Inputs &amp; Drivers'!$C$68)*(DE$6&lt;'Inputs &amp; Drivers'!$D$68)</f>
        <v>0</v>
      </c>
      <c r="DF51" s="41">
        <f>-('Inputs &amp; Drivers'!$E$27/'Inputs &amp; Drivers'!$E$68)*(DF$6&gt;='Inputs &amp; Drivers'!$C$68)*(DF$6&lt;'Inputs &amp; Drivers'!$D$68)</f>
        <v>0</v>
      </c>
      <c r="DG51" s="41">
        <f>-('Inputs &amp; Drivers'!$E$27/'Inputs &amp; Drivers'!$E$68)*(DG$6&gt;='Inputs &amp; Drivers'!$C$68)*(DG$6&lt;'Inputs &amp; Drivers'!$D$68)</f>
        <v>0</v>
      </c>
      <c r="DH51" s="41">
        <f>-('Inputs &amp; Drivers'!$E$27/'Inputs &amp; Drivers'!$E$68)*(DH$6&gt;='Inputs &amp; Drivers'!$C$68)*(DH$6&lt;'Inputs &amp; Drivers'!$D$68)</f>
        <v>0</v>
      </c>
      <c r="DI51" s="41">
        <f>-('Inputs &amp; Drivers'!$E$27/'Inputs &amp; Drivers'!$E$68)*(DI$6&gt;='Inputs &amp; Drivers'!$C$68)*(DI$6&lt;'Inputs &amp; Drivers'!$D$68)</f>
        <v>0</v>
      </c>
      <c r="DJ51" s="41">
        <f>-('Inputs &amp; Drivers'!$E$27/'Inputs &amp; Drivers'!$E$68)*(DJ$6&gt;='Inputs &amp; Drivers'!$C$68)*(DJ$6&lt;'Inputs &amp; Drivers'!$D$68)</f>
        <v>0</v>
      </c>
      <c r="DK51" s="41">
        <f>-('Inputs &amp; Drivers'!$E$27/'Inputs &amp; Drivers'!$E$68)*(DK$6&gt;='Inputs &amp; Drivers'!$C$68)*(DK$6&lt;'Inputs &amp; Drivers'!$D$68)</f>
        <v>0</v>
      </c>
      <c r="DL51" s="41">
        <f>-('Inputs &amp; Drivers'!$E$27/'Inputs &amp; Drivers'!$E$68)*(DL$6&gt;='Inputs &amp; Drivers'!$C$68)*(DL$6&lt;'Inputs &amp; Drivers'!$D$68)</f>
        <v>0</v>
      </c>
      <c r="DM51" s="41">
        <f>-('Inputs &amp; Drivers'!$E$27/'Inputs &amp; Drivers'!$E$68)*(DM$6&gt;='Inputs &amp; Drivers'!$C$68)*(DM$6&lt;'Inputs &amp; Drivers'!$D$68)</f>
        <v>0</v>
      </c>
      <c r="DN51" s="41">
        <f>-('Inputs &amp; Drivers'!$E$27/'Inputs &amp; Drivers'!$E$68)*(DN$6&gt;='Inputs &amp; Drivers'!$C$68)*(DN$6&lt;'Inputs &amp; Drivers'!$D$68)</f>
        <v>0</v>
      </c>
      <c r="DO51" s="41">
        <f>-('Inputs &amp; Drivers'!$E$27/'Inputs &amp; Drivers'!$E$68)*(DO$6&gt;='Inputs &amp; Drivers'!$C$68)*(DO$6&lt;'Inputs &amp; Drivers'!$D$68)</f>
        <v>0</v>
      </c>
      <c r="DP51" s="41">
        <f>-('Inputs &amp; Drivers'!$E$27/'Inputs &amp; Drivers'!$E$68)*(DP$6&gt;='Inputs &amp; Drivers'!$C$68)*(DP$6&lt;'Inputs &amp; Drivers'!$D$68)</f>
        <v>0</v>
      </c>
      <c r="DQ51" s="41">
        <f>-('Inputs &amp; Drivers'!$E$27/'Inputs &amp; Drivers'!$E$68)*(DQ$6&gt;='Inputs &amp; Drivers'!$C$68)*(DQ$6&lt;'Inputs &amp; Drivers'!$D$68)</f>
        <v>0</v>
      </c>
      <c r="DR51" s="41">
        <f>-('Inputs &amp; Drivers'!$E$27/'Inputs &amp; Drivers'!$E$68)*(DR$6&gt;='Inputs &amp; Drivers'!$C$68)*(DR$6&lt;'Inputs &amp; Drivers'!$D$68)</f>
        <v>0</v>
      </c>
      <c r="DS51" s="41">
        <f>-('Inputs &amp; Drivers'!$E$27/'Inputs &amp; Drivers'!$E$68)*(DS$6&gt;='Inputs &amp; Drivers'!$C$68)*(DS$6&lt;'Inputs &amp; Drivers'!$D$68)</f>
        <v>0</v>
      </c>
      <c r="DT51" s="41">
        <f>-('Inputs &amp; Drivers'!$E$27/'Inputs &amp; Drivers'!$E$68)*(DT$6&gt;='Inputs &amp; Drivers'!$C$68)*(DT$6&lt;'Inputs &amp; Drivers'!$D$68)</f>
        <v>0</v>
      </c>
      <c r="DU51" s="41">
        <f>-('Inputs &amp; Drivers'!$E$27/'Inputs &amp; Drivers'!$E$68)*(DU$6&gt;='Inputs &amp; Drivers'!$C$68)*(DU$6&lt;'Inputs &amp; Drivers'!$D$68)</f>
        <v>0</v>
      </c>
      <c r="DV51" s="41">
        <f>-('Inputs &amp; Drivers'!$E$27/'Inputs &amp; Drivers'!$E$68)*(DV$6&gt;='Inputs &amp; Drivers'!$C$68)*(DV$6&lt;'Inputs &amp; Drivers'!$D$68)</f>
        <v>0</v>
      </c>
      <c r="DW51" s="41">
        <f>-('Inputs &amp; Drivers'!$E$27/'Inputs &amp; Drivers'!$E$68)*(DW$6&gt;='Inputs &amp; Drivers'!$C$68)*(DW$6&lt;'Inputs &amp; Drivers'!$D$68)</f>
        <v>0</v>
      </c>
      <c r="DX51" s="41">
        <f>-('Inputs &amp; Drivers'!$E$27/'Inputs &amp; Drivers'!$E$68)*(DX$6&gt;='Inputs &amp; Drivers'!$C$68)*(DX$6&lt;'Inputs &amp; Drivers'!$D$68)</f>
        <v>0</v>
      </c>
      <c r="DY51" s="41">
        <f>-('Inputs &amp; Drivers'!$E$27/'Inputs &amp; Drivers'!$E$68)*(DY$6&gt;='Inputs &amp; Drivers'!$C$68)*(DY$6&lt;'Inputs &amp; Drivers'!$D$68)</f>
        <v>0</v>
      </c>
      <c r="DZ51" s="41">
        <f>-('Inputs &amp; Drivers'!$E$27/'Inputs &amp; Drivers'!$E$68)*(DZ$6&gt;='Inputs &amp; Drivers'!$C$68)*(DZ$6&lt;'Inputs &amp; Drivers'!$D$68)</f>
        <v>0</v>
      </c>
      <c r="EA51" s="41">
        <f>-('Inputs &amp; Drivers'!$E$27/'Inputs &amp; Drivers'!$E$68)*(EA$6&gt;='Inputs &amp; Drivers'!$C$68)*(EA$6&lt;'Inputs &amp; Drivers'!$D$68)</f>
        <v>0</v>
      </c>
      <c r="EB51" s="41">
        <f>-('Inputs &amp; Drivers'!$E$27/'Inputs &amp; Drivers'!$E$68)*(EB$6&gt;='Inputs &amp; Drivers'!$C$68)*(EB$6&lt;'Inputs &amp; Drivers'!$D$68)</f>
        <v>0</v>
      </c>
      <c r="EC51" s="41">
        <f>-('Inputs &amp; Drivers'!$E$27/'Inputs &amp; Drivers'!$E$68)*(EC$6&gt;='Inputs &amp; Drivers'!$C$68)*(EC$6&lt;'Inputs &amp; Drivers'!$D$68)</f>
        <v>0</v>
      </c>
      <c r="ED51" s="41">
        <f>-('Inputs &amp; Drivers'!$E$27/'Inputs &amp; Drivers'!$E$68)*(ED$6&gt;='Inputs &amp; Drivers'!$C$68)*(ED$6&lt;'Inputs &amp; Drivers'!$D$68)</f>
        <v>0</v>
      </c>
      <c r="EE51" s="41">
        <f>-('Inputs &amp; Drivers'!$E$27/'Inputs &amp; Drivers'!$E$68)*(EE$6&gt;='Inputs &amp; Drivers'!$C$68)*(EE$6&lt;'Inputs &amp; Drivers'!$D$68)</f>
        <v>0</v>
      </c>
      <c r="EF51" s="41">
        <f>-('Inputs &amp; Drivers'!$E$27/'Inputs &amp; Drivers'!$E$68)*(EF$6&gt;='Inputs &amp; Drivers'!$C$68)*(EF$6&lt;'Inputs &amp; Drivers'!$D$68)</f>
        <v>0</v>
      </c>
      <c r="EG51" s="41">
        <f>-('Inputs &amp; Drivers'!$E$27/'Inputs &amp; Drivers'!$E$68)*(EG$6&gt;='Inputs &amp; Drivers'!$C$68)*(EG$6&lt;'Inputs &amp; Drivers'!$D$68)</f>
        <v>0</v>
      </c>
      <c r="EH51" s="41">
        <f>-('Inputs &amp; Drivers'!$E$27/'Inputs &amp; Drivers'!$E$68)*(EH$6&gt;='Inputs &amp; Drivers'!$C$68)*(EH$6&lt;'Inputs &amp; Drivers'!$D$68)</f>
        <v>0</v>
      </c>
      <c r="EI51" s="41">
        <f>-('Inputs &amp; Drivers'!$E$27/'Inputs &amp; Drivers'!$E$68)*(EI$6&gt;='Inputs &amp; Drivers'!$C$68)*(EI$6&lt;'Inputs &amp; Drivers'!$D$68)</f>
        <v>0</v>
      </c>
      <c r="EJ51" s="41">
        <f>-('Inputs &amp; Drivers'!$E$27/'Inputs &amp; Drivers'!$E$68)*(EJ$6&gt;='Inputs &amp; Drivers'!$C$68)*(EJ$6&lt;'Inputs &amp; Drivers'!$D$68)</f>
        <v>0</v>
      </c>
      <c r="EK51" s="41">
        <f>-('Inputs &amp; Drivers'!$E$27/'Inputs &amp; Drivers'!$E$68)*(EK$6&gt;='Inputs &amp; Drivers'!$C$68)*(EK$6&lt;'Inputs &amp; Drivers'!$D$68)</f>
        <v>0</v>
      </c>
      <c r="EM51" s="109">
        <f t="shared" si="794"/>
        <v>0</v>
      </c>
      <c r="EN51" s="109">
        <f t="shared" si="794"/>
        <v>-656250</v>
      </c>
      <c r="EO51" s="109">
        <f t="shared" si="794"/>
        <v>-787500</v>
      </c>
      <c r="EP51" s="109">
        <f t="shared" si="794"/>
        <v>-131250</v>
      </c>
      <c r="EQ51" s="109">
        <f t="shared" si="794"/>
        <v>0</v>
      </c>
      <c r="ER51" s="109">
        <f t="shared" si="794"/>
        <v>0</v>
      </c>
      <c r="ES51" s="109">
        <f t="shared" si="794"/>
        <v>0</v>
      </c>
      <c r="ET51" s="109">
        <f t="shared" si="794"/>
        <v>0</v>
      </c>
      <c r="EU51" s="109">
        <f t="shared" si="794"/>
        <v>0</v>
      </c>
      <c r="EV51" s="109">
        <f t="shared" si="794"/>
        <v>0</v>
      </c>
      <c r="EW51" s="109">
        <f t="shared" si="794"/>
        <v>0</v>
      </c>
      <c r="EX51" s="109">
        <f t="shared" si="794"/>
        <v>0</v>
      </c>
    </row>
    <row r="52" spans="2:154" x14ac:dyDescent="0.3">
      <c r="B52" s="8" t="s">
        <v>113</v>
      </c>
      <c r="C52" s="8"/>
      <c r="D52" s="8"/>
      <c r="E52" s="8"/>
      <c r="F52" s="8"/>
      <c r="G52" s="3"/>
      <c r="H52" s="3"/>
      <c r="I52" s="3"/>
      <c r="J52" s="10">
        <f>SUM(J50:J51)</f>
        <v>-43750</v>
      </c>
      <c r="K52" s="10">
        <f t="shared" ref="K52:L52" si="795">SUM(K50:K51)</f>
        <v>-43750</v>
      </c>
      <c r="L52" s="10">
        <f t="shared" si="795"/>
        <v>-109375</v>
      </c>
      <c r="M52" s="10">
        <f t="shared" ref="M52" si="796">SUM(M50:M51)</f>
        <v>-109375</v>
      </c>
      <c r="N52" s="10">
        <f t="shared" ref="N52" si="797">SUM(N50:N51)</f>
        <v>-109375</v>
      </c>
      <c r="O52" s="10">
        <f t="shared" ref="O52" si="798">SUM(O50:O51)</f>
        <v>-109375</v>
      </c>
      <c r="P52" s="10">
        <f t="shared" ref="P52" si="799">SUM(P50:P51)</f>
        <v>-65625</v>
      </c>
      <c r="Q52" s="10">
        <f t="shared" ref="Q52" si="800">SUM(Q50:Q51)</f>
        <v>-65625</v>
      </c>
      <c r="R52" s="10">
        <f t="shared" ref="R52" si="801">SUM(R50:R51)</f>
        <v>-65625</v>
      </c>
      <c r="S52" s="10">
        <f t="shared" ref="S52" si="802">SUM(S50:S51)</f>
        <v>-65625</v>
      </c>
      <c r="T52" s="10">
        <f t="shared" ref="T52" si="803">SUM(T50:T51)</f>
        <v>-65625</v>
      </c>
      <c r="U52" s="10">
        <f t="shared" ref="U52" si="804">SUM(U50:U51)</f>
        <v>-65625</v>
      </c>
      <c r="V52" s="10">
        <f t="shared" ref="V52" si="805">SUM(V50:V51)</f>
        <v>-65625</v>
      </c>
      <c r="W52" s="10">
        <f t="shared" ref="W52" si="806">SUM(W50:W51)</f>
        <v>-65625</v>
      </c>
      <c r="X52" s="10">
        <f t="shared" ref="X52" si="807">SUM(X50:X51)</f>
        <v>-65625</v>
      </c>
      <c r="Y52" s="10">
        <f t="shared" ref="Y52" si="808">SUM(Y50:Y51)</f>
        <v>-65625</v>
      </c>
      <c r="Z52" s="10">
        <f t="shared" ref="Z52" si="809">SUM(Z50:Z51)</f>
        <v>-65625</v>
      </c>
      <c r="AA52" s="10">
        <f t="shared" ref="AA52" si="810">SUM(AA50:AA51)</f>
        <v>-65625</v>
      </c>
      <c r="AB52" s="10">
        <f t="shared" ref="AB52" si="811">SUM(AB50:AB51)</f>
        <v>-65625</v>
      </c>
      <c r="AC52" s="10">
        <f t="shared" ref="AC52" si="812">SUM(AC50:AC51)</f>
        <v>-65625</v>
      </c>
      <c r="AD52" s="10">
        <f t="shared" ref="AD52" si="813">SUM(AD50:AD51)</f>
        <v>-65625</v>
      </c>
      <c r="AE52" s="10">
        <f t="shared" ref="AE52" si="814">SUM(AE50:AE51)</f>
        <v>-65625</v>
      </c>
      <c r="AF52" s="10">
        <f t="shared" ref="AF52" si="815">SUM(AF50:AF51)</f>
        <v>-65625</v>
      </c>
      <c r="AG52" s="10">
        <f t="shared" ref="AG52" si="816">SUM(AG50:AG51)</f>
        <v>-65625</v>
      </c>
      <c r="AH52" s="10">
        <f t="shared" ref="AH52" si="817">SUM(AH50:AH51)</f>
        <v>-65625</v>
      </c>
      <c r="AI52" s="10">
        <f t="shared" ref="AI52" si="818">SUM(AI50:AI51)</f>
        <v>-65625</v>
      </c>
      <c r="AJ52" s="10">
        <f t="shared" ref="AJ52" si="819">SUM(AJ50:AJ51)</f>
        <v>0</v>
      </c>
      <c r="AK52" s="10">
        <f t="shared" ref="AK52" si="820">SUM(AK50:AK51)</f>
        <v>0</v>
      </c>
      <c r="AL52" s="10">
        <f t="shared" ref="AL52" si="821">SUM(AL50:AL51)</f>
        <v>0</v>
      </c>
      <c r="AM52" s="10">
        <f t="shared" ref="AM52" si="822">SUM(AM50:AM51)</f>
        <v>0</v>
      </c>
      <c r="AN52" s="10">
        <f t="shared" ref="AN52" si="823">SUM(AN50:AN51)</f>
        <v>0</v>
      </c>
      <c r="AO52" s="10">
        <f t="shared" ref="AO52" si="824">SUM(AO50:AO51)</f>
        <v>0</v>
      </c>
      <c r="AP52" s="10">
        <f t="shared" ref="AP52" si="825">SUM(AP50:AP51)</f>
        <v>0</v>
      </c>
      <c r="AQ52" s="10">
        <f t="shared" ref="AQ52" si="826">SUM(AQ50:AQ51)</f>
        <v>0</v>
      </c>
      <c r="AR52" s="10">
        <f t="shared" ref="AR52" si="827">SUM(AR50:AR51)</f>
        <v>0</v>
      </c>
      <c r="AS52" s="10">
        <f t="shared" ref="AS52" si="828">SUM(AS50:AS51)</f>
        <v>0</v>
      </c>
      <c r="AT52" s="10">
        <f t="shared" ref="AT52" si="829">SUM(AT50:AT51)</f>
        <v>0</v>
      </c>
      <c r="AU52" s="10">
        <f t="shared" ref="AU52" si="830">SUM(AU50:AU51)</f>
        <v>0</v>
      </c>
      <c r="AV52" s="10">
        <f t="shared" ref="AV52" si="831">SUM(AV50:AV51)</f>
        <v>0</v>
      </c>
      <c r="AW52" s="10">
        <f t="shared" ref="AW52" si="832">SUM(AW50:AW51)</f>
        <v>0</v>
      </c>
      <c r="AX52" s="10">
        <f t="shared" ref="AX52" si="833">SUM(AX50:AX51)</f>
        <v>0</v>
      </c>
      <c r="AY52" s="10">
        <f t="shared" ref="AY52" si="834">SUM(AY50:AY51)</f>
        <v>0</v>
      </c>
      <c r="AZ52" s="10">
        <f t="shared" ref="AZ52" si="835">SUM(AZ50:AZ51)</f>
        <v>0</v>
      </c>
      <c r="BA52" s="10">
        <f t="shared" ref="BA52" si="836">SUM(BA50:BA51)</f>
        <v>0</v>
      </c>
      <c r="BB52" s="10">
        <f t="shared" ref="BB52" si="837">SUM(BB50:BB51)</f>
        <v>0</v>
      </c>
      <c r="BC52" s="10">
        <f t="shared" ref="BC52" si="838">SUM(BC50:BC51)</f>
        <v>0</v>
      </c>
      <c r="BD52" s="10">
        <f t="shared" ref="BD52" si="839">SUM(BD50:BD51)</f>
        <v>0</v>
      </c>
      <c r="BE52" s="10">
        <f t="shared" ref="BE52" si="840">SUM(BE50:BE51)</f>
        <v>0</v>
      </c>
      <c r="BF52" s="10">
        <f t="shared" ref="BF52" si="841">SUM(BF50:BF51)</f>
        <v>0</v>
      </c>
      <c r="BG52" s="10">
        <f t="shared" ref="BG52" si="842">SUM(BG50:BG51)</f>
        <v>0</v>
      </c>
      <c r="BH52" s="10">
        <f t="shared" ref="BH52" si="843">SUM(BH50:BH51)</f>
        <v>0</v>
      </c>
      <c r="BI52" s="10">
        <f t="shared" ref="BI52" si="844">SUM(BI50:BI51)</f>
        <v>0</v>
      </c>
      <c r="BJ52" s="10">
        <f t="shared" ref="BJ52" si="845">SUM(BJ50:BJ51)</f>
        <v>0</v>
      </c>
      <c r="BK52" s="10">
        <f t="shared" ref="BK52" si="846">SUM(BK50:BK51)</f>
        <v>0</v>
      </c>
      <c r="BL52" s="10">
        <f t="shared" ref="BL52" si="847">SUM(BL50:BL51)</f>
        <v>0</v>
      </c>
      <c r="BM52" s="10">
        <f t="shared" ref="BM52" si="848">SUM(BM50:BM51)</f>
        <v>0</v>
      </c>
      <c r="BN52" s="10">
        <f t="shared" ref="BN52" si="849">SUM(BN50:BN51)</f>
        <v>0</v>
      </c>
      <c r="BO52" s="10">
        <f t="shared" ref="BO52" si="850">SUM(BO50:BO51)</f>
        <v>0</v>
      </c>
      <c r="BP52" s="10">
        <f t="shared" ref="BP52" si="851">SUM(BP50:BP51)</f>
        <v>0</v>
      </c>
      <c r="BQ52" s="10">
        <f t="shared" ref="BQ52" si="852">SUM(BQ50:BQ51)</f>
        <v>0</v>
      </c>
      <c r="BR52" s="10">
        <f t="shared" ref="BR52" si="853">SUM(BR50:BR51)</f>
        <v>0</v>
      </c>
      <c r="BS52" s="10">
        <f t="shared" ref="BS52" si="854">SUM(BS50:BS51)</f>
        <v>0</v>
      </c>
      <c r="BT52" s="10">
        <f t="shared" ref="BT52" si="855">SUM(BT50:BT51)</f>
        <v>0</v>
      </c>
      <c r="BU52" s="10">
        <f t="shared" ref="BU52" si="856">SUM(BU50:BU51)</f>
        <v>0</v>
      </c>
      <c r="BV52" s="10">
        <f t="shared" ref="BV52" si="857">SUM(BV50:BV51)</f>
        <v>0</v>
      </c>
      <c r="BW52" s="10">
        <f t="shared" ref="BW52" si="858">SUM(BW50:BW51)</f>
        <v>0</v>
      </c>
      <c r="BX52" s="10">
        <f t="shared" ref="BX52" si="859">SUM(BX50:BX51)</f>
        <v>0</v>
      </c>
      <c r="BY52" s="10">
        <f t="shared" ref="BY52" si="860">SUM(BY50:BY51)</f>
        <v>0</v>
      </c>
      <c r="BZ52" s="10">
        <f t="shared" ref="BZ52" si="861">SUM(BZ50:BZ51)</f>
        <v>0</v>
      </c>
      <c r="CA52" s="10">
        <f t="shared" ref="CA52" si="862">SUM(CA50:CA51)</f>
        <v>0</v>
      </c>
      <c r="CB52" s="10">
        <f t="shared" ref="CB52" si="863">SUM(CB50:CB51)</f>
        <v>0</v>
      </c>
      <c r="CC52" s="10">
        <f t="shared" ref="CC52" si="864">SUM(CC50:CC51)</f>
        <v>0</v>
      </c>
      <c r="CD52" s="10">
        <f t="shared" ref="CD52" si="865">SUM(CD50:CD51)</f>
        <v>0</v>
      </c>
      <c r="CE52" s="10">
        <f t="shared" ref="CE52" si="866">SUM(CE50:CE51)</f>
        <v>0</v>
      </c>
      <c r="CF52" s="10">
        <f t="shared" ref="CF52" si="867">SUM(CF50:CF51)</f>
        <v>0</v>
      </c>
      <c r="CG52" s="10">
        <f t="shared" ref="CG52" si="868">SUM(CG50:CG51)</f>
        <v>0</v>
      </c>
      <c r="CH52" s="10">
        <f t="shared" ref="CH52" si="869">SUM(CH50:CH51)</f>
        <v>0</v>
      </c>
      <c r="CI52" s="10">
        <f t="shared" ref="CI52" si="870">SUM(CI50:CI51)</f>
        <v>0</v>
      </c>
      <c r="CJ52" s="10">
        <f t="shared" ref="CJ52" si="871">SUM(CJ50:CJ51)</f>
        <v>0</v>
      </c>
      <c r="CK52" s="10">
        <f t="shared" ref="CK52" si="872">SUM(CK50:CK51)</f>
        <v>0</v>
      </c>
      <c r="CL52" s="10">
        <f t="shared" ref="CL52" si="873">SUM(CL50:CL51)</f>
        <v>0</v>
      </c>
      <c r="CM52" s="10">
        <f t="shared" ref="CM52" si="874">SUM(CM50:CM51)</f>
        <v>0</v>
      </c>
      <c r="CN52" s="10">
        <f t="shared" ref="CN52" si="875">SUM(CN50:CN51)</f>
        <v>0</v>
      </c>
      <c r="CO52" s="10">
        <f t="shared" ref="CO52" si="876">SUM(CO50:CO51)</f>
        <v>0</v>
      </c>
      <c r="CP52" s="10">
        <f t="shared" ref="CP52" si="877">SUM(CP50:CP51)</f>
        <v>0</v>
      </c>
      <c r="CQ52" s="10">
        <f t="shared" ref="CQ52" si="878">SUM(CQ50:CQ51)</f>
        <v>0</v>
      </c>
      <c r="CR52" s="10">
        <f t="shared" ref="CR52" si="879">SUM(CR50:CR51)</f>
        <v>0</v>
      </c>
      <c r="CS52" s="10">
        <f t="shared" ref="CS52" si="880">SUM(CS50:CS51)</f>
        <v>0</v>
      </c>
      <c r="CT52" s="10">
        <f t="shared" ref="CT52" si="881">SUM(CT50:CT51)</f>
        <v>0</v>
      </c>
      <c r="CU52" s="10">
        <f t="shared" ref="CU52" si="882">SUM(CU50:CU51)</f>
        <v>0</v>
      </c>
      <c r="CV52" s="10">
        <f t="shared" ref="CV52" si="883">SUM(CV50:CV51)</f>
        <v>0</v>
      </c>
      <c r="CW52" s="10">
        <f t="shared" ref="CW52" si="884">SUM(CW50:CW51)</f>
        <v>0</v>
      </c>
      <c r="CX52" s="10">
        <f t="shared" ref="CX52" si="885">SUM(CX50:CX51)</f>
        <v>0</v>
      </c>
      <c r="CY52" s="10">
        <f t="shared" ref="CY52" si="886">SUM(CY50:CY51)</f>
        <v>0</v>
      </c>
      <c r="CZ52" s="10">
        <f t="shared" ref="CZ52" si="887">SUM(CZ50:CZ51)</f>
        <v>0</v>
      </c>
      <c r="DA52" s="10">
        <f t="shared" ref="DA52" si="888">SUM(DA50:DA51)</f>
        <v>0</v>
      </c>
      <c r="DB52" s="10">
        <f t="shared" ref="DB52" si="889">SUM(DB50:DB51)</f>
        <v>0</v>
      </c>
      <c r="DC52" s="10">
        <f t="shared" ref="DC52" si="890">SUM(DC50:DC51)</f>
        <v>0</v>
      </c>
      <c r="DD52" s="10">
        <f t="shared" ref="DD52" si="891">SUM(DD50:DD51)</f>
        <v>0</v>
      </c>
      <c r="DE52" s="10">
        <f t="shared" ref="DE52" si="892">SUM(DE50:DE51)</f>
        <v>0</v>
      </c>
      <c r="DF52" s="10">
        <f t="shared" ref="DF52" si="893">SUM(DF50:DF51)</f>
        <v>0</v>
      </c>
      <c r="DG52" s="10">
        <f t="shared" ref="DG52" si="894">SUM(DG50:DG51)</f>
        <v>0</v>
      </c>
      <c r="DH52" s="10">
        <f t="shared" ref="DH52" si="895">SUM(DH50:DH51)</f>
        <v>0</v>
      </c>
      <c r="DI52" s="10">
        <f t="shared" ref="DI52" si="896">SUM(DI50:DI51)</f>
        <v>0</v>
      </c>
      <c r="DJ52" s="10">
        <f t="shared" ref="DJ52" si="897">SUM(DJ50:DJ51)</f>
        <v>0</v>
      </c>
      <c r="DK52" s="10">
        <f t="shared" ref="DK52" si="898">SUM(DK50:DK51)</f>
        <v>0</v>
      </c>
      <c r="DL52" s="10">
        <f t="shared" ref="DL52" si="899">SUM(DL50:DL51)</f>
        <v>0</v>
      </c>
      <c r="DM52" s="10">
        <f t="shared" ref="DM52" si="900">SUM(DM50:DM51)</f>
        <v>0</v>
      </c>
      <c r="DN52" s="10">
        <f t="shared" ref="DN52" si="901">SUM(DN50:DN51)</f>
        <v>0</v>
      </c>
      <c r="DO52" s="10">
        <f t="shared" ref="DO52" si="902">SUM(DO50:DO51)</f>
        <v>0</v>
      </c>
      <c r="DP52" s="10">
        <f t="shared" ref="DP52" si="903">SUM(DP50:DP51)</f>
        <v>0</v>
      </c>
      <c r="DQ52" s="10">
        <f t="shared" ref="DQ52" si="904">SUM(DQ50:DQ51)</f>
        <v>0</v>
      </c>
      <c r="DR52" s="10">
        <f t="shared" ref="DR52" si="905">SUM(DR50:DR51)</f>
        <v>0</v>
      </c>
      <c r="DS52" s="10">
        <f t="shared" ref="DS52" si="906">SUM(DS50:DS51)</f>
        <v>0</v>
      </c>
      <c r="DT52" s="10">
        <f t="shared" ref="DT52" si="907">SUM(DT50:DT51)</f>
        <v>0</v>
      </c>
      <c r="DU52" s="10">
        <f t="shared" ref="DU52" si="908">SUM(DU50:DU51)</f>
        <v>0</v>
      </c>
      <c r="DV52" s="10">
        <f t="shared" ref="DV52" si="909">SUM(DV50:DV51)</f>
        <v>0</v>
      </c>
      <c r="DW52" s="10">
        <f t="shared" ref="DW52" si="910">SUM(DW50:DW51)</f>
        <v>0</v>
      </c>
      <c r="DX52" s="10">
        <f t="shared" ref="DX52" si="911">SUM(DX50:DX51)</f>
        <v>0</v>
      </c>
      <c r="DY52" s="10">
        <f t="shared" ref="DY52" si="912">SUM(DY50:DY51)</f>
        <v>0</v>
      </c>
      <c r="DZ52" s="10">
        <f t="shared" ref="DZ52" si="913">SUM(DZ50:DZ51)</f>
        <v>0</v>
      </c>
      <c r="EA52" s="10">
        <f t="shared" ref="EA52" si="914">SUM(EA50:EA51)</f>
        <v>0</v>
      </c>
      <c r="EB52" s="10">
        <f t="shared" ref="EB52" si="915">SUM(EB50:EB51)</f>
        <v>0</v>
      </c>
      <c r="EC52" s="10">
        <f t="shared" ref="EC52" si="916">SUM(EC50:EC51)</f>
        <v>0</v>
      </c>
      <c r="ED52" s="10">
        <f t="shared" ref="ED52" si="917">SUM(ED50:ED51)</f>
        <v>0</v>
      </c>
      <c r="EE52" s="10">
        <f t="shared" ref="EE52" si="918">SUM(EE50:EE51)</f>
        <v>0</v>
      </c>
      <c r="EF52" s="10">
        <f t="shared" ref="EF52" si="919">SUM(EF50:EF51)</f>
        <v>0</v>
      </c>
      <c r="EG52" s="10">
        <f t="shared" ref="EG52" si="920">SUM(EG50:EG51)</f>
        <v>0</v>
      </c>
      <c r="EH52" s="10">
        <f t="shared" ref="EH52" si="921">SUM(EH50:EH51)</f>
        <v>0</v>
      </c>
      <c r="EI52" s="10">
        <f t="shared" ref="EI52" si="922">SUM(EI50:EI51)</f>
        <v>0</v>
      </c>
      <c r="EJ52" s="10">
        <f t="shared" ref="EJ52" si="923">SUM(EJ50:EJ51)</f>
        <v>0</v>
      </c>
      <c r="EK52" s="10">
        <f t="shared" ref="EK52:EX52" si="924">SUM(EK50:EK51)</f>
        <v>0</v>
      </c>
      <c r="EM52" s="10">
        <f t="shared" si="924"/>
        <v>0</v>
      </c>
      <c r="EN52" s="10">
        <f t="shared" si="924"/>
        <v>-918750</v>
      </c>
      <c r="EO52" s="10">
        <f t="shared" si="924"/>
        <v>-787500</v>
      </c>
      <c r="EP52" s="10">
        <f t="shared" si="924"/>
        <v>-131250</v>
      </c>
      <c r="EQ52" s="10">
        <f t="shared" si="924"/>
        <v>0</v>
      </c>
      <c r="ER52" s="10">
        <f t="shared" si="924"/>
        <v>0</v>
      </c>
      <c r="ES52" s="10">
        <f t="shared" si="924"/>
        <v>0</v>
      </c>
      <c r="ET52" s="10">
        <f t="shared" si="924"/>
        <v>0</v>
      </c>
      <c r="EU52" s="10">
        <f t="shared" si="924"/>
        <v>0</v>
      </c>
      <c r="EV52" s="10">
        <f t="shared" si="924"/>
        <v>0</v>
      </c>
      <c r="EW52" s="10">
        <f t="shared" si="924"/>
        <v>0</v>
      </c>
      <c r="EX52" s="10">
        <f t="shared" si="924"/>
        <v>0</v>
      </c>
    </row>
    <row r="54" spans="2:154" x14ac:dyDescent="0.3">
      <c r="B54" s="2" t="s">
        <v>127</v>
      </c>
      <c r="E54" s="24"/>
      <c r="F54" s="24"/>
      <c r="J54" s="100">
        <f>(J44+J52)*(J$6&lt;=$C$5)</f>
        <v>179205.13033336395</v>
      </c>
      <c r="K54" s="100">
        <f t="shared" ref="K54:BV54" si="925">(K44+K52)*(K$6&lt;=$C$5)</f>
        <v>179205.13033336395</v>
      </c>
      <c r="L54" s="100">
        <f t="shared" si="925"/>
        <v>114722.58250050183</v>
      </c>
      <c r="M54" s="100">
        <f t="shared" si="925"/>
        <v>115865.03466763964</v>
      </c>
      <c r="N54" s="100">
        <f t="shared" si="925"/>
        <v>117007.4868347774</v>
      </c>
      <c r="O54" s="100">
        <f t="shared" si="925"/>
        <v>118149.93900191528</v>
      </c>
      <c r="P54" s="100">
        <f t="shared" si="925"/>
        <v>163042.39116905315</v>
      </c>
      <c r="Q54" s="100">
        <f t="shared" si="925"/>
        <v>164184.84333619091</v>
      </c>
      <c r="R54" s="100">
        <f t="shared" si="925"/>
        <v>165327.29550332867</v>
      </c>
      <c r="S54" s="100">
        <f t="shared" si="925"/>
        <v>166469.74767046649</v>
      </c>
      <c r="T54" s="100">
        <f t="shared" si="925"/>
        <v>167612.19983760425</v>
      </c>
      <c r="U54" s="100">
        <f t="shared" si="925"/>
        <v>168754.65200474206</v>
      </c>
      <c r="V54" s="100">
        <f t="shared" si="925"/>
        <v>170851.65573462658</v>
      </c>
      <c r="W54" s="100">
        <f t="shared" si="925"/>
        <v>173148.29877394025</v>
      </c>
      <c r="X54" s="100">
        <f t="shared" si="925"/>
        <v>175447.79570750508</v>
      </c>
      <c r="Y54" s="100">
        <f t="shared" si="925"/>
        <v>177750.15367005643</v>
      </c>
      <c r="Z54" s="100">
        <f t="shared" si="925"/>
        <v>180055.37981416687</v>
      </c>
      <c r="AA54" s="100">
        <f t="shared" si="925"/>
        <v>182363.48131029028</v>
      </c>
      <c r="AB54" s="100">
        <f t="shared" si="925"/>
        <v>184674.46534680662</v>
      </c>
      <c r="AC54" s="100">
        <f t="shared" si="925"/>
        <v>186988.33913006709</v>
      </c>
      <c r="AD54" s="100">
        <f t="shared" si="925"/>
        <v>189305.10988443822</v>
      </c>
      <c r="AE54" s="100">
        <f t="shared" si="925"/>
        <v>191624.78485234792</v>
      </c>
      <c r="AF54" s="100">
        <f t="shared" si="925"/>
        <v>193947.37129433034</v>
      </c>
      <c r="AG54" s="100">
        <f t="shared" si="925"/>
        <v>196272.87648907036</v>
      </c>
      <c r="AH54" s="100">
        <f t="shared" si="925"/>
        <v>198996.65907078504</v>
      </c>
      <c r="AI54" s="100">
        <f t="shared" si="925"/>
        <v>201751.22121138894</v>
      </c>
      <c r="AJ54" s="100">
        <f t="shared" si="925"/>
        <v>268968.35432005208</v>
      </c>
      <c r="AK54" s="100">
        <f t="shared" si="925"/>
        <v>270565.79453907744</v>
      </c>
      <c r="AL54" s="100">
        <f t="shared" si="925"/>
        <v>272168.55955883279</v>
      </c>
      <c r="AM54" s="100">
        <f t="shared" si="925"/>
        <v>273776.66712865414</v>
      </c>
      <c r="AN54" s="100">
        <f t="shared" si="925"/>
        <v>275390.13505704119</v>
      </c>
      <c r="AO54" s="100">
        <f t="shared" si="925"/>
        <v>277008.98121185671</v>
      </c>
      <c r="AP54" s="100">
        <f t="shared" si="925"/>
        <v>278633.22352052113</v>
      </c>
      <c r="AQ54" s="100">
        <f t="shared" si="925"/>
        <v>280262.87997021474</v>
      </c>
      <c r="AR54" s="100">
        <f t="shared" si="925"/>
        <v>281897.96860807389</v>
      </c>
      <c r="AS54" s="100">
        <f t="shared" si="925"/>
        <v>283538.50754139258</v>
      </c>
      <c r="AT54" s="100">
        <f t="shared" si="925"/>
        <v>279201.17738737969</v>
      </c>
      <c r="AU54" s="100">
        <f t="shared" si="925"/>
        <v>280438.76919857034</v>
      </c>
      <c r="AV54" s="100">
        <f t="shared" si="925"/>
        <v>281679.45498928888</v>
      </c>
      <c r="AW54" s="100">
        <f t="shared" si="925"/>
        <v>282923.24249448435</v>
      </c>
      <c r="AX54" s="100">
        <f t="shared" si="925"/>
        <v>284170.13946844253</v>
      </c>
      <c r="AY54" s="100">
        <f t="shared" si="925"/>
        <v>285420.15368483576</v>
      </c>
      <c r="AZ54" s="100">
        <f t="shared" si="925"/>
        <v>286673.29293677007</v>
      </c>
      <c r="BA54" s="100">
        <f t="shared" si="925"/>
        <v>287929.5650368341</v>
      </c>
      <c r="BB54" s="100">
        <f t="shared" si="925"/>
        <v>289188.97781714832</v>
      </c>
      <c r="BC54" s="100">
        <f t="shared" si="925"/>
        <v>290451.5391294132</v>
      </c>
      <c r="BD54" s="100">
        <f t="shared" si="925"/>
        <v>291717.25684495887</v>
      </c>
      <c r="BE54" s="100">
        <f t="shared" si="925"/>
        <v>292986.13885479339</v>
      </c>
      <c r="BF54" s="100">
        <f t="shared" si="925"/>
        <v>288547.61395663733</v>
      </c>
      <c r="BG54" s="100">
        <f t="shared" si="925"/>
        <v>289822.84830703365</v>
      </c>
      <c r="BH54" s="100">
        <f t="shared" si="925"/>
        <v>291101.27074330597</v>
      </c>
      <c r="BI54" s="100">
        <f t="shared" si="925"/>
        <v>292382.88923566893</v>
      </c>
      <c r="BJ54" s="100">
        <f t="shared" si="925"/>
        <v>293667.7117742626</v>
      </c>
      <c r="BK54" s="100">
        <f t="shared" si="925"/>
        <v>294955.74636920297</v>
      </c>
      <c r="BL54" s="100">
        <f t="shared" si="925"/>
        <v>296247.00105063088</v>
      </c>
      <c r="BM54" s="100">
        <f t="shared" si="925"/>
        <v>297541.48386876186</v>
      </c>
      <c r="BN54" s="100">
        <f t="shared" si="925"/>
        <v>298839.20289393846</v>
      </c>
      <c r="BO54" s="100">
        <f t="shared" si="925"/>
        <v>300140.1662166781</v>
      </c>
      <c r="BP54" s="100">
        <f t="shared" si="925"/>
        <v>301444.38194772438</v>
      </c>
      <c r="BQ54" s="100">
        <f t="shared" si="925"/>
        <v>302751.85821809829</v>
      </c>
      <c r="BR54" s="100">
        <f t="shared" si="925"/>
        <v>0</v>
      </c>
      <c r="BS54" s="100">
        <f t="shared" si="925"/>
        <v>0</v>
      </c>
      <c r="BT54" s="100">
        <f t="shared" si="925"/>
        <v>0</v>
      </c>
      <c r="BU54" s="100">
        <f t="shared" si="925"/>
        <v>0</v>
      </c>
      <c r="BV54" s="100">
        <f t="shared" si="925"/>
        <v>0</v>
      </c>
      <c r="BW54" s="100">
        <f t="shared" ref="BW54:EH54" si="926">(BW44+BW52)*(BW$6&lt;=$C$5)</f>
        <v>0</v>
      </c>
      <c r="BX54" s="100">
        <f t="shared" si="926"/>
        <v>0</v>
      </c>
      <c r="BY54" s="100">
        <f t="shared" si="926"/>
        <v>0</v>
      </c>
      <c r="BZ54" s="100">
        <f t="shared" si="926"/>
        <v>0</v>
      </c>
      <c r="CA54" s="100">
        <f t="shared" si="926"/>
        <v>0</v>
      </c>
      <c r="CB54" s="100">
        <f t="shared" si="926"/>
        <v>0</v>
      </c>
      <c r="CC54" s="100">
        <f t="shared" si="926"/>
        <v>0</v>
      </c>
      <c r="CD54" s="100">
        <f t="shared" si="926"/>
        <v>0</v>
      </c>
      <c r="CE54" s="100">
        <f t="shared" si="926"/>
        <v>0</v>
      </c>
      <c r="CF54" s="100">
        <f t="shared" si="926"/>
        <v>0</v>
      </c>
      <c r="CG54" s="100">
        <f t="shared" si="926"/>
        <v>0</v>
      </c>
      <c r="CH54" s="100">
        <f t="shared" si="926"/>
        <v>0</v>
      </c>
      <c r="CI54" s="100">
        <f t="shared" si="926"/>
        <v>0</v>
      </c>
      <c r="CJ54" s="100">
        <f t="shared" si="926"/>
        <v>0</v>
      </c>
      <c r="CK54" s="100">
        <f t="shared" si="926"/>
        <v>0</v>
      </c>
      <c r="CL54" s="100">
        <f t="shared" si="926"/>
        <v>0</v>
      </c>
      <c r="CM54" s="100">
        <f t="shared" si="926"/>
        <v>0</v>
      </c>
      <c r="CN54" s="100">
        <f t="shared" si="926"/>
        <v>0</v>
      </c>
      <c r="CO54" s="100">
        <f t="shared" si="926"/>
        <v>0</v>
      </c>
      <c r="CP54" s="100">
        <f t="shared" si="926"/>
        <v>0</v>
      </c>
      <c r="CQ54" s="100">
        <f t="shared" si="926"/>
        <v>0</v>
      </c>
      <c r="CR54" s="100">
        <f t="shared" si="926"/>
        <v>0</v>
      </c>
      <c r="CS54" s="100">
        <f t="shared" si="926"/>
        <v>0</v>
      </c>
      <c r="CT54" s="100">
        <f t="shared" si="926"/>
        <v>0</v>
      </c>
      <c r="CU54" s="100">
        <f t="shared" si="926"/>
        <v>0</v>
      </c>
      <c r="CV54" s="100">
        <f t="shared" si="926"/>
        <v>0</v>
      </c>
      <c r="CW54" s="100">
        <f t="shared" si="926"/>
        <v>0</v>
      </c>
      <c r="CX54" s="100">
        <f t="shared" si="926"/>
        <v>0</v>
      </c>
      <c r="CY54" s="100">
        <f t="shared" si="926"/>
        <v>0</v>
      </c>
      <c r="CZ54" s="100">
        <f t="shared" si="926"/>
        <v>0</v>
      </c>
      <c r="DA54" s="100">
        <f t="shared" si="926"/>
        <v>0</v>
      </c>
      <c r="DB54" s="100">
        <f t="shared" si="926"/>
        <v>0</v>
      </c>
      <c r="DC54" s="100">
        <f t="shared" si="926"/>
        <v>0</v>
      </c>
      <c r="DD54" s="100">
        <f t="shared" si="926"/>
        <v>0</v>
      </c>
      <c r="DE54" s="100">
        <f t="shared" si="926"/>
        <v>0</v>
      </c>
      <c r="DF54" s="100">
        <f t="shared" si="926"/>
        <v>0</v>
      </c>
      <c r="DG54" s="100">
        <f t="shared" si="926"/>
        <v>0</v>
      </c>
      <c r="DH54" s="100">
        <f t="shared" si="926"/>
        <v>0</v>
      </c>
      <c r="DI54" s="100">
        <f t="shared" si="926"/>
        <v>0</v>
      </c>
      <c r="DJ54" s="100">
        <f t="shared" si="926"/>
        <v>0</v>
      </c>
      <c r="DK54" s="100">
        <f t="shared" si="926"/>
        <v>0</v>
      </c>
      <c r="DL54" s="100">
        <f t="shared" si="926"/>
        <v>0</v>
      </c>
      <c r="DM54" s="100">
        <f t="shared" si="926"/>
        <v>0</v>
      </c>
      <c r="DN54" s="100">
        <f t="shared" si="926"/>
        <v>0</v>
      </c>
      <c r="DO54" s="100">
        <f t="shared" si="926"/>
        <v>0</v>
      </c>
      <c r="DP54" s="100">
        <f t="shared" si="926"/>
        <v>0</v>
      </c>
      <c r="DQ54" s="100">
        <f t="shared" si="926"/>
        <v>0</v>
      </c>
      <c r="DR54" s="100">
        <f t="shared" si="926"/>
        <v>0</v>
      </c>
      <c r="DS54" s="100">
        <f t="shared" si="926"/>
        <v>0</v>
      </c>
      <c r="DT54" s="100">
        <f t="shared" si="926"/>
        <v>0</v>
      </c>
      <c r="DU54" s="100">
        <f t="shared" si="926"/>
        <v>0</v>
      </c>
      <c r="DV54" s="100">
        <f t="shared" si="926"/>
        <v>0</v>
      </c>
      <c r="DW54" s="100">
        <f t="shared" si="926"/>
        <v>0</v>
      </c>
      <c r="DX54" s="100">
        <f t="shared" si="926"/>
        <v>0</v>
      </c>
      <c r="DY54" s="100">
        <f t="shared" si="926"/>
        <v>0</v>
      </c>
      <c r="DZ54" s="100">
        <f t="shared" si="926"/>
        <v>0</v>
      </c>
      <c r="EA54" s="100">
        <f t="shared" si="926"/>
        <v>0</v>
      </c>
      <c r="EB54" s="100">
        <f t="shared" si="926"/>
        <v>0</v>
      </c>
      <c r="EC54" s="100">
        <f t="shared" si="926"/>
        <v>0</v>
      </c>
      <c r="ED54" s="100">
        <f t="shared" si="926"/>
        <v>0</v>
      </c>
      <c r="EE54" s="100">
        <f t="shared" si="926"/>
        <v>0</v>
      </c>
      <c r="EF54" s="100">
        <f t="shared" si="926"/>
        <v>0</v>
      </c>
      <c r="EG54" s="100">
        <f t="shared" si="926"/>
        <v>0</v>
      </c>
      <c r="EH54" s="100">
        <f t="shared" si="926"/>
        <v>0</v>
      </c>
      <c r="EI54" s="100">
        <f t="shared" ref="EI54:EX54" si="927">(EI44+EI52)*(EI$6&lt;=$C$5)</f>
        <v>0</v>
      </c>
      <c r="EJ54" s="100">
        <f t="shared" si="927"/>
        <v>0</v>
      </c>
      <c r="EK54" s="100">
        <f t="shared" si="927"/>
        <v>0</v>
      </c>
      <c r="EM54" s="24">
        <f t="shared" si="927"/>
        <v>0</v>
      </c>
      <c r="EN54" s="24">
        <f t="shared" si="927"/>
        <v>1819546.4331929479</v>
      </c>
      <c r="EO54" s="24">
        <f t="shared" si="927"/>
        <v>2202429.712007646</v>
      </c>
      <c r="EP54" s="24">
        <f t="shared" si="927"/>
        <v>3162958.9517378882</v>
      </c>
      <c r="EQ54" s="24">
        <f t="shared" si="927"/>
        <v>3432779.70784292</v>
      </c>
      <c r="ER54" s="24">
        <f t="shared" si="927"/>
        <v>3547442.1745819435</v>
      </c>
      <c r="ES54" s="24">
        <f t="shared" si="927"/>
        <v>0</v>
      </c>
      <c r="ET54" s="24">
        <f t="shared" si="927"/>
        <v>0</v>
      </c>
      <c r="EU54" s="24">
        <f t="shared" si="927"/>
        <v>0</v>
      </c>
      <c r="EV54" s="24">
        <f t="shared" si="927"/>
        <v>0</v>
      </c>
      <c r="EW54" s="24">
        <f t="shared" si="927"/>
        <v>0</v>
      </c>
      <c r="EX54" s="24">
        <f t="shared" si="927"/>
        <v>0</v>
      </c>
    </row>
    <row r="56" spans="2:154" x14ac:dyDescent="0.3">
      <c r="B56" s="2" t="s">
        <v>114</v>
      </c>
    </row>
    <row r="57" spans="2:154" x14ac:dyDescent="0.3">
      <c r="B57" s="1" t="s">
        <v>49</v>
      </c>
      <c r="I57" s="70">
        <f>-'Inputs &amp; Drivers'!$E$14*(I$6='Inputs &amp; Drivers'!$E$12)</f>
        <v>-51000000</v>
      </c>
      <c r="J57" s="70">
        <f>-'Inputs &amp; Drivers'!$E$14*(J$6='Inputs &amp; Drivers'!$E$12)</f>
        <v>0</v>
      </c>
      <c r="K57" s="70">
        <f>-'Inputs &amp; Drivers'!$E$14*(K$6='Inputs &amp; Drivers'!$E$12)</f>
        <v>0</v>
      </c>
      <c r="L57" s="70">
        <f>-'Inputs &amp; Drivers'!$E$14*(L$6='Inputs &amp; Drivers'!$E$12)</f>
        <v>0</v>
      </c>
      <c r="M57" s="70">
        <f>-'Inputs &amp; Drivers'!$E$14*(M$6='Inputs &amp; Drivers'!$E$12)</f>
        <v>0</v>
      </c>
      <c r="N57" s="70">
        <f>-'Inputs &amp; Drivers'!$E$14*(N$6='Inputs &amp; Drivers'!$E$12)</f>
        <v>0</v>
      </c>
      <c r="O57" s="70">
        <f>-'Inputs &amp; Drivers'!$E$14*(O$6='Inputs &amp; Drivers'!$E$12)</f>
        <v>0</v>
      </c>
      <c r="P57" s="70">
        <f>-'Inputs &amp; Drivers'!$E$14*(P$6='Inputs &amp; Drivers'!$E$12)</f>
        <v>0</v>
      </c>
      <c r="Q57" s="70">
        <f>-'Inputs &amp; Drivers'!$E$14*(Q$6='Inputs &amp; Drivers'!$E$12)</f>
        <v>0</v>
      </c>
      <c r="R57" s="70">
        <f>-'Inputs &amp; Drivers'!$E$14*(R$6='Inputs &amp; Drivers'!$E$12)</f>
        <v>0</v>
      </c>
      <c r="S57" s="70">
        <f>-'Inputs &amp; Drivers'!$E$14*(S$6='Inputs &amp; Drivers'!$E$12)</f>
        <v>0</v>
      </c>
      <c r="T57" s="70">
        <f>-'Inputs &amp; Drivers'!$E$14*(T$6='Inputs &amp; Drivers'!$E$12)</f>
        <v>0</v>
      </c>
      <c r="U57" s="70">
        <f>-'Inputs &amp; Drivers'!$E$14*(U$6='Inputs &amp; Drivers'!$E$12)</f>
        <v>0</v>
      </c>
      <c r="V57" s="70">
        <f>-'Inputs &amp; Drivers'!$E$14*(V$6='Inputs &amp; Drivers'!$E$12)</f>
        <v>0</v>
      </c>
      <c r="W57" s="70">
        <f>-'Inputs &amp; Drivers'!$E$14*(W$6='Inputs &amp; Drivers'!$E$12)</f>
        <v>0</v>
      </c>
      <c r="X57" s="70">
        <f>-'Inputs &amp; Drivers'!$E$14*(X$6='Inputs &amp; Drivers'!$E$12)</f>
        <v>0</v>
      </c>
      <c r="Y57" s="70">
        <f>-'Inputs &amp; Drivers'!$E$14*(Y$6='Inputs &amp; Drivers'!$E$12)</f>
        <v>0</v>
      </c>
      <c r="Z57" s="70">
        <f>-'Inputs &amp; Drivers'!$E$14*(Z$6='Inputs &amp; Drivers'!$E$12)</f>
        <v>0</v>
      </c>
      <c r="AA57" s="70">
        <f>-'Inputs &amp; Drivers'!$E$14*(AA$6='Inputs &amp; Drivers'!$E$12)</f>
        <v>0</v>
      </c>
      <c r="AB57" s="70">
        <f>-'Inputs &amp; Drivers'!$E$14*(AB$6='Inputs &amp; Drivers'!$E$12)</f>
        <v>0</v>
      </c>
      <c r="AC57" s="70">
        <f>-'Inputs &amp; Drivers'!$E$14*(AC$6='Inputs &amp; Drivers'!$E$12)</f>
        <v>0</v>
      </c>
      <c r="AD57" s="70">
        <f>-'Inputs &amp; Drivers'!$E$14*(AD$6='Inputs &amp; Drivers'!$E$12)</f>
        <v>0</v>
      </c>
      <c r="AE57" s="70">
        <f>-'Inputs &amp; Drivers'!$E$14*(AE$6='Inputs &amp; Drivers'!$E$12)</f>
        <v>0</v>
      </c>
      <c r="AF57" s="70">
        <f>-'Inputs &amp; Drivers'!$E$14*(AF$6='Inputs &amp; Drivers'!$E$12)</f>
        <v>0</v>
      </c>
      <c r="AG57" s="70">
        <f>-'Inputs &amp; Drivers'!$E$14*(AG$6='Inputs &amp; Drivers'!$E$12)</f>
        <v>0</v>
      </c>
      <c r="AH57" s="70">
        <f>-'Inputs &amp; Drivers'!$E$14*(AH$6='Inputs &amp; Drivers'!$E$12)</f>
        <v>0</v>
      </c>
      <c r="AI57" s="70">
        <f>-'Inputs &amp; Drivers'!$E$14*(AI$6='Inputs &amp; Drivers'!$E$12)</f>
        <v>0</v>
      </c>
      <c r="AJ57" s="70">
        <f>-'Inputs &amp; Drivers'!$E$14*(AJ$6='Inputs &amp; Drivers'!$E$12)</f>
        <v>0</v>
      </c>
      <c r="AK57" s="70">
        <f>-'Inputs &amp; Drivers'!$E$14*(AK$6='Inputs &amp; Drivers'!$E$12)</f>
        <v>0</v>
      </c>
      <c r="AL57" s="70">
        <f>-'Inputs &amp; Drivers'!$E$14*(AL$6='Inputs &amp; Drivers'!$E$12)</f>
        <v>0</v>
      </c>
      <c r="AM57" s="70">
        <f>-'Inputs &amp; Drivers'!$E$14*(AM$6='Inputs &amp; Drivers'!$E$12)</f>
        <v>0</v>
      </c>
      <c r="AN57" s="70">
        <f>-'Inputs &amp; Drivers'!$E$14*(AN$6='Inputs &amp; Drivers'!$E$12)</f>
        <v>0</v>
      </c>
      <c r="AO57" s="70">
        <f>-'Inputs &amp; Drivers'!$E$14*(AO$6='Inputs &amp; Drivers'!$E$12)</f>
        <v>0</v>
      </c>
      <c r="AP57" s="70">
        <f>-'Inputs &amp; Drivers'!$E$14*(AP$6='Inputs &amp; Drivers'!$E$12)</f>
        <v>0</v>
      </c>
      <c r="AQ57" s="70">
        <f>-'Inputs &amp; Drivers'!$E$14*(AQ$6='Inputs &amp; Drivers'!$E$12)</f>
        <v>0</v>
      </c>
      <c r="AR57" s="70">
        <f>-'Inputs &amp; Drivers'!$E$14*(AR$6='Inputs &amp; Drivers'!$E$12)</f>
        <v>0</v>
      </c>
      <c r="AS57" s="70">
        <f>-'Inputs &amp; Drivers'!$E$14*(AS$6='Inputs &amp; Drivers'!$E$12)</f>
        <v>0</v>
      </c>
      <c r="AT57" s="70">
        <f>-'Inputs &amp; Drivers'!$E$14*(AT$6='Inputs &amp; Drivers'!$E$12)</f>
        <v>0</v>
      </c>
      <c r="AU57" s="70">
        <f>-'Inputs &amp; Drivers'!$E$14*(AU$6='Inputs &amp; Drivers'!$E$12)</f>
        <v>0</v>
      </c>
      <c r="AV57" s="70">
        <f>-'Inputs &amp; Drivers'!$E$14*(AV$6='Inputs &amp; Drivers'!$E$12)</f>
        <v>0</v>
      </c>
      <c r="AW57" s="70">
        <f>-'Inputs &amp; Drivers'!$E$14*(AW$6='Inputs &amp; Drivers'!$E$12)</f>
        <v>0</v>
      </c>
      <c r="AX57" s="70">
        <f>-'Inputs &amp; Drivers'!$E$14*(AX$6='Inputs &amp; Drivers'!$E$12)</f>
        <v>0</v>
      </c>
      <c r="AY57" s="70">
        <f>-'Inputs &amp; Drivers'!$E$14*(AY$6='Inputs &amp; Drivers'!$E$12)</f>
        <v>0</v>
      </c>
      <c r="AZ57" s="70">
        <f>-'Inputs &amp; Drivers'!$E$14*(AZ$6='Inputs &amp; Drivers'!$E$12)</f>
        <v>0</v>
      </c>
      <c r="BA57" s="70">
        <f>-'Inputs &amp; Drivers'!$E$14*(BA$6='Inputs &amp; Drivers'!$E$12)</f>
        <v>0</v>
      </c>
      <c r="BB57" s="70">
        <f>-'Inputs &amp; Drivers'!$E$14*(BB$6='Inputs &amp; Drivers'!$E$12)</f>
        <v>0</v>
      </c>
      <c r="BC57" s="70">
        <f>-'Inputs &amp; Drivers'!$E$14*(BC$6='Inputs &amp; Drivers'!$E$12)</f>
        <v>0</v>
      </c>
      <c r="BD57" s="70">
        <f>-'Inputs &amp; Drivers'!$E$14*(BD$6='Inputs &amp; Drivers'!$E$12)</f>
        <v>0</v>
      </c>
      <c r="BE57" s="70">
        <f>-'Inputs &amp; Drivers'!$E$14*(BE$6='Inputs &amp; Drivers'!$E$12)</f>
        <v>0</v>
      </c>
      <c r="BF57" s="70">
        <f>-'Inputs &amp; Drivers'!$E$14*(BF$6='Inputs &amp; Drivers'!$E$12)</f>
        <v>0</v>
      </c>
      <c r="BG57" s="70">
        <f>-'Inputs &amp; Drivers'!$E$14*(BG$6='Inputs &amp; Drivers'!$E$12)</f>
        <v>0</v>
      </c>
      <c r="BH57" s="70">
        <f>-'Inputs &amp; Drivers'!$E$14*(BH$6='Inputs &amp; Drivers'!$E$12)</f>
        <v>0</v>
      </c>
      <c r="BI57" s="70">
        <f>-'Inputs &amp; Drivers'!$E$14*(BI$6='Inputs &amp; Drivers'!$E$12)</f>
        <v>0</v>
      </c>
      <c r="BJ57" s="70">
        <f>-'Inputs &amp; Drivers'!$E$14*(BJ$6='Inputs &amp; Drivers'!$E$12)</f>
        <v>0</v>
      </c>
      <c r="BK57" s="70">
        <f>-'Inputs &amp; Drivers'!$E$14*(BK$6='Inputs &amp; Drivers'!$E$12)</f>
        <v>0</v>
      </c>
      <c r="BL57" s="70">
        <f>-'Inputs &amp; Drivers'!$E$14*(BL$6='Inputs &amp; Drivers'!$E$12)</f>
        <v>0</v>
      </c>
      <c r="BM57" s="70">
        <f>-'Inputs &amp; Drivers'!$E$14*(BM$6='Inputs &amp; Drivers'!$E$12)</f>
        <v>0</v>
      </c>
      <c r="BN57" s="70">
        <f>-'Inputs &amp; Drivers'!$E$14*(BN$6='Inputs &amp; Drivers'!$E$12)</f>
        <v>0</v>
      </c>
      <c r="BO57" s="70">
        <f>-'Inputs &amp; Drivers'!$E$14*(BO$6='Inputs &amp; Drivers'!$E$12)</f>
        <v>0</v>
      </c>
      <c r="BP57" s="70">
        <f>-'Inputs &amp; Drivers'!$E$14*(BP$6='Inputs &amp; Drivers'!$E$12)</f>
        <v>0</v>
      </c>
      <c r="BQ57" s="70">
        <f>-'Inputs &amp; Drivers'!$E$14*(BQ$6='Inputs &amp; Drivers'!$E$12)</f>
        <v>0</v>
      </c>
      <c r="BR57" s="70">
        <f>-'Inputs &amp; Drivers'!$E$14*(BR$6='Inputs &amp; Drivers'!$E$12)</f>
        <v>0</v>
      </c>
      <c r="BS57" s="70">
        <f>-'Inputs &amp; Drivers'!$E$14*(BS$6='Inputs &amp; Drivers'!$E$12)</f>
        <v>0</v>
      </c>
      <c r="BT57" s="70">
        <f>-'Inputs &amp; Drivers'!$E$14*(BT$6='Inputs &amp; Drivers'!$E$12)</f>
        <v>0</v>
      </c>
      <c r="BU57" s="70">
        <f>-'Inputs &amp; Drivers'!$E$14*(BU$6='Inputs &amp; Drivers'!$E$12)</f>
        <v>0</v>
      </c>
      <c r="BV57" s="70">
        <f>-'Inputs &amp; Drivers'!$E$14*(BV$6='Inputs &amp; Drivers'!$E$12)</f>
        <v>0</v>
      </c>
      <c r="BW57" s="70">
        <f>-'Inputs &amp; Drivers'!$E$14*(BW$6='Inputs &amp; Drivers'!$E$12)</f>
        <v>0</v>
      </c>
      <c r="BX57" s="70">
        <f>-'Inputs &amp; Drivers'!$E$14*(BX$6='Inputs &amp; Drivers'!$E$12)</f>
        <v>0</v>
      </c>
      <c r="BY57" s="70">
        <f>-'Inputs &amp; Drivers'!$E$14*(BY$6='Inputs &amp; Drivers'!$E$12)</f>
        <v>0</v>
      </c>
      <c r="BZ57" s="70">
        <f>-'Inputs &amp; Drivers'!$E$14*(BZ$6='Inputs &amp; Drivers'!$E$12)</f>
        <v>0</v>
      </c>
      <c r="CA57" s="70">
        <f>-'Inputs &amp; Drivers'!$E$14*(CA$6='Inputs &amp; Drivers'!$E$12)</f>
        <v>0</v>
      </c>
      <c r="CB57" s="70">
        <f>-'Inputs &amp; Drivers'!$E$14*(CB$6='Inputs &amp; Drivers'!$E$12)</f>
        <v>0</v>
      </c>
      <c r="CC57" s="70">
        <f>-'Inputs &amp; Drivers'!$E$14*(CC$6='Inputs &amp; Drivers'!$E$12)</f>
        <v>0</v>
      </c>
      <c r="CD57" s="70">
        <f>-'Inputs &amp; Drivers'!$E$14*(CD$6='Inputs &amp; Drivers'!$E$12)</f>
        <v>0</v>
      </c>
      <c r="CE57" s="70">
        <f>-'Inputs &amp; Drivers'!$E$14*(CE$6='Inputs &amp; Drivers'!$E$12)</f>
        <v>0</v>
      </c>
      <c r="CF57" s="70">
        <f>-'Inputs &amp; Drivers'!$E$14*(CF$6='Inputs &amp; Drivers'!$E$12)</f>
        <v>0</v>
      </c>
      <c r="CG57" s="70">
        <f>-'Inputs &amp; Drivers'!$E$14*(CG$6='Inputs &amp; Drivers'!$E$12)</f>
        <v>0</v>
      </c>
      <c r="CH57" s="70">
        <f>-'Inputs &amp; Drivers'!$E$14*(CH$6='Inputs &amp; Drivers'!$E$12)</f>
        <v>0</v>
      </c>
      <c r="CI57" s="70">
        <f>-'Inputs &amp; Drivers'!$E$14*(CI$6='Inputs &amp; Drivers'!$E$12)</f>
        <v>0</v>
      </c>
      <c r="CJ57" s="70">
        <f>-'Inputs &amp; Drivers'!$E$14*(CJ$6='Inputs &amp; Drivers'!$E$12)</f>
        <v>0</v>
      </c>
      <c r="CK57" s="70">
        <f>-'Inputs &amp; Drivers'!$E$14*(CK$6='Inputs &amp; Drivers'!$E$12)</f>
        <v>0</v>
      </c>
      <c r="CL57" s="70">
        <f>-'Inputs &amp; Drivers'!$E$14*(CL$6='Inputs &amp; Drivers'!$E$12)</f>
        <v>0</v>
      </c>
      <c r="CM57" s="70">
        <f>-'Inputs &amp; Drivers'!$E$14*(CM$6='Inputs &amp; Drivers'!$E$12)</f>
        <v>0</v>
      </c>
      <c r="CN57" s="70">
        <f>-'Inputs &amp; Drivers'!$E$14*(CN$6='Inputs &amp; Drivers'!$E$12)</f>
        <v>0</v>
      </c>
      <c r="CO57" s="70">
        <f>-'Inputs &amp; Drivers'!$E$14*(CO$6='Inputs &amp; Drivers'!$E$12)</f>
        <v>0</v>
      </c>
      <c r="CP57" s="70">
        <f>-'Inputs &amp; Drivers'!$E$14*(CP$6='Inputs &amp; Drivers'!$E$12)</f>
        <v>0</v>
      </c>
      <c r="CQ57" s="70">
        <f>-'Inputs &amp; Drivers'!$E$14*(CQ$6='Inputs &amp; Drivers'!$E$12)</f>
        <v>0</v>
      </c>
      <c r="CR57" s="70">
        <f>-'Inputs &amp; Drivers'!$E$14*(CR$6='Inputs &amp; Drivers'!$E$12)</f>
        <v>0</v>
      </c>
      <c r="CS57" s="70">
        <f>-'Inputs &amp; Drivers'!$E$14*(CS$6='Inputs &amp; Drivers'!$E$12)</f>
        <v>0</v>
      </c>
      <c r="CT57" s="70">
        <f>-'Inputs &amp; Drivers'!$E$14*(CT$6='Inputs &amp; Drivers'!$E$12)</f>
        <v>0</v>
      </c>
      <c r="CU57" s="70">
        <f>-'Inputs &amp; Drivers'!$E$14*(CU$6='Inputs &amp; Drivers'!$E$12)</f>
        <v>0</v>
      </c>
      <c r="CV57" s="70">
        <f>-'Inputs &amp; Drivers'!$E$14*(CV$6='Inputs &amp; Drivers'!$E$12)</f>
        <v>0</v>
      </c>
      <c r="CW57" s="70">
        <f>-'Inputs &amp; Drivers'!$E$14*(CW$6='Inputs &amp; Drivers'!$E$12)</f>
        <v>0</v>
      </c>
      <c r="CX57" s="70">
        <f>-'Inputs &amp; Drivers'!$E$14*(CX$6='Inputs &amp; Drivers'!$E$12)</f>
        <v>0</v>
      </c>
      <c r="CY57" s="70">
        <f>-'Inputs &amp; Drivers'!$E$14*(CY$6='Inputs &amp; Drivers'!$E$12)</f>
        <v>0</v>
      </c>
      <c r="CZ57" s="70">
        <f>-'Inputs &amp; Drivers'!$E$14*(CZ$6='Inputs &amp; Drivers'!$E$12)</f>
        <v>0</v>
      </c>
      <c r="DA57" s="70">
        <f>-'Inputs &amp; Drivers'!$E$14*(DA$6='Inputs &amp; Drivers'!$E$12)</f>
        <v>0</v>
      </c>
      <c r="DB57" s="70">
        <f>-'Inputs &amp; Drivers'!$E$14*(DB$6='Inputs &amp; Drivers'!$E$12)</f>
        <v>0</v>
      </c>
      <c r="DC57" s="70">
        <f>-'Inputs &amp; Drivers'!$E$14*(DC$6='Inputs &amp; Drivers'!$E$12)</f>
        <v>0</v>
      </c>
      <c r="DD57" s="70">
        <f>-'Inputs &amp; Drivers'!$E$14*(DD$6='Inputs &amp; Drivers'!$E$12)</f>
        <v>0</v>
      </c>
      <c r="DE57" s="70">
        <f>-'Inputs &amp; Drivers'!$E$14*(DE$6='Inputs &amp; Drivers'!$E$12)</f>
        <v>0</v>
      </c>
      <c r="DF57" s="70">
        <f>-'Inputs &amp; Drivers'!$E$14*(DF$6='Inputs &amp; Drivers'!$E$12)</f>
        <v>0</v>
      </c>
      <c r="DG57" s="70">
        <f>-'Inputs &amp; Drivers'!$E$14*(DG$6='Inputs &amp; Drivers'!$E$12)</f>
        <v>0</v>
      </c>
      <c r="DH57" s="70">
        <f>-'Inputs &amp; Drivers'!$E$14*(DH$6='Inputs &amp; Drivers'!$E$12)</f>
        <v>0</v>
      </c>
      <c r="DI57" s="70">
        <f>-'Inputs &amp; Drivers'!$E$14*(DI$6='Inputs &amp; Drivers'!$E$12)</f>
        <v>0</v>
      </c>
      <c r="DJ57" s="70">
        <f>-'Inputs &amp; Drivers'!$E$14*(DJ$6='Inputs &amp; Drivers'!$E$12)</f>
        <v>0</v>
      </c>
      <c r="DK57" s="70">
        <f>-'Inputs &amp; Drivers'!$E$14*(DK$6='Inputs &amp; Drivers'!$E$12)</f>
        <v>0</v>
      </c>
      <c r="DL57" s="70">
        <f>-'Inputs &amp; Drivers'!$E$14*(DL$6='Inputs &amp; Drivers'!$E$12)</f>
        <v>0</v>
      </c>
      <c r="DM57" s="70">
        <f>-'Inputs &amp; Drivers'!$E$14*(DM$6='Inputs &amp; Drivers'!$E$12)</f>
        <v>0</v>
      </c>
      <c r="DN57" s="70">
        <f>-'Inputs &amp; Drivers'!$E$14*(DN$6='Inputs &amp; Drivers'!$E$12)</f>
        <v>0</v>
      </c>
      <c r="DO57" s="70">
        <f>-'Inputs &amp; Drivers'!$E$14*(DO$6='Inputs &amp; Drivers'!$E$12)</f>
        <v>0</v>
      </c>
      <c r="DP57" s="70">
        <f>-'Inputs &amp; Drivers'!$E$14*(DP$6='Inputs &amp; Drivers'!$E$12)</f>
        <v>0</v>
      </c>
      <c r="DQ57" s="70">
        <f>-'Inputs &amp; Drivers'!$E$14*(DQ$6='Inputs &amp; Drivers'!$E$12)</f>
        <v>0</v>
      </c>
      <c r="DR57" s="70">
        <f>-'Inputs &amp; Drivers'!$E$14*(DR$6='Inputs &amp; Drivers'!$E$12)</f>
        <v>0</v>
      </c>
      <c r="DS57" s="70">
        <f>-'Inputs &amp; Drivers'!$E$14*(DS$6='Inputs &amp; Drivers'!$E$12)</f>
        <v>0</v>
      </c>
      <c r="DT57" s="70">
        <f>-'Inputs &amp; Drivers'!$E$14*(DT$6='Inputs &amp; Drivers'!$E$12)</f>
        <v>0</v>
      </c>
      <c r="DU57" s="70">
        <f>-'Inputs &amp; Drivers'!$E$14*(DU$6='Inputs &amp; Drivers'!$E$12)</f>
        <v>0</v>
      </c>
      <c r="DV57" s="70">
        <f>-'Inputs &amp; Drivers'!$E$14*(DV$6='Inputs &amp; Drivers'!$E$12)</f>
        <v>0</v>
      </c>
      <c r="DW57" s="70">
        <f>-'Inputs &amp; Drivers'!$E$14*(DW$6='Inputs &amp; Drivers'!$E$12)</f>
        <v>0</v>
      </c>
      <c r="DX57" s="70">
        <f>-'Inputs &amp; Drivers'!$E$14*(DX$6='Inputs &amp; Drivers'!$E$12)</f>
        <v>0</v>
      </c>
      <c r="DY57" s="70">
        <f>-'Inputs &amp; Drivers'!$E$14*(DY$6='Inputs &amp; Drivers'!$E$12)</f>
        <v>0</v>
      </c>
      <c r="DZ57" s="70">
        <f>-'Inputs &amp; Drivers'!$E$14*(DZ$6='Inputs &amp; Drivers'!$E$12)</f>
        <v>0</v>
      </c>
      <c r="EA57" s="70">
        <f>-'Inputs &amp; Drivers'!$E$14*(EA$6='Inputs &amp; Drivers'!$E$12)</f>
        <v>0</v>
      </c>
      <c r="EB57" s="70">
        <f>-'Inputs &amp; Drivers'!$E$14*(EB$6='Inputs &amp; Drivers'!$E$12)</f>
        <v>0</v>
      </c>
      <c r="EC57" s="70">
        <f>-'Inputs &amp; Drivers'!$E$14*(EC$6='Inputs &amp; Drivers'!$E$12)</f>
        <v>0</v>
      </c>
      <c r="ED57" s="70">
        <f>-'Inputs &amp; Drivers'!$E$14*(ED$6='Inputs &amp; Drivers'!$E$12)</f>
        <v>0</v>
      </c>
      <c r="EE57" s="70">
        <f>-'Inputs &amp; Drivers'!$E$14*(EE$6='Inputs &amp; Drivers'!$E$12)</f>
        <v>0</v>
      </c>
      <c r="EF57" s="70">
        <f>-'Inputs &amp; Drivers'!$E$14*(EF$6='Inputs &amp; Drivers'!$E$12)</f>
        <v>0</v>
      </c>
      <c r="EG57" s="70">
        <f>-'Inputs &amp; Drivers'!$E$14*(EG$6='Inputs &amp; Drivers'!$E$12)</f>
        <v>0</v>
      </c>
      <c r="EH57" s="70">
        <f>-'Inputs &amp; Drivers'!$E$14*(EH$6='Inputs &amp; Drivers'!$E$12)</f>
        <v>0</v>
      </c>
      <c r="EI57" s="70">
        <f>-'Inputs &amp; Drivers'!$E$14*(EI$6='Inputs &amp; Drivers'!$E$12)</f>
        <v>0</v>
      </c>
      <c r="EJ57" s="70">
        <f>-'Inputs &amp; Drivers'!$E$14*(EJ$6='Inputs &amp; Drivers'!$E$12)</f>
        <v>0</v>
      </c>
      <c r="EK57" s="70">
        <f>-'Inputs &amp; Drivers'!$E$14*(EK$6='Inputs &amp; Drivers'!$E$12)</f>
        <v>0</v>
      </c>
      <c r="EM57" s="109">
        <f t="shared" ref="EM57:EX60" si="928">SUMIF($I$4:$EK$4,EM$5,$I57:$EK57)</f>
        <v>-51000000</v>
      </c>
      <c r="EN57" s="109">
        <f t="shared" si="928"/>
        <v>0</v>
      </c>
      <c r="EO57" s="109">
        <f t="shared" si="928"/>
        <v>0</v>
      </c>
      <c r="EP57" s="109">
        <f t="shared" si="928"/>
        <v>0</v>
      </c>
      <c r="EQ57" s="109">
        <f t="shared" si="928"/>
        <v>0</v>
      </c>
      <c r="ER57" s="109">
        <f t="shared" si="928"/>
        <v>0</v>
      </c>
      <c r="ES57" s="109">
        <f t="shared" si="928"/>
        <v>0</v>
      </c>
      <c r="ET57" s="109">
        <f t="shared" si="928"/>
        <v>0</v>
      </c>
      <c r="EU57" s="109">
        <f t="shared" si="928"/>
        <v>0</v>
      </c>
      <c r="EV57" s="109">
        <f t="shared" si="928"/>
        <v>0</v>
      </c>
      <c r="EW57" s="109">
        <f t="shared" si="928"/>
        <v>0</v>
      </c>
      <c r="EX57" s="109">
        <f t="shared" si="928"/>
        <v>0</v>
      </c>
    </row>
    <row r="58" spans="2:154" x14ac:dyDescent="0.3">
      <c r="B58" s="1" t="s">
        <v>53</v>
      </c>
      <c r="I58" s="82">
        <f>'Inputs &amp; Drivers'!$E$15*Model!I57</f>
        <v>-637500</v>
      </c>
      <c r="J58" s="82">
        <f>'Inputs &amp; Drivers'!$E$15*Model!J57</f>
        <v>0</v>
      </c>
      <c r="K58" s="82">
        <f>'Inputs &amp; Drivers'!$E$15*Model!K57</f>
        <v>0</v>
      </c>
      <c r="L58" s="82">
        <f>'Inputs &amp; Drivers'!$E$15*Model!L57</f>
        <v>0</v>
      </c>
      <c r="M58" s="82">
        <f>'Inputs &amp; Drivers'!$E$15*Model!M57</f>
        <v>0</v>
      </c>
      <c r="N58" s="82">
        <f>'Inputs &amp; Drivers'!$E$15*Model!N57</f>
        <v>0</v>
      </c>
      <c r="O58" s="82">
        <f>'Inputs &amp; Drivers'!$E$15*Model!O57</f>
        <v>0</v>
      </c>
      <c r="P58" s="82">
        <f>'Inputs &amp; Drivers'!$E$15*Model!P57</f>
        <v>0</v>
      </c>
      <c r="Q58" s="82">
        <f>'Inputs &amp; Drivers'!$E$15*Model!Q57</f>
        <v>0</v>
      </c>
      <c r="R58" s="82">
        <f>'Inputs &amp; Drivers'!$E$15*Model!R57</f>
        <v>0</v>
      </c>
      <c r="S58" s="82">
        <f>'Inputs &amp; Drivers'!$E$15*Model!S57</f>
        <v>0</v>
      </c>
      <c r="T58" s="82">
        <f>'Inputs &amp; Drivers'!$E$15*Model!T57</f>
        <v>0</v>
      </c>
      <c r="U58" s="82">
        <f>'Inputs &amp; Drivers'!$E$15*Model!U57</f>
        <v>0</v>
      </c>
      <c r="V58" s="82">
        <f>'Inputs &amp; Drivers'!$E$15*Model!V57</f>
        <v>0</v>
      </c>
      <c r="W58" s="82">
        <f>'Inputs &amp; Drivers'!$E$15*Model!W57</f>
        <v>0</v>
      </c>
      <c r="X58" s="82">
        <f>'Inputs &amp; Drivers'!$E$15*Model!X57</f>
        <v>0</v>
      </c>
      <c r="Y58" s="82">
        <f>'Inputs &amp; Drivers'!$E$15*Model!Y57</f>
        <v>0</v>
      </c>
      <c r="Z58" s="82">
        <f>'Inputs &amp; Drivers'!$E$15*Model!Z57</f>
        <v>0</v>
      </c>
      <c r="AA58" s="82">
        <f>'Inputs &amp; Drivers'!$E$15*Model!AA57</f>
        <v>0</v>
      </c>
      <c r="AB58" s="82">
        <f>'Inputs &amp; Drivers'!$E$15*Model!AB57</f>
        <v>0</v>
      </c>
      <c r="AC58" s="82">
        <f>'Inputs &amp; Drivers'!$E$15*Model!AC57</f>
        <v>0</v>
      </c>
      <c r="AD58" s="82">
        <f>'Inputs &amp; Drivers'!$E$15*Model!AD57</f>
        <v>0</v>
      </c>
      <c r="AE58" s="82">
        <f>'Inputs &amp; Drivers'!$E$15*Model!AE57</f>
        <v>0</v>
      </c>
      <c r="AF58" s="82">
        <f>'Inputs &amp; Drivers'!$E$15*Model!AF57</f>
        <v>0</v>
      </c>
      <c r="AG58" s="82">
        <f>'Inputs &amp; Drivers'!$E$15*Model!AG57</f>
        <v>0</v>
      </c>
      <c r="AH58" s="82">
        <f>'Inputs &amp; Drivers'!$E$15*Model!AH57</f>
        <v>0</v>
      </c>
      <c r="AI58" s="82">
        <f>'Inputs &amp; Drivers'!$E$15*Model!AI57</f>
        <v>0</v>
      </c>
      <c r="AJ58" s="82">
        <f>'Inputs &amp; Drivers'!$E$15*Model!AJ57</f>
        <v>0</v>
      </c>
      <c r="AK58" s="82">
        <f>'Inputs &amp; Drivers'!$E$15*Model!AK57</f>
        <v>0</v>
      </c>
      <c r="AL58" s="82">
        <f>'Inputs &amp; Drivers'!$E$15*Model!AL57</f>
        <v>0</v>
      </c>
      <c r="AM58" s="82">
        <f>'Inputs &amp; Drivers'!$E$15*Model!AM57</f>
        <v>0</v>
      </c>
      <c r="AN58" s="82">
        <f>'Inputs &amp; Drivers'!$E$15*Model!AN57</f>
        <v>0</v>
      </c>
      <c r="AO58" s="82">
        <f>'Inputs &amp; Drivers'!$E$15*Model!AO57</f>
        <v>0</v>
      </c>
      <c r="AP58" s="82">
        <f>'Inputs &amp; Drivers'!$E$15*Model!AP57</f>
        <v>0</v>
      </c>
      <c r="AQ58" s="82">
        <f>'Inputs &amp; Drivers'!$E$15*Model!AQ57</f>
        <v>0</v>
      </c>
      <c r="AR58" s="82">
        <f>'Inputs &amp; Drivers'!$E$15*Model!AR57</f>
        <v>0</v>
      </c>
      <c r="AS58" s="82">
        <f>'Inputs &amp; Drivers'!$E$15*Model!AS57</f>
        <v>0</v>
      </c>
      <c r="AT58" s="82">
        <f>'Inputs &amp; Drivers'!$E$15*Model!AT57</f>
        <v>0</v>
      </c>
      <c r="AU58" s="82">
        <f>'Inputs &amp; Drivers'!$E$15*Model!AU57</f>
        <v>0</v>
      </c>
      <c r="AV58" s="82">
        <f>'Inputs &amp; Drivers'!$E$15*Model!AV57</f>
        <v>0</v>
      </c>
      <c r="AW58" s="82">
        <f>'Inputs &amp; Drivers'!$E$15*Model!AW57</f>
        <v>0</v>
      </c>
      <c r="AX58" s="82">
        <f>'Inputs &amp; Drivers'!$E$15*Model!AX57</f>
        <v>0</v>
      </c>
      <c r="AY58" s="82">
        <f>'Inputs &amp; Drivers'!$E$15*Model!AY57</f>
        <v>0</v>
      </c>
      <c r="AZ58" s="82">
        <f>'Inputs &amp; Drivers'!$E$15*Model!AZ57</f>
        <v>0</v>
      </c>
      <c r="BA58" s="82">
        <f>'Inputs &amp; Drivers'!$E$15*Model!BA57</f>
        <v>0</v>
      </c>
      <c r="BB58" s="82">
        <f>'Inputs &amp; Drivers'!$E$15*Model!BB57</f>
        <v>0</v>
      </c>
      <c r="BC58" s="82">
        <f>'Inputs &amp; Drivers'!$E$15*Model!BC57</f>
        <v>0</v>
      </c>
      <c r="BD58" s="82">
        <f>'Inputs &amp; Drivers'!$E$15*Model!BD57</f>
        <v>0</v>
      </c>
      <c r="BE58" s="82">
        <f>'Inputs &amp; Drivers'!$E$15*Model!BE57</f>
        <v>0</v>
      </c>
      <c r="BF58" s="82">
        <f>'Inputs &amp; Drivers'!$E$15*Model!BF57</f>
        <v>0</v>
      </c>
      <c r="BG58" s="82">
        <f>'Inputs &amp; Drivers'!$E$15*Model!BG57</f>
        <v>0</v>
      </c>
      <c r="BH58" s="82">
        <f>'Inputs &amp; Drivers'!$E$15*Model!BH57</f>
        <v>0</v>
      </c>
      <c r="BI58" s="82">
        <f>'Inputs &amp; Drivers'!$E$15*Model!BI57</f>
        <v>0</v>
      </c>
      <c r="BJ58" s="82">
        <f>'Inputs &amp; Drivers'!$E$15*Model!BJ57</f>
        <v>0</v>
      </c>
      <c r="BK58" s="82">
        <f>'Inputs &amp; Drivers'!$E$15*Model!BK57</f>
        <v>0</v>
      </c>
      <c r="BL58" s="82">
        <f>'Inputs &amp; Drivers'!$E$15*Model!BL57</f>
        <v>0</v>
      </c>
      <c r="BM58" s="82">
        <f>'Inputs &amp; Drivers'!$E$15*Model!BM57</f>
        <v>0</v>
      </c>
      <c r="BN58" s="82">
        <f>'Inputs &amp; Drivers'!$E$15*Model!BN57</f>
        <v>0</v>
      </c>
      <c r="BO58" s="82">
        <f>'Inputs &amp; Drivers'!$E$15*Model!BO57</f>
        <v>0</v>
      </c>
      <c r="BP58" s="82">
        <f>'Inputs &amp; Drivers'!$E$15*Model!BP57</f>
        <v>0</v>
      </c>
      <c r="BQ58" s="82">
        <f>'Inputs &amp; Drivers'!$E$15*Model!BQ57</f>
        <v>0</v>
      </c>
      <c r="BR58" s="82">
        <f>'Inputs &amp; Drivers'!$E$15*Model!BR57</f>
        <v>0</v>
      </c>
      <c r="BS58" s="82">
        <f>'Inputs &amp; Drivers'!$E$15*Model!BS57</f>
        <v>0</v>
      </c>
      <c r="BT58" s="82">
        <f>'Inputs &amp; Drivers'!$E$15*Model!BT57</f>
        <v>0</v>
      </c>
      <c r="BU58" s="82">
        <f>'Inputs &amp; Drivers'!$E$15*Model!BU57</f>
        <v>0</v>
      </c>
      <c r="BV58" s="82">
        <f>'Inputs &amp; Drivers'!$E$15*Model!BV57</f>
        <v>0</v>
      </c>
      <c r="BW58" s="82">
        <f>'Inputs &amp; Drivers'!$E$15*Model!BW57</f>
        <v>0</v>
      </c>
      <c r="BX58" s="82">
        <f>'Inputs &amp; Drivers'!$E$15*Model!BX57</f>
        <v>0</v>
      </c>
      <c r="BY58" s="82">
        <f>'Inputs &amp; Drivers'!$E$15*Model!BY57</f>
        <v>0</v>
      </c>
      <c r="BZ58" s="82">
        <f>'Inputs &amp; Drivers'!$E$15*Model!BZ57</f>
        <v>0</v>
      </c>
      <c r="CA58" s="82">
        <f>'Inputs &amp; Drivers'!$E$15*Model!CA57</f>
        <v>0</v>
      </c>
      <c r="CB58" s="82">
        <f>'Inputs &amp; Drivers'!$E$15*Model!CB57</f>
        <v>0</v>
      </c>
      <c r="CC58" s="82">
        <f>'Inputs &amp; Drivers'!$E$15*Model!CC57</f>
        <v>0</v>
      </c>
      <c r="CD58" s="82">
        <f>'Inputs &amp; Drivers'!$E$15*Model!CD57</f>
        <v>0</v>
      </c>
      <c r="CE58" s="82">
        <f>'Inputs &amp; Drivers'!$E$15*Model!CE57</f>
        <v>0</v>
      </c>
      <c r="CF58" s="82">
        <f>'Inputs &amp; Drivers'!$E$15*Model!CF57</f>
        <v>0</v>
      </c>
      <c r="CG58" s="82">
        <f>'Inputs &amp; Drivers'!$E$15*Model!CG57</f>
        <v>0</v>
      </c>
      <c r="CH58" s="82">
        <f>'Inputs &amp; Drivers'!$E$15*Model!CH57</f>
        <v>0</v>
      </c>
      <c r="CI58" s="82">
        <f>'Inputs &amp; Drivers'!$E$15*Model!CI57</f>
        <v>0</v>
      </c>
      <c r="CJ58" s="82">
        <f>'Inputs &amp; Drivers'!$E$15*Model!CJ57</f>
        <v>0</v>
      </c>
      <c r="CK58" s="82">
        <f>'Inputs &amp; Drivers'!$E$15*Model!CK57</f>
        <v>0</v>
      </c>
      <c r="CL58" s="82">
        <f>'Inputs &amp; Drivers'!$E$15*Model!CL57</f>
        <v>0</v>
      </c>
      <c r="CM58" s="82">
        <f>'Inputs &amp; Drivers'!$E$15*Model!CM57</f>
        <v>0</v>
      </c>
      <c r="CN58" s="82">
        <f>'Inputs &amp; Drivers'!$E$15*Model!CN57</f>
        <v>0</v>
      </c>
      <c r="CO58" s="82">
        <f>'Inputs &amp; Drivers'!$E$15*Model!CO57</f>
        <v>0</v>
      </c>
      <c r="CP58" s="82">
        <f>'Inputs &amp; Drivers'!$E$15*Model!CP57</f>
        <v>0</v>
      </c>
      <c r="CQ58" s="82">
        <f>'Inputs &amp; Drivers'!$E$15*Model!CQ57</f>
        <v>0</v>
      </c>
      <c r="CR58" s="82">
        <f>'Inputs &amp; Drivers'!$E$15*Model!CR57</f>
        <v>0</v>
      </c>
      <c r="CS58" s="82">
        <f>'Inputs &amp; Drivers'!$E$15*Model!CS57</f>
        <v>0</v>
      </c>
      <c r="CT58" s="82">
        <f>'Inputs &amp; Drivers'!$E$15*Model!CT57</f>
        <v>0</v>
      </c>
      <c r="CU58" s="82">
        <f>'Inputs &amp; Drivers'!$E$15*Model!CU57</f>
        <v>0</v>
      </c>
      <c r="CV58" s="82">
        <f>'Inputs &amp; Drivers'!$E$15*Model!CV57</f>
        <v>0</v>
      </c>
      <c r="CW58" s="82">
        <f>'Inputs &amp; Drivers'!$E$15*Model!CW57</f>
        <v>0</v>
      </c>
      <c r="CX58" s="82">
        <f>'Inputs &amp; Drivers'!$E$15*Model!CX57</f>
        <v>0</v>
      </c>
      <c r="CY58" s="82">
        <f>'Inputs &amp; Drivers'!$E$15*Model!CY57</f>
        <v>0</v>
      </c>
      <c r="CZ58" s="82">
        <f>'Inputs &amp; Drivers'!$E$15*Model!CZ57</f>
        <v>0</v>
      </c>
      <c r="DA58" s="82">
        <f>'Inputs &amp; Drivers'!$E$15*Model!DA57</f>
        <v>0</v>
      </c>
      <c r="DB58" s="82">
        <f>'Inputs &amp; Drivers'!$E$15*Model!DB57</f>
        <v>0</v>
      </c>
      <c r="DC58" s="82">
        <f>'Inputs &amp; Drivers'!$E$15*Model!DC57</f>
        <v>0</v>
      </c>
      <c r="DD58" s="82">
        <f>'Inputs &amp; Drivers'!$E$15*Model!DD57</f>
        <v>0</v>
      </c>
      <c r="DE58" s="82">
        <f>'Inputs &amp; Drivers'!$E$15*Model!DE57</f>
        <v>0</v>
      </c>
      <c r="DF58" s="82">
        <f>'Inputs &amp; Drivers'!$E$15*Model!DF57</f>
        <v>0</v>
      </c>
      <c r="DG58" s="82">
        <f>'Inputs &amp; Drivers'!$E$15*Model!DG57</f>
        <v>0</v>
      </c>
      <c r="DH58" s="82">
        <f>'Inputs &amp; Drivers'!$E$15*Model!DH57</f>
        <v>0</v>
      </c>
      <c r="DI58" s="82">
        <f>'Inputs &amp; Drivers'!$E$15*Model!DI57</f>
        <v>0</v>
      </c>
      <c r="DJ58" s="82">
        <f>'Inputs &amp; Drivers'!$E$15*Model!DJ57</f>
        <v>0</v>
      </c>
      <c r="DK58" s="82">
        <f>'Inputs &amp; Drivers'!$E$15*Model!DK57</f>
        <v>0</v>
      </c>
      <c r="DL58" s="82">
        <f>'Inputs &amp; Drivers'!$E$15*Model!DL57</f>
        <v>0</v>
      </c>
      <c r="DM58" s="82">
        <f>'Inputs &amp; Drivers'!$E$15*Model!DM57</f>
        <v>0</v>
      </c>
      <c r="DN58" s="82">
        <f>'Inputs &amp; Drivers'!$E$15*Model!DN57</f>
        <v>0</v>
      </c>
      <c r="DO58" s="82">
        <f>'Inputs &amp; Drivers'!$E$15*Model!DO57</f>
        <v>0</v>
      </c>
      <c r="DP58" s="82">
        <f>'Inputs &amp; Drivers'!$E$15*Model!DP57</f>
        <v>0</v>
      </c>
      <c r="DQ58" s="82">
        <f>'Inputs &amp; Drivers'!$E$15*Model!DQ57</f>
        <v>0</v>
      </c>
      <c r="DR58" s="82">
        <f>'Inputs &amp; Drivers'!$E$15*Model!DR57</f>
        <v>0</v>
      </c>
      <c r="DS58" s="82">
        <f>'Inputs &amp; Drivers'!$E$15*Model!DS57</f>
        <v>0</v>
      </c>
      <c r="DT58" s="82">
        <f>'Inputs &amp; Drivers'!$E$15*Model!DT57</f>
        <v>0</v>
      </c>
      <c r="DU58" s="82">
        <f>'Inputs &amp; Drivers'!$E$15*Model!DU57</f>
        <v>0</v>
      </c>
      <c r="DV58" s="82">
        <f>'Inputs &amp; Drivers'!$E$15*Model!DV57</f>
        <v>0</v>
      </c>
      <c r="DW58" s="82">
        <f>'Inputs &amp; Drivers'!$E$15*Model!DW57</f>
        <v>0</v>
      </c>
      <c r="DX58" s="82">
        <f>'Inputs &amp; Drivers'!$E$15*Model!DX57</f>
        <v>0</v>
      </c>
      <c r="DY58" s="82">
        <f>'Inputs &amp; Drivers'!$E$15*Model!DY57</f>
        <v>0</v>
      </c>
      <c r="DZ58" s="82">
        <f>'Inputs &amp; Drivers'!$E$15*Model!DZ57</f>
        <v>0</v>
      </c>
      <c r="EA58" s="82">
        <f>'Inputs &amp; Drivers'!$E$15*Model!EA57</f>
        <v>0</v>
      </c>
      <c r="EB58" s="82">
        <f>'Inputs &amp; Drivers'!$E$15*Model!EB57</f>
        <v>0</v>
      </c>
      <c r="EC58" s="82">
        <f>'Inputs &amp; Drivers'!$E$15*Model!EC57</f>
        <v>0</v>
      </c>
      <c r="ED58" s="82">
        <f>'Inputs &amp; Drivers'!$E$15*Model!ED57</f>
        <v>0</v>
      </c>
      <c r="EE58" s="82">
        <f>'Inputs &amp; Drivers'!$E$15*Model!EE57</f>
        <v>0</v>
      </c>
      <c r="EF58" s="82">
        <f>'Inputs &amp; Drivers'!$E$15*Model!EF57</f>
        <v>0</v>
      </c>
      <c r="EG58" s="82">
        <f>'Inputs &amp; Drivers'!$E$15*Model!EG57</f>
        <v>0</v>
      </c>
      <c r="EH58" s="82">
        <f>'Inputs &amp; Drivers'!$E$15*Model!EH57</f>
        <v>0</v>
      </c>
      <c r="EI58" s="82">
        <f>'Inputs &amp; Drivers'!$E$15*Model!EI57</f>
        <v>0</v>
      </c>
      <c r="EJ58" s="82">
        <f>'Inputs &amp; Drivers'!$E$15*Model!EJ57</f>
        <v>0</v>
      </c>
      <c r="EK58" s="82">
        <f>'Inputs &amp; Drivers'!$E$15*Model!EK57</f>
        <v>0</v>
      </c>
      <c r="EM58" s="109">
        <f t="shared" si="928"/>
        <v>-637500</v>
      </c>
      <c r="EN58" s="109">
        <f t="shared" si="928"/>
        <v>0</v>
      </c>
      <c r="EO58" s="109">
        <f t="shared" si="928"/>
        <v>0</v>
      </c>
      <c r="EP58" s="109">
        <f t="shared" si="928"/>
        <v>0</v>
      </c>
      <c r="EQ58" s="109">
        <f t="shared" si="928"/>
        <v>0</v>
      </c>
      <c r="ER58" s="109">
        <f t="shared" si="928"/>
        <v>0</v>
      </c>
      <c r="ES58" s="109">
        <f t="shared" si="928"/>
        <v>0</v>
      </c>
      <c r="ET58" s="109">
        <f t="shared" si="928"/>
        <v>0</v>
      </c>
      <c r="EU58" s="109">
        <f t="shared" si="928"/>
        <v>0</v>
      </c>
      <c r="EV58" s="109">
        <f t="shared" si="928"/>
        <v>0</v>
      </c>
      <c r="EW58" s="109">
        <f t="shared" si="928"/>
        <v>0</v>
      </c>
      <c r="EX58" s="109">
        <f t="shared" si="928"/>
        <v>0</v>
      </c>
    </row>
    <row r="59" spans="2:154" x14ac:dyDescent="0.3">
      <c r="B59" s="1" t="s">
        <v>115</v>
      </c>
      <c r="I59" s="82">
        <f>I45/'Inputs &amp; Drivers'!$J$14*(I$6='Inputs &amp; Drivers'!$J$13)</f>
        <v>0</v>
      </c>
      <c r="J59" s="82">
        <f>J45/'Inputs &amp; Drivers'!$J$14*(J$6='Inputs &amp; Drivers'!$J$13)</f>
        <v>0</v>
      </c>
      <c r="K59" s="82">
        <f>K45/'Inputs &amp; Drivers'!$J$14*(K$6='Inputs &amp; Drivers'!$J$13)</f>
        <v>0</v>
      </c>
      <c r="L59" s="82">
        <f>L45/'Inputs &amp; Drivers'!$J$14*(L$6='Inputs &amp; Drivers'!$J$13)</f>
        <v>0</v>
      </c>
      <c r="M59" s="82">
        <f>M45/'Inputs &amp; Drivers'!$J$14*(M$6='Inputs &amp; Drivers'!$J$13)</f>
        <v>0</v>
      </c>
      <c r="N59" s="82">
        <f>N45/'Inputs &amp; Drivers'!$J$14*(N$6='Inputs &amp; Drivers'!$J$13)</f>
        <v>0</v>
      </c>
      <c r="O59" s="82">
        <f>O45/'Inputs &amp; Drivers'!$J$14*(O$6='Inputs &amp; Drivers'!$J$13)</f>
        <v>0</v>
      </c>
      <c r="P59" s="82">
        <f>P45/'Inputs &amp; Drivers'!$J$14*(P$6='Inputs &amp; Drivers'!$J$13)</f>
        <v>0</v>
      </c>
      <c r="Q59" s="82">
        <f>Q45/'Inputs &amp; Drivers'!$J$14*(Q$6='Inputs &amp; Drivers'!$J$13)</f>
        <v>0</v>
      </c>
      <c r="R59" s="82">
        <f>R45/'Inputs &amp; Drivers'!$J$14*(R$6='Inputs &amp; Drivers'!$J$13)</f>
        <v>0</v>
      </c>
      <c r="S59" s="82">
        <f>S45/'Inputs &amp; Drivers'!$J$14*(S$6='Inputs &amp; Drivers'!$J$13)</f>
        <v>0</v>
      </c>
      <c r="T59" s="82">
        <f>T45/'Inputs &amp; Drivers'!$J$14*(T$6='Inputs &amp; Drivers'!$J$13)</f>
        <v>0</v>
      </c>
      <c r="U59" s="82">
        <f>U45/'Inputs &amp; Drivers'!$J$14*(U$6='Inputs &amp; Drivers'!$J$13)</f>
        <v>0</v>
      </c>
      <c r="V59" s="82">
        <f>V45/'Inputs &amp; Drivers'!$J$14*(V$6='Inputs &amp; Drivers'!$J$13)</f>
        <v>0</v>
      </c>
      <c r="W59" s="82">
        <f>W45/'Inputs &amp; Drivers'!$J$14*(W$6='Inputs &amp; Drivers'!$J$13)</f>
        <v>0</v>
      </c>
      <c r="X59" s="82">
        <f>X45/'Inputs &amp; Drivers'!$J$14*(X$6='Inputs &amp; Drivers'!$J$13)</f>
        <v>0</v>
      </c>
      <c r="Y59" s="82">
        <f>Y45/'Inputs &amp; Drivers'!$J$14*(Y$6='Inputs &amp; Drivers'!$J$13)</f>
        <v>0</v>
      </c>
      <c r="Z59" s="82">
        <f>Z45/'Inputs &amp; Drivers'!$J$14*(Z$6='Inputs &amp; Drivers'!$J$13)</f>
        <v>0</v>
      </c>
      <c r="AA59" s="82">
        <f>AA45/'Inputs &amp; Drivers'!$J$14*(AA$6='Inputs &amp; Drivers'!$J$13)</f>
        <v>0</v>
      </c>
      <c r="AB59" s="82">
        <f>AB45/'Inputs &amp; Drivers'!$J$14*(AB$6='Inputs &amp; Drivers'!$J$13)</f>
        <v>0</v>
      </c>
      <c r="AC59" s="82">
        <f>AC45/'Inputs &amp; Drivers'!$J$14*(AC$6='Inputs &amp; Drivers'!$J$13)</f>
        <v>0</v>
      </c>
      <c r="AD59" s="82">
        <f>AD45/'Inputs &amp; Drivers'!$J$14*(AD$6='Inputs &amp; Drivers'!$J$13)</f>
        <v>0</v>
      </c>
      <c r="AE59" s="82">
        <f>AE45/'Inputs &amp; Drivers'!$J$14*(AE$6='Inputs &amp; Drivers'!$J$13)</f>
        <v>0</v>
      </c>
      <c r="AF59" s="82">
        <f>AF45/'Inputs &amp; Drivers'!$J$14*(AF$6='Inputs &amp; Drivers'!$J$13)</f>
        <v>0</v>
      </c>
      <c r="AG59" s="82">
        <f>AG45/'Inputs &amp; Drivers'!$J$14*(AG$6='Inputs &amp; Drivers'!$J$13)</f>
        <v>0</v>
      </c>
      <c r="AH59" s="82">
        <f>AH45/'Inputs &amp; Drivers'!$J$14*(AH$6='Inputs &amp; Drivers'!$J$13)</f>
        <v>0</v>
      </c>
      <c r="AI59" s="82">
        <f>AI45/'Inputs &amp; Drivers'!$J$14*(AI$6='Inputs &amp; Drivers'!$J$13)</f>
        <v>0</v>
      </c>
      <c r="AJ59" s="82">
        <f>AJ45/'Inputs &amp; Drivers'!$J$14*(AJ$6='Inputs &amp; Drivers'!$J$13)</f>
        <v>0</v>
      </c>
      <c r="AK59" s="82">
        <f>AK45/'Inputs &amp; Drivers'!$J$14*(AK$6='Inputs &amp; Drivers'!$J$13)</f>
        <v>0</v>
      </c>
      <c r="AL59" s="82">
        <f>AL45/'Inputs &amp; Drivers'!$J$14*(AL$6='Inputs &amp; Drivers'!$J$13)</f>
        <v>0</v>
      </c>
      <c r="AM59" s="82">
        <f>AM45/'Inputs &amp; Drivers'!$J$14*(AM$6='Inputs &amp; Drivers'!$J$13)</f>
        <v>0</v>
      </c>
      <c r="AN59" s="82">
        <f>AN45/'Inputs &amp; Drivers'!$J$14*(AN$6='Inputs &amp; Drivers'!$J$13)</f>
        <v>0</v>
      </c>
      <c r="AO59" s="82">
        <f>AO45/'Inputs &amp; Drivers'!$J$14*(AO$6='Inputs &amp; Drivers'!$J$13)</f>
        <v>0</v>
      </c>
      <c r="AP59" s="82">
        <f>AP45/'Inputs &amp; Drivers'!$J$14*(AP$6='Inputs &amp; Drivers'!$J$13)</f>
        <v>0</v>
      </c>
      <c r="AQ59" s="82">
        <f>AQ45/'Inputs &amp; Drivers'!$J$14*(AQ$6='Inputs &amp; Drivers'!$J$13)</f>
        <v>0</v>
      </c>
      <c r="AR59" s="82">
        <f>AR45/'Inputs &amp; Drivers'!$J$14*(AR$6='Inputs &amp; Drivers'!$J$13)</f>
        <v>0</v>
      </c>
      <c r="AS59" s="82">
        <f>AS45/'Inputs &amp; Drivers'!$J$14*(AS$6='Inputs &amp; Drivers'!$J$13)</f>
        <v>0</v>
      </c>
      <c r="AT59" s="82">
        <f>AT45/'Inputs &amp; Drivers'!$J$14*(AT$6='Inputs &amp; Drivers'!$J$13)</f>
        <v>0</v>
      </c>
      <c r="AU59" s="82">
        <f>AU45/'Inputs &amp; Drivers'!$J$14*(AU$6='Inputs &amp; Drivers'!$J$13)</f>
        <v>0</v>
      </c>
      <c r="AV59" s="82">
        <f>AV45/'Inputs &amp; Drivers'!$J$14*(AV$6='Inputs &amp; Drivers'!$J$13)</f>
        <v>0</v>
      </c>
      <c r="AW59" s="82">
        <f>AW45/'Inputs &amp; Drivers'!$J$14*(AW$6='Inputs &amp; Drivers'!$J$13)</f>
        <v>0</v>
      </c>
      <c r="AX59" s="82">
        <f>AX45/'Inputs &amp; Drivers'!$J$14*(AX$6='Inputs &amp; Drivers'!$J$13)</f>
        <v>0</v>
      </c>
      <c r="AY59" s="82">
        <f>AY45/'Inputs &amp; Drivers'!$J$14*(AY$6='Inputs &amp; Drivers'!$J$13)</f>
        <v>0</v>
      </c>
      <c r="AZ59" s="82">
        <f>AZ45/'Inputs &amp; Drivers'!$J$14*(AZ$6='Inputs &amp; Drivers'!$J$13)</f>
        <v>0</v>
      </c>
      <c r="BA59" s="82">
        <f>BA45/'Inputs &amp; Drivers'!$J$14*(BA$6='Inputs &amp; Drivers'!$J$13)</f>
        <v>0</v>
      </c>
      <c r="BB59" s="82">
        <f>BB45/'Inputs &amp; Drivers'!$J$14*(BB$6='Inputs &amp; Drivers'!$J$13)</f>
        <v>0</v>
      </c>
      <c r="BC59" s="82">
        <f>BC45/'Inputs &amp; Drivers'!$J$14*(BC$6='Inputs &amp; Drivers'!$J$13)</f>
        <v>0</v>
      </c>
      <c r="BD59" s="82">
        <f>BD45/'Inputs &amp; Drivers'!$J$14*(BD$6='Inputs &amp; Drivers'!$J$13)</f>
        <v>0</v>
      </c>
      <c r="BE59" s="82">
        <f>BE45/'Inputs &amp; Drivers'!$J$14*(BE$6='Inputs &amp; Drivers'!$J$13)</f>
        <v>0</v>
      </c>
      <c r="BF59" s="82">
        <f>BF45/'Inputs &amp; Drivers'!$J$14*(BF$6='Inputs &amp; Drivers'!$J$13)</f>
        <v>0</v>
      </c>
      <c r="BG59" s="82">
        <f>BG45/'Inputs &amp; Drivers'!$J$14*(BG$6='Inputs &amp; Drivers'!$J$13)</f>
        <v>0</v>
      </c>
      <c r="BH59" s="82">
        <f>BH45/'Inputs &amp; Drivers'!$J$14*(BH$6='Inputs &amp; Drivers'!$J$13)</f>
        <v>0</v>
      </c>
      <c r="BI59" s="82">
        <f>BI45/'Inputs &amp; Drivers'!$J$14*(BI$6='Inputs &amp; Drivers'!$J$13)</f>
        <v>0</v>
      </c>
      <c r="BJ59" s="82">
        <f>BJ45/'Inputs &amp; Drivers'!$J$14*(BJ$6='Inputs &amp; Drivers'!$J$13)</f>
        <v>0</v>
      </c>
      <c r="BK59" s="82">
        <f>BK45/'Inputs &amp; Drivers'!$J$14*(BK$6='Inputs &amp; Drivers'!$J$13)</f>
        <v>0</v>
      </c>
      <c r="BL59" s="82">
        <f>BL45/'Inputs &amp; Drivers'!$J$14*(BL$6='Inputs &amp; Drivers'!$J$13)</f>
        <v>0</v>
      </c>
      <c r="BM59" s="82">
        <f>BM45/'Inputs &amp; Drivers'!$J$14*(BM$6='Inputs &amp; Drivers'!$J$13)</f>
        <v>0</v>
      </c>
      <c r="BN59" s="82">
        <f>BN45/'Inputs &amp; Drivers'!$J$14*(BN$6='Inputs &amp; Drivers'!$J$13)</f>
        <v>0</v>
      </c>
      <c r="BO59" s="82">
        <f>BO45/'Inputs &amp; Drivers'!$J$14*(BO$6='Inputs &amp; Drivers'!$J$13)</f>
        <v>0</v>
      </c>
      <c r="BP59" s="82">
        <f>BP45/'Inputs &amp; Drivers'!$J$14*(BP$6='Inputs &amp; Drivers'!$J$13)</f>
        <v>0</v>
      </c>
      <c r="BQ59" s="82">
        <f>BQ45/'Inputs &amp; Drivers'!$J$14*(BQ$6='Inputs &amp; Drivers'!$J$13)</f>
        <v>63755973.442396723</v>
      </c>
      <c r="BR59" s="82">
        <f>BR45/'Inputs &amp; Drivers'!$J$14*(BR$6='Inputs &amp; Drivers'!$J$13)</f>
        <v>0</v>
      </c>
      <c r="BS59" s="82">
        <f>BS45/'Inputs &amp; Drivers'!$J$14*(BS$6='Inputs &amp; Drivers'!$J$13)</f>
        <v>0</v>
      </c>
      <c r="BT59" s="82">
        <f>BT45/'Inputs &amp; Drivers'!$J$14*(BT$6='Inputs &amp; Drivers'!$J$13)</f>
        <v>0</v>
      </c>
      <c r="BU59" s="82">
        <f>BU45/'Inputs &amp; Drivers'!$J$14*(BU$6='Inputs &amp; Drivers'!$J$13)</f>
        <v>0</v>
      </c>
      <c r="BV59" s="82">
        <f>BV45/'Inputs &amp; Drivers'!$J$14*(BV$6='Inputs &amp; Drivers'!$J$13)</f>
        <v>0</v>
      </c>
      <c r="BW59" s="82">
        <f>BW45/'Inputs &amp; Drivers'!$J$14*(BW$6='Inputs &amp; Drivers'!$J$13)</f>
        <v>0</v>
      </c>
      <c r="BX59" s="82">
        <f>BX45/'Inputs &amp; Drivers'!$J$14*(BX$6='Inputs &amp; Drivers'!$J$13)</f>
        <v>0</v>
      </c>
      <c r="BY59" s="82">
        <f>BY45/'Inputs &amp; Drivers'!$J$14*(BY$6='Inputs &amp; Drivers'!$J$13)</f>
        <v>0</v>
      </c>
      <c r="BZ59" s="82">
        <f>BZ45/'Inputs &amp; Drivers'!$J$14*(BZ$6='Inputs &amp; Drivers'!$J$13)</f>
        <v>0</v>
      </c>
      <c r="CA59" s="82">
        <f>CA45/'Inputs &amp; Drivers'!$J$14*(CA$6='Inputs &amp; Drivers'!$J$13)</f>
        <v>0</v>
      </c>
      <c r="CB59" s="82">
        <f>CB45/'Inputs &amp; Drivers'!$J$14*(CB$6='Inputs &amp; Drivers'!$J$13)</f>
        <v>0</v>
      </c>
      <c r="CC59" s="82">
        <f>CC45/'Inputs &amp; Drivers'!$J$14*(CC$6='Inputs &amp; Drivers'!$J$13)</f>
        <v>0</v>
      </c>
      <c r="CD59" s="82">
        <f>CD45/'Inputs &amp; Drivers'!$J$14*(CD$6='Inputs &amp; Drivers'!$J$13)</f>
        <v>0</v>
      </c>
      <c r="CE59" s="82">
        <f>CE45/'Inputs &amp; Drivers'!$J$14*(CE$6='Inputs &amp; Drivers'!$J$13)</f>
        <v>0</v>
      </c>
      <c r="CF59" s="82">
        <f>CF45/'Inputs &amp; Drivers'!$J$14*(CF$6='Inputs &amp; Drivers'!$J$13)</f>
        <v>0</v>
      </c>
      <c r="CG59" s="82">
        <f>CG45/'Inputs &amp; Drivers'!$J$14*(CG$6='Inputs &amp; Drivers'!$J$13)</f>
        <v>0</v>
      </c>
      <c r="CH59" s="82">
        <f>CH45/'Inputs &amp; Drivers'!$J$14*(CH$6='Inputs &amp; Drivers'!$J$13)</f>
        <v>0</v>
      </c>
      <c r="CI59" s="82">
        <f>CI45/'Inputs &amp; Drivers'!$J$14*(CI$6='Inputs &amp; Drivers'!$J$13)</f>
        <v>0</v>
      </c>
      <c r="CJ59" s="82">
        <f>CJ45/'Inputs &amp; Drivers'!$J$14*(CJ$6='Inputs &amp; Drivers'!$J$13)</f>
        <v>0</v>
      </c>
      <c r="CK59" s="82">
        <f>CK45/'Inputs &amp; Drivers'!$J$14*(CK$6='Inputs &amp; Drivers'!$J$13)</f>
        <v>0</v>
      </c>
      <c r="CL59" s="82">
        <f>CL45/'Inputs &amp; Drivers'!$J$14*(CL$6='Inputs &amp; Drivers'!$J$13)</f>
        <v>0</v>
      </c>
      <c r="CM59" s="82">
        <f>CM45/'Inputs &amp; Drivers'!$J$14*(CM$6='Inputs &amp; Drivers'!$J$13)</f>
        <v>0</v>
      </c>
      <c r="CN59" s="82">
        <f>CN45/'Inputs &amp; Drivers'!$J$14*(CN$6='Inputs &amp; Drivers'!$J$13)</f>
        <v>0</v>
      </c>
      <c r="CO59" s="82">
        <f>CO45/'Inputs &amp; Drivers'!$J$14*(CO$6='Inputs &amp; Drivers'!$J$13)</f>
        <v>0</v>
      </c>
      <c r="CP59" s="82">
        <f>CP45/'Inputs &amp; Drivers'!$J$14*(CP$6='Inputs &amp; Drivers'!$J$13)</f>
        <v>0</v>
      </c>
      <c r="CQ59" s="82">
        <f>CQ45/'Inputs &amp; Drivers'!$J$14*(CQ$6='Inputs &amp; Drivers'!$J$13)</f>
        <v>0</v>
      </c>
      <c r="CR59" s="82">
        <f>CR45/'Inputs &amp; Drivers'!$J$14*(CR$6='Inputs &amp; Drivers'!$J$13)</f>
        <v>0</v>
      </c>
      <c r="CS59" s="82">
        <f>CS45/'Inputs &amp; Drivers'!$J$14*(CS$6='Inputs &amp; Drivers'!$J$13)</f>
        <v>0</v>
      </c>
      <c r="CT59" s="82">
        <f>CT45/'Inputs &amp; Drivers'!$J$14*(CT$6='Inputs &amp; Drivers'!$J$13)</f>
        <v>0</v>
      </c>
      <c r="CU59" s="82">
        <f>CU45/'Inputs &amp; Drivers'!$J$14*(CU$6='Inputs &amp; Drivers'!$J$13)</f>
        <v>0</v>
      </c>
      <c r="CV59" s="82">
        <f>CV45/'Inputs &amp; Drivers'!$J$14*(CV$6='Inputs &amp; Drivers'!$J$13)</f>
        <v>0</v>
      </c>
      <c r="CW59" s="82">
        <f>CW45/'Inputs &amp; Drivers'!$J$14*(CW$6='Inputs &amp; Drivers'!$J$13)</f>
        <v>0</v>
      </c>
      <c r="CX59" s="82">
        <f>CX45/'Inputs &amp; Drivers'!$J$14*(CX$6='Inputs &amp; Drivers'!$J$13)</f>
        <v>0</v>
      </c>
      <c r="CY59" s="82">
        <f>CY45/'Inputs &amp; Drivers'!$J$14*(CY$6='Inputs &amp; Drivers'!$J$13)</f>
        <v>0</v>
      </c>
      <c r="CZ59" s="82">
        <f>CZ45/'Inputs &amp; Drivers'!$J$14*(CZ$6='Inputs &amp; Drivers'!$J$13)</f>
        <v>0</v>
      </c>
      <c r="DA59" s="82">
        <f>DA45/'Inputs &amp; Drivers'!$J$14*(DA$6='Inputs &amp; Drivers'!$J$13)</f>
        <v>0</v>
      </c>
      <c r="DB59" s="82">
        <f>DB45/'Inputs &amp; Drivers'!$J$14*(DB$6='Inputs &amp; Drivers'!$J$13)</f>
        <v>0</v>
      </c>
      <c r="DC59" s="82">
        <f>DC45/'Inputs &amp; Drivers'!$J$14*(DC$6='Inputs &amp; Drivers'!$J$13)</f>
        <v>0</v>
      </c>
      <c r="DD59" s="82">
        <f>DD45/'Inputs &amp; Drivers'!$J$14*(DD$6='Inputs &amp; Drivers'!$J$13)</f>
        <v>0</v>
      </c>
      <c r="DE59" s="82">
        <f>DE45/'Inputs &amp; Drivers'!$J$14*(DE$6='Inputs &amp; Drivers'!$J$13)</f>
        <v>0</v>
      </c>
      <c r="DF59" s="82">
        <f>DF45/'Inputs &amp; Drivers'!$J$14*(DF$6='Inputs &amp; Drivers'!$J$13)</f>
        <v>0</v>
      </c>
      <c r="DG59" s="82">
        <f>DG45/'Inputs &amp; Drivers'!$J$14*(DG$6='Inputs &amp; Drivers'!$J$13)</f>
        <v>0</v>
      </c>
      <c r="DH59" s="82">
        <f>DH45/'Inputs &amp; Drivers'!$J$14*(DH$6='Inputs &amp; Drivers'!$J$13)</f>
        <v>0</v>
      </c>
      <c r="DI59" s="82">
        <f>DI45/'Inputs &amp; Drivers'!$J$14*(DI$6='Inputs &amp; Drivers'!$J$13)</f>
        <v>0</v>
      </c>
      <c r="DJ59" s="82">
        <f>DJ45/'Inputs &amp; Drivers'!$J$14*(DJ$6='Inputs &amp; Drivers'!$J$13)</f>
        <v>0</v>
      </c>
      <c r="DK59" s="82">
        <f>DK45/'Inputs &amp; Drivers'!$J$14*(DK$6='Inputs &amp; Drivers'!$J$13)</f>
        <v>0</v>
      </c>
      <c r="DL59" s="82">
        <f>DL45/'Inputs &amp; Drivers'!$J$14*(DL$6='Inputs &amp; Drivers'!$J$13)</f>
        <v>0</v>
      </c>
      <c r="DM59" s="82">
        <f>DM45/'Inputs &amp; Drivers'!$J$14*(DM$6='Inputs &amp; Drivers'!$J$13)</f>
        <v>0</v>
      </c>
      <c r="DN59" s="82">
        <f>DN45/'Inputs &amp; Drivers'!$J$14*(DN$6='Inputs &amp; Drivers'!$J$13)</f>
        <v>0</v>
      </c>
      <c r="DO59" s="82">
        <f>DO45/'Inputs &amp; Drivers'!$J$14*(DO$6='Inputs &amp; Drivers'!$J$13)</f>
        <v>0</v>
      </c>
      <c r="DP59" s="82">
        <f>DP45/'Inputs &amp; Drivers'!$J$14*(DP$6='Inputs &amp; Drivers'!$J$13)</f>
        <v>0</v>
      </c>
      <c r="DQ59" s="82">
        <f>DQ45/'Inputs &amp; Drivers'!$J$14*(DQ$6='Inputs &amp; Drivers'!$J$13)</f>
        <v>0</v>
      </c>
      <c r="DR59" s="82">
        <f>DR45/'Inputs &amp; Drivers'!$J$14*(DR$6='Inputs &amp; Drivers'!$J$13)</f>
        <v>0</v>
      </c>
      <c r="DS59" s="82">
        <f>DS45/'Inputs &amp; Drivers'!$J$14*(DS$6='Inputs &amp; Drivers'!$J$13)</f>
        <v>0</v>
      </c>
      <c r="DT59" s="82">
        <f>DT45/'Inputs &amp; Drivers'!$J$14*(DT$6='Inputs &amp; Drivers'!$J$13)</f>
        <v>0</v>
      </c>
      <c r="DU59" s="82">
        <f>DU45/'Inputs &amp; Drivers'!$J$14*(DU$6='Inputs &amp; Drivers'!$J$13)</f>
        <v>0</v>
      </c>
      <c r="DV59" s="82">
        <f>DV45/'Inputs &amp; Drivers'!$J$14*(DV$6='Inputs &amp; Drivers'!$J$13)</f>
        <v>0</v>
      </c>
      <c r="DW59" s="82">
        <f>DW45/'Inputs &amp; Drivers'!$J$14*(DW$6='Inputs &amp; Drivers'!$J$13)</f>
        <v>0</v>
      </c>
      <c r="DX59" s="82">
        <f>DX45/'Inputs &amp; Drivers'!$J$14*(DX$6='Inputs &amp; Drivers'!$J$13)</f>
        <v>0</v>
      </c>
      <c r="DY59" s="82">
        <f>DY45/'Inputs &amp; Drivers'!$J$14*(DY$6='Inputs &amp; Drivers'!$J$13)</f>
        <v>0</v>
      </c>
      <c r="DZ59" s="82">
        <f>DZ45/'Inputs &amp; Drivers'!$J$14*(DZ$6='Inputs &amp; Drivers'!$J$13)</f>
        <v>0</v>
      </c>
      <c r="EA59" s="82">
        <f>EA45/'Inputs &amp; Drivers'!$J$14*(EA$6='Inputs &amp; Drivers'!$J$13)</f>
        <v>0</v>
      </c>
      <c r="EB59" s="82">
        <f>EB45/'Inputs &amp; Drivers'!$J$14*(EB$6='Inputs &amp; Drivers'!$J$13)</f>
        <v>0</v>
      </c>
      <c r="EC59" s="82">
        <f>EC45/'Inputs &amp; Drivers'!$J$14*(EC$6='Inputs &amp; Drivers'!$J$13)</f>
        <v>0</v>
      </c>
      <c r="ED59" s="82">
        <f>ED45/'Inputs &amp; Drivers'!$J$14*(ED$6='Inputs &amp; Drivers'!$J$13)</f>
        <v>0</v>
      </c>
      <c r="EE59" s="82">
        <f>EE45/'Inputs &amp; Drivers'!$J$14*(EE$6='Inputs &amp; Drivers'!$J$13)</f>
        <v>0</v>
      </c>
      <c r="EF59" s="82">
        <f>EF45/'Inputs &amp; Drivers'!$J$14*(EF$6='Inputs &amp; Drivers'!$J$13)</f>
        <v>0</v>
      </c>
      <c r="EG59" s="82">
        <f>EG45/'Inputs &amp; Drivers'!$J$14*(EG$6='Inputs &amp; Drivers'!$J$13)</f>
        <v>0</v>
      </c>
      <c r="EH59" s="82">
        <f>EH45/'Inputs &amp; Drivers'!$J$14*(EH$6='Inputs &amp; Drivers'!$J$13)</f>
        <v>0</v>
      </c>
      <c r="EI59" s="82">
        <f>EI45/'Inputs &amp; Drivers'!$J$14*(EI$6='Inputs &amp; Drivers'!$J$13)</f>
        <v>0</v>
      </c>
      <c r="EJ59" s="82">
        <f>EJ45/'Inputs &amp; Drivers'!$J$14*(EJ$6='Inputs &amp; Drivers'!$J$13)</f>
        <v>0</v>
      </c>
      <c r="EK59" s="82">
        <f>EK45/'Inputs &amp; Drivers'!$J$14*(EK$6='Inputs &amp; Drivers'!$J$13)</f>
        <v>0</v>
      </c>
      <c r="EM59" s="109">
        <f t="shared" si="928"/>
        <v>0</v>
      </c>
      <c r="EN59" s="109">
        <f t="shared" si="928"/>
        <v>0</v>
      </c>
      <c r="EO59" s="109">
        <f t="shared" si="928"/>
        <v>0</v>
      </c>
      <c r="EP59" s="109">
        <f t="shared" si="928"/>
        <v>0</v>
      </c>
      <c r="EQ59" s="109">
        <f t="shared" si="928"/>
        <v>0</v>
      </c>
      <c r="ER59" s="109">
        <f t="shared" si="928"/>
        <v>63755973.442396723</v>
      </c>
      <c r="ES59" s="109">
        <f t="shared" si="928"/>
        <v>0</v>
      </c>
      <c r="ET59" s="109">
        <f t="shared" si="928"/>
        <v>0</v>
      </c>
      <c r="EU59" s="109">
        <f t="shared" si="928"/>
        <v>0</v>
      </c>
      <c r="EV59" s="109">
        <f t="shared" si="928"/>
        <v>0</v>
      </c>
      <c r="EW59" s="109">
        <f t="shared" si="928"/>
        <v>0</v>
      </c>
      <c r="EX59" s="109">
        <f t="shared" si="928"/>
        <v>0</v>
      </c>
    </row>
    <row r="60" spans="2:154" x14ac:dyDescent="0.3">
      <c r="B60" s="1" t="s">
        <v>54</v>
      </c>
      <c r="I60" s="88">
        <f>-'Inputs &amp; Drivers'!$J$16*I59</f>
        <v>0</v>
      </c>
      <c r="J60" s="88">
        <f>-'Inputs &amp; Drivers'!$J$16*J59</f>
        <v>0</v>
      </c>
      <c r="K60" s="88">
        <f>-'Inputs &amp; Drivers'!$J$16*K59</f>
        <v>0</v>
      </c>
      <c r="L60" s="88">
        <f>-'Inputs &amp; Drivers'!$J$16*L59</f>
        <v>0</v>
      </c>
      <c r="M60" s="88">
        <f>-'Inputs &amp; Drivers'!$J$16*M59</f>
        <v>0</v>
      </c>
      <c r="N60" s="88">
        <f>-'Inputs &amp; Drivers'!$J$16*N59</f>
        <v>0</v>
      </c>
      <c r="O60" s="88">
        <f>-'Inputs &amp; Drivers'!$J$16*O59</f>
        <v>0</v>
      </c>
      <c r="P60" s="88">
        <f>-'Inputs &amp; Drivers'!$J$16*P59</f>
        <v>0</v>
      </c>
      <c r="Q60" s="88">
        <f>-'Inputs &amp; Drivers'!$J$16*Q59</f>
        <v>0</v>
      </c>
      <c r="R60" s="88">
        <f>-'Inputs &amp; Drivers'!$J$16*R59</f>
        <v>0</v>
      </c>
      <c r="S60" s="88">
        <f>-'Inputs &amp; Drivers'!$J$16*S59</f>
        <v>0</v>
      </c>
      <c r="T60" s="88">
        <f>-'Inputs &amp; Drivers'!$J$16*T59</f>
        <v>0</v>
      </c>
      <c r="U60" s="88">
        <f>-'Inputs &amp; Drivers'!$J$16*U59</f>
        <v>0</v>
      </c>
      <c r="V60" s="88">
        <f>-'Inputs &amp; Drivers'!$J$16*V59</f>
        <v>0</v>
      </c>
      <c r="W60" s="88">
        <f>-'Inputs &amp; Drivers'!$J$16*W59</f>
        <v>0</v>
      </c>
      <c r="X60" s="88">
        <f>-'Inputs &amp; Drivers'!$J$16*X59</f>
        <v>0</v>
      </c>
      <c r="Y60" s="88">
        <f>-'Inputs &amp; Drivers'!$J$16*Y59</f>
        <v>0</v>
      </c>
      <c r="Z60" s="88">
        <f>-'Inputs &amp; Drivers'!$J$16*Z59</f>
        <v>0</v>
      </c>
      <c r="AA60" s="88">
        <f>-'Inputs &amp; Drivers'!$J$16*AA59</f>
        <v>0</v>
      </c>
      <c r="AB60" s="88">
        <f>-'Inputs &amp; Drivers'!$J$16*AB59</f>
        <v>0</v>
      </c>
      <c r="AC60" s="88">
        <f>-'Inputs &amp; Drivers'!$J$16*AC59</f>
        <v>0</v>
      </c>
      <c r="AD60" s="88">
        <f>-'Inputs &amp; Drivers'!$J$16*AD59</f>
        <v>0</v>
      </c>
      <c r="AE60" s="88">
        <f>-'Inputs &amp; Drivers'!$J$16*AE59</f>
        <v>0</v>
      </c>
      <c r="AF60" s="88">
        <f>-'Inputs &amp; Drivers'!$J$16*AF59</f>
        <v>0</v>
      </c>
      <c r="AG60" s="88">
        <f>-'Inputs &amp; Drivers'!$J$16*AG59</f>
        <v>0</v>
      </c>
      <c r="AH60" s="88">
        <f>-'Inputs &amp; Drivers'!$J$16*AH59</f>
        <v>0</v>
      </c>
      <c r="AI60" s="88">
        <f>-'Inputs &amp; Drivers'!$J$16*AI59</f>
        <v>0</v>
      </c>
      <c r="AJ60" s="88">
        <f>-'Inputs &amp; Drivers'!$J$16*AJ59</f>
        <v>0</v>
      </c>
      <c r="AK60" s="88">
        <f>-'Inputs &amp; Drivers'!$J$16*AK59</f>
        <v>0</v>
      </c>
      <c r="AL60" s="88">
        <f>-'Inputs &amp; Drivers'!$J$16*AL59</f>
        <v>0</v>
      </c>
      <c r="AM60" s="88">
        <f>-'Inputs &amp; Drivers'!$J$16*AM59</f>
        <v>0</v>
      </c>
      <c r="AN60" s="88">
        <f>-'Inputs &amp; Drivers'!$J$16*AN59</f>
        <v>0</v>
      </c>
      <c r="AO60" s="88">
        <f>-'Inputs &amp; Drivers'!$J$16*AO59</f>
        <v>0</v>
      </c>
      <c r="AP60" s="88">
        <f>-'Inputs &amp; Drivers'!$J$16*AP59</f>
        <v>0</v>
      </c>
      <c r="AQ60" s="88">
        <f>-'Inputs &amp; Drivers'!$J$16*AQ59</f>
        <v>0</v>
      </c>
      <c r="AR60" s="88">
        <f>-'Inputs &amp; Drivers'!$J$16*AR59</f>
        <v>0</v>
      </c>
      <c r="AS60" s="88">
        <f>-'Inputs &amp; Drivers'!$J$16*AS59</f>
        <v>0</v>
      </c>
      <c r="AT60" s="88">
        <f>-'Inputs &amp; Drivers'!$J$16*AT59</f>
        <v>0</v>
      </c>
      <c r="AU60" s="88">
        <f>-'Inputs &amp; Drivers'!$J$16*AU59</f>
        <v>0</v>
      </c>
      <c r="AV60" s="88">
        <f>-'Inputs &amp; Drivers'!$J$16*AV59</f>
        <v>0</v>
      </c>
      <c r="AW60" s="88">
        <f>-'Inputs &amp; Drivers'!$J$16*AW59</f>
        <v>0</v>
      </c>
      <c r="AX60" s="88">
        <f>-'Inputs &amp; Drivers'!$J$16*AX59</f>
        <v>0</v>
      </c>
      <c r="AY60" s="88">
        <f>-'Inputs &amp; Drivers'!$J$16*AY59</f>
        <v>0</v>
      </c>
      <c r="AZ60" s="88">
        <f>-'Inputs &amp; Drivers'!$J$16*AZ59</f>
        <v>0</v>
      </c>
      <c r="BA60" s="88">
        <f>-'Inputs &amp; Drivers'!$J$16*BA59</f>
        <v>0</v>
      </c>
      <c r="BB60" s="88">
        <f>-'Inputs &amp; Drivers'!$J$16*BB59</f>
        <v>0</v>
      </c>
      <c r="BC60" s="88">
        <f>-'Inputs &amp; Drivers'!$J$16*BC59</f>
        <v>0</v>
      </c>
      <c r="BD60" s="88">
        <f>-'Inputs &amp; Drivers'!$J$16*BD59</f>
        <v>0</v>
      </c>
      <c r="BE60" s="88">
        <f>-'Inputs &amp; Drivers'!$J$16*BE59</f>
        <v>0</v>
      </c>
      <c r="BF60" s="88">
        <f>-'Inputs &amp; Drivers'!$J$16*BF59</f>
        <v>0</v>
      </c>
      <c r="BG60" s="88">
        <f>-'Inputs &amp; Drivers'!$J$16*BG59</f>
        <v>0</v>
      </c>
      <c r="BH60" s="88">
        <f>-'Inputs &amp; Drivers'!$J$16*BH59</f>
        <v>0</v>
      </c>
      <c r="BI60" s="88">
        <f>-'Inputs &amp; Drivers'!$J$16*BI59</f>
        <v>0</v>
      </c>
      <c r="BJ60" s="88">
        <f>-'Inputs &amp; Drivers'!$J$16*BJ59</f>
        <v>0</v>
      </c>
      <c r="BK60" s="88">
        <f>-'Inputs &amp; Drivers'!$J$16*BK59</f>
        <v>0</v>
      </c>
      <c r="BL60" s="88">
        <f>-'Inputs &amp; Drivers'!$J$16*BL59</f>
        <v>0</v>
      </c>
      <c r="BM60" s="88">
        <f>-'Inputs &amp; Drivers'!$J$16*BM59</f>
        <v>0</v>
      </c>
      <c r="BN60" s="88">
        <f>-'Inputs &amp; Drivers'!$J$16*BN59</f>
        <v>0</v>
      </c>
      <c r="BO60" s="88">
        <f>-'Inputs &amp; Drivers'!$J$16*BO59</f>
        <v>0</v>
      </c>
      <c r="BP60" s="88">
        <f>-'Inputs &amp; Drivers'!$J$16*BP59</f>
        <v>0</v>
      </c>
      <c r="BQ60" s="88">
        <f>-'Inputs &amp; Drivers'!$J$16*BQ59</f>
        <v>-796949.66802995908</v>
      </c>
      <c r="BR60" s="88">
        <f>-'Inputs &amp; Drivers'!$J$16*BR59</f>
        <v>0</v>
      </c>
      <c r="BS60" s="88">
        <f>-'Inputs &amp; Drivers'!$J$16*BS59</f>
        <v>0</v>
      </c>
      <c r="BT60" s="88">
        <f>-'Inputs &amp; Drivers'!$J$16*BT59</f>
        <v>0</v>
      </c>
      <c r="BU60" s="88">
        <f>-'Inputs &amp; Drivers'!$J$16*BU59</f>
        <v>0</v>
      </c>
      <c r="BV60" s="88">
        <f>-'Inputs &amp; Drivers'!$J$16*BV59</f>
        <v>0</v>
      </c>
      <c r="BW60" s="88">
        <f>-'Inputs &amp; Drivers'!$J$16*BW59</f>
        <v>0</v>
      </c>
      <c r="BX60" s="88">
        <f>-'Inputs &amp; Drivers'!$J$16*BX59</f>
        <v>0</v>
      </c>
      <c r="BY60" s="88">
        <f>-'Inputs &amp; Drivers'!$J$16*BY59</f>
        <v>0</v>
      </c>
      <c r="BZ60" s="88">
        <f>-'Inputs &amp; Drivers'!$J$16*BZ59</f>
        <v>0</v>
      </c>
      <c r="CA60" s="88">
        <f>-'Inputs &amp; Drivers'!$J$16*CA59</f>
        <v>0</v>
      </c>
      <c r="CB60" s="88">
        <f>-'Inputs &amp; Drivers'!$J$16*CB59</f>
        <v>0</v>
      </c>
      <c r="CC60" s="88">
        <f>-'Inputs &amp; Drivers'!$J$16*CC59</f>
        <v>0</v>
      </c>
      <c r="CD60" s="88">
        <f>-'Inputs &amp; Drivers'!$J$16*CD59</f>
        <v>0</v>
      </c>
      <c r="CE60" s="88">
        <f>-'Inputs &amp; Drivers'!$J$16*CE59</f>
        <v>0</v>
      </c>
      <c r="CF60" s="88">
        <f>-'Inputs &amp; Drivers'!$J$16*CF59</f>
        <v>0</v>
      </c>
      <c r="CG60" s="88">
        <f>-'Inputs &amp; Drivers'!$J$16*CG59</f>
        <v>0</v>
      </c>
      <c r="CH60" s="88">
        <f>-'Inputs &amp; Drivers'!$J$16*CH59</f>
        <v>0</v>
      </c>
      <c r="CI60" s="88">
        <f>-'Inputs &amp; Drivers'!$J$16*CI59</f>
        <v>0</v>
      </c>
      <c r="CJ60" s="88">
        <f>-'Inputs &amp; Drivers'!$J$16*CJ59</f>
        <v>0</v>
      </c>
      <c r="CK60" s="88">
        <f>-'Inputs &amp; Drivers'!$J$16*CK59</f>
        <v>0</v>
      </c>
      <c r="CL60" s="88">
        <f>-'Inputs &amp; Drivers'!$J$16*CL59</f>
        <v>0</v>
      </c>
      <c r="CM60" s="88">
        <f>-'Inputs &amp; Drivers'!$J$16*CM59</f>
        <v>0</v>
      </c>
      <c r="CN60" s="88">
        <f>-'Inputs &amp; Drivers'!$J$16*CN59</f>
        <v>0</v>
      </c>
      <c r="CO60" s="88">
        <f>-'Inputs &amp; Drivers'!$J$16*CO59</f>
        <v>0</v>
      </c>
      <c r="CP60" s="88">
        <f>-'Inputs &amp; Drivers'!$J$16*CP59</f>
        <v>0</v>
      </c>
      <c r="CQ60" s="88">
        <f>-'Inputs &amp; Drivers'!$J$16*CQ59</f>
        <v>0</v>
      </c>
      <c r="CR60" s="88">
        <f>-'Inputs &amp; Drivers'!$J$16*CR59</f>
        <v>0</v>
      </c>
      <c r="CS60" s="88">
        <f>-'Inputs &amp; Drivers'!$J$16*CS59</f>
        <v>0</v>
      </c>
      <c r="CT60" s="88">
        <f>-'Inputs &amp; Drivers'!$J$16*CT59</f>
        <v>0</v>
      </c>
      <c r="CU60" s="88">
        <f>-'Inputs &amp; Drivers'!$J$16*CU59</f>
        <v>0</v>
      </c>
      <c r="CV60" s="88">
        <f>-'Inputs &amp; Drivers'!$J$16*CV59</f>
        <v>0</v>
      </c>
      <c r="CW60" s="88">
        <f>-'Inputs &amp; Drivers'!$J$16*CW59</f>
        <v>0</v>
      </c>
      <c r="CX60" s="88">
        <f>-'Inputs &amp; Drivers'!$J$16*CX59</f>
        <v>0</v>
      </c>
      <c r="CY60" s="88">
        <f>-'Inputs &amp; Drivers'!$J$16*CY59</f>
        <v>0</v>
      </c>
      <c r="CZ60" s="88">
        <f>-'Inputs &amp; Drivers'!$J$16*CZ59</f>
        <v>0</v>
      </c>
      <c r="DA60" s="88">
        <f>-'Inputs &amp; Drivers'!$J$16*DA59</f>
        <v>0</v>
      </c>
      <c r="DB60" s="88">
        <f>-'Inputs &amp; Drivers'!$J$16*DB59</f>
        <v>0</v>
      </c>
      <c r="DC60" s="88">
        <f>-'Inputs &amp; Drivers'!$J$16*DC59</f>
        <v>0</v>
      </c>
      <c r="DD60" s="88">
        <f>-'Inputs &amp; Drivers'!$J$16*DD59</f>
        <v>0</v>
      </c>
      <c r="DE60" s="88">
        <f>-'Inputs &amp; Drivers'!$J$16*DE59</f>
        <v>0</v>
      </c>
      <c r="DF60" s="88">
        <f>-'Inputs &amp; Drivers'!$J$16*DF59</f>
        <v>0</v>
      </c>
      <c r="DG60" s="88">
        <f>-'Inputs &amp; Drivers'!$J$16*DG59</f>
        <v>0</v>
      </c>
      <c r="DH60" s="88">
        <f>-'Inputs &amp; Drivers'!$J$16*DH59</f>
        <v>0</v>
      </c>
      <c r="DI60" s="88">
        <f>-'Inputs &amp; Drivers'!$J$16*DI59</f>
        <v>0</v>
      </c>
      <c r="DJ60" s="88">
        <f>-'Inputs &amp; Drivers'!$J$16*DJ59</f>
        <v>0</v>
      </c>
      <c r="DK60" s="88">
        <f>-'Inputs &amp; Drivers'!$J$16*DK59</f>
        <v>0</v>
      </c>
      <c r="DL60" s="88">
        <f>-'Inputs &amp; Drivers'!$J$16*DL59</f>
        <v>0</v>
      </c>
      <c r="DM60" s="88">
        <f>-'Inputs &amp; Drivers'!$J$16*DM59</f>
        <v>0</v>
      </c>
      <c r="DN60" s="88">
        <f>-'Inputs &amp; Drivers'!$J$16*DN59</f>
        <v>0</v>
      </c>
      <c r="DO60" s="88">
        <f>-'Inputs &amp; Drivers'!$J$16*DO59</f>
        <v>0</v>
      </c>
      <c r="DP60" s="88">
        <f>-'Inputs &amp; Drivers'!$J$16*DP59</f>
        <v>0</v>
      </c>
      <c r="DQ60" s="88">
        <f>-'Inputs &amp; Drivers'!$J$16*DQ59</f>
        <v>0</v>
      </c>
      <c r="DR60" s="88">
        <f>-'Inputs &amp; Drivers'!$J$16*DR59</f>
        <v>0</v>
      </c>
      <c r="DS60" s="88">
        <f>-'Inputs &amp; Drivers'!$J$16*DS59</f>
        <v>0</v>
      </c>
      <c r="DT60" s="88">
        <f>-'Inputs &amp; Drivers'!$J$16*DT59</f>
        <v>0</v>
      </c>
      <c r="DU60" s="88">
        <f>-'Inputs &amp; Drivers'!$J$16*DU59</f>
        <v>0</v>
      </c>
      <c r="DV60" s="88">
        <f>-'Inputs &amp; Drivers'!$J$16*DV59</f>
        <v>0</v>
      </c>
      <c r="DW60" s="88">
        <f>-'Inputs &amp; Drivers'!$J$16*DW59</f>
        <v>0</v>
      </c>
      <c r="DX60" s="88">
        <f>-'Inputs &amp; Drivers'!$J$16*DX59</f>
        <v>0</v>
      </c>
      <c r="DY60" s="88">
        <f>-'Inputs &amp; Drivers'!$J$16*DY59</f>
        <v>0</v>
      </c>
      <c r="DZ60" s="88">
        <f>-'Inputs &amp; Drivers'!$J$16*DZ59</f>
        <v>0</v>
      </c>
      <c r="EA60" s="88">
        <f>-'Inputs &amp; Drivers'!$J$16*EA59</f>
        <v>0</v>
      </c>
      <c r="EB60" s="88">
        <f>-'Inputs &amp; Drivers'!$J$16*EB59</f>
        <v>0</v>
      </c>
      <c r="EC60" s="88">
        <f>-'Inputs &amp; Drivers'!$J$16*EC59</f>
        <v>0</v>
      </c>
      <c r="ED60" s="88">
        <f>-'Inputs &amp; Drivers'!$J$16*ED59</f>
        <v>0</v>
      </c>
      <c r="EE60" s="88">
        <f>-'Inputs &amp; Drivers'!$J$16*EE59</f>
        <v>0</v>
      </c>
      <c r="EF60" s="88">
        <f>-'Inputs &amp; Drivers'!$J$16*EF59</f>
        <v>0</v>
      </c>
      <c r="EG60" s="88">
        <f>-'Inputs &amp; Drivers'!$J$16*EG59</f>
        <v>0</v>
      </c>
      <c r="EH60" s="88">
        <f>-'Inputs &amp; Drivers'!$J$16*EH59</f>
        <v>0</v>
      </c>
      <c r="EI60" s="88">
        <f>-'Inputs &amp; Drivers'!$J$16*EI59</f>
        <v>0</v>
      </c>
      <c r="EJ60" s="88">
        <f>-'Inputs &amp; Drivers'!$J$16*EJ59</f>
        <v>0</v>
      </c>
      <c r="EK60" s="88">
        <f>-'Inputs &amp; Drivers'!$J$16*EK59</f>
        <v>0</v>
      </c>
      <c r="EM60" s="109">
        <f t="shared" si="928"/>
        <v>0</v>
      </c>
      <c r="EN60" s="109">
        <f t="shared" si="928"/>
        <v>0</v>
      </c>
      <c r="EO60" s="109">
        <f t="shared" si="928"/>
        <v>0</v>
      </c>
      <c r="EP60" s="109">
        <f t="shared" si="928"/>
        <v>0</v>
      </c>
      <c r="EQ60" s="109">
        <f t="shared" si="928"/>
        <v>0</v>
      </c>
      <c r="ER60" s="109">
        <f t="shared" si="928"/>
        <v>-796949.66802995908</v>
      </c>
      <c r="ES60" s="109">
        <f t="shared" si="928"/>
        <v>0</v>
      </c>
      <c r="ET60" s="109">
        <f t="shared" si="928"/>
        <v>0</v>
      </c>
      <c r="EU60" s="109">
        <f t="shared" si="928"/>
        <v>0</v>
      </c>
      <c r="EV60" s="109">
        <f t="shared" si="928"/>
        <v>0</v>
      </c>
      <c r="EW60" s="109">
        <f t="shared" si="928"/>
        <v>0</v>
      </c>
      <c r="EX60" s="109">
        <f t="shared" si="928"/>
        <v>0</v>
      </c>
    </row>
    <row r="61" spans="2:154" x14ac:dyDescent="0.3">
      <c r="B61" s="8" t="s">
        <v>116</v>
      </c>
      <c r="C61" s="8"/>
      <c r="D61" s="8"/>
      <c r="E61" s="8"/>
      <c r="F61" s="8"/>
      <c r="G61" s="3"/>
      <c r="H61" s="3"/>
      <c r="I61" s="46">
        <f>SUM(I57:I60)</f>
        <v>-51637500</v>
      </c>
      <c r="J61" s="46">
        <f t="shared" ref="J61:L61" si="929">SUM(J57:J60)</f>
        <v>0</v>
      </c>
      <c r="K61" s="46">
        <f t="shared" si="929"/>
        <v>0</v>
      </c>
      <c r="L61" s="46">
        <f t="shared" si="929"/>
        <v>0</v>
      </c>
      <c r="M61" s="46">
        <f t="shared" ref="M61" si="930">SUM(M57:M60)</f>
        <v>0</v>
      </c>
      <c r="N61" s="46">
        <f t="shared" ref="N61" si="931">SUM(N57:N60)</f>
        <v>0</v>
      </c>
      <c r="O61" s="46">
        <f t="shared" ref="O61" si="932">SUM(O57:O60)</f>
        <v>0</v>
      </c>
      <c r="P61" s="46">
        <f t="shared" ref="P61" si="933">SUM(P57:P60)</f>
        <v>0</v>
      </c>
      <c r="Q61" s="46">
        <f t="shared" ref="Q61" si="934">SUM(Q57:Q60)</f>
        <v>0</v>
      </c>
      <c r="R61" s="46">
        <f t="shared" ref="R61" si="935">SUM(R57:R60)</f>
        <v>0</v>
      </c>
      <c r="S61" s="46">
        <f t="shared" ref="S61" si="936">SUM(S57:S60)</f>
        <v>0</v>
      </c>
      <c r="T61" s="46">
        <f t="shared" ref="T61" si="937">SUM(T57:T60)</f>
        <v>0</v>
      </c>
      <c r="U61" s="46">
        <f t="shared" ref="U61" si="938">SUM(U57:U60)</f>
        <v>0</v>
      </c>
      <c r="V61" s="46">
        <f t="shared" ref="V61" si="939">SUM(V57:V60)</f>
        <v>0</v>
      </c>
      <c r="W61" s="46">
        <f t="shared" ref="W61" si="940">SUM(W57:W60)</f>
        <v>0</v>
      </c>
      <c r="X61" s="46">
        <f t="shared" ref="X61" si="941">SUM(X57:X60)</f>
        <v>0</v>
      </c>
      <c r="Y61" s="46">
        <f t="shared" ref="Y61" si="942">SUM(Y57:Y60)</f>
        <v>0</v>
      </c>
      <c r="Z61" s="46">
        <f t="shared" ref="Z61" si="943">SUM(Z57:Z60)</f>
        <v>0</v>
      </c>
      <c r="AA61" s="46">
        <f t="shared" ref="AA61" si="944">SUM(AA57:AA60)</f>
        <v>0</v>
      </c>
      <c r="AB61" s="46">
        <f t="shared" ref="AB61" si="945">SUM(AB57:AB60)</f>
        <v>0</v>
      </c>
      <c r="AC61" s="46">
        <f t="shared" ref="AC61" si="946">SUM(AC57:AC60)</f>
        <v>0</v>
      </c>
      <c r="AD61" s="46">
        <f t="shared" ref="AD61" si="947">SUM(AD57:AD60)</f>
        <v>0</v>
      </c>
      <c r="AE61" s="46">
        <f t="shared" ref="AE61" si="948">SUM(AE57:AE60)</f>
        <v>0</v>
      </c>
      <c r="AF61" s="46">
        <f t="shared" ref="AF61" si="949">SUM(AF57:AF60)</f>
        <v>0</v>
      </c>
      <c r="AG61" s="46">
        <f t="shared" ref="AG61" si="950">SUM(AG57:AG60)</f>
        <v>0</v>
      </c>
      <c r="AH61" s="46">
        <f t="shared" ref="AH61" si="951">SUM(AH57:AH60)</f>
        <v>0</v>
      </c>
      <c r="AI61" s="46">
        <f t="shared" ref="AI61" si="952">SUM(AI57:AI60)</f>
        <v>0</v>
      </c>
      <c r="AJ61" s="46">
        <f t="shared" ref="AJ61" si="953">SUM(AJ57:AJ60)</f>
        <v>0</v>
      </c>
      <c r="AK61" s="46">
        <f t="shared" ref="AK61" si="954">SUM(AK57:AK60)</f>
        <v>0</v>
      </c>
      <c r="AL61" s="46">
        <f t="shared" ref="AL61" si="955">SUM(AL57:AL60)</f>
        <v>0</v>
      </c>
      <c r="AM61" s="46">
        <f t="shared" ref="AM61" si="956">SUM(AM57:AM60)</f>
        <v>0</v>
      </c>
      <c r="AN61" s="46">
        <f t="shared" ref="AN61" si="957">SUM(AN57:AN60)</f>
        <v>0</v>
      </c>
      <c r="AO61" s="46">
        <f t="shared" ref="AO61" si="958">SUM(AO57:AO60)</f>
        <v>0</v>
      </c>
      <c r="AP61" s="46">
        <f t="shared" ref="AP61" si="959">SUM(AP57:AP60)</f>
        <v>0</v>
      </c>
      <c r="AQ61" s="46">
        <f t="shared" ref="AQ61" si="960">SUM(AQ57:AQ60)</f>
        <v>0</v>
      </c>
      <c r="AR61" s="46">
        <f t="shared" ref="AR61" si="961">SUM(AR57:AR60)</f>
        <v>0</v>
      </c>
      <c r="AS61" s="46">
        <f t="shared" ref="AS61" si="962">SUM(AS57:AS60)</f>
        <v>0</v>
      </c>
      <c r="AT61" s="46">
        <f t="shared" ref="AT61" si="963">SUM(AT57:AT60)</f>
        <v>0</v>
      </c>
      <c r="AU61" s="46">
        <f t="shared" ref="AU61" si="964">SUM(AU57:AU60)</f>
        <v>0</v>
      </c>
      <c r="AV61" s="46">
        <f t="shared" ref="AV61" si="965">SUM(AV57:AV60)</f>
        <v>0</v>
      </c>
      <c r="AW61" s="46">
        <f t="shared" ref="AW61" si="966">SUM(AW57:AW60)</f>
        <v>0</v>
      </c>
      <c r="AX61" s="46">
        <f t="shared" ref="AX61" si="967">SUM(AX57:AX60)</f>
        <v>0</v>
      </c>
      <c r="AY61" s="46">
        <f t="shared" ref="AY61" si="968">SUM(AY57:AY60)</f>
        <v>0</v>
      </c>
      <c r="AZ61" s="46">
        <f t="shared" ref="AZ61" si="969">SUM(AZ57:AZ60)</f>
        <v>0</v>
      </c>
      <c r="BA61" s="46">
        <f t="shared" ref="BA61" si="970">SUM(BA57:BA60)</f>
        <v>0</v>
      </c>
      <c r="BB61" s="46">
        <f t="shared" ref="BB61" si="971">SUM(BB57:BB60)</f>
        <v>0</v>
      </c>
      <c r="BC61" s="46">
        <f t="shared" ref="BC61" si="972">SUM(BC57:BC60)</f>
        <v>0</v>
      </c>
      <c r="BD61" s="46">
        <f t="shared" ref="BD61" si="973">SUM(BD57:BD60)</f>
        <v>0</v>
      </c>
      <c r="BE61" s="46">
        <f t="shared" ref="BE61" si="974">SUM(BE57:BE60)</f>
        <v>0</v>
      </c>
      <c r="BF61" s="46">
        <f t="shared" ref="BF61" si="975">SUM(BF57:BF60)</f>
        <v>0</v>
      </c>
      <c r="BG61" s="46">
        <f t="shared" ref="BG61" si="976">SUM(BG57:BG60)</f>
        <v>0</v>
      </c>
      <c r="BH61" s="46">
        <f t="shared" ref="BH61" si="977">SUM(BH57:BH60)</f>
        <v>0</v>
      </c>
      <c r="BI61" s="46">
        <f t="shared" ref="BI61" si="978">SUM(BI57:BI60)</f>
        <v>0</v>
      </c>
      <c r="BJ61" s="46">
        <f t="shared" ref="BJ61" si="979">SUM(BJ57:BJ60)</f>
        <v>0</v>
      </c>
      <c r="BK61" s="46">
        <f t="shared" ref="BK61" si="980">SUM(BK57:BK60)</f>
        <v>0</v>
      </c>
      <c r="BL61" s="46">
        <f t="shared" ref="BL61" si="981">SUM(BL57:BL60)</f>
        <v>0</v>
      </c>
      <c r="BM61" s="46">
        <f t="shared" ref="BM61" si="982">SUM(BM57:BM60)</f>
        <v>0</v>
      </c>
      <c r="BN61" s="46">
        <f t="shared" ref="BN61" si="983">SUM(BN57:BN60)</f>
        <v>0</v>
      </c>
      <c r="BO61" s="46">
        <f t="shared" ref="BO61" si="984">SUM(BO57:BO60)</f>
        <v>0</v>
      </c>
      <c r="BP61" s="46">
        <f t="shared" ref="BP61" si="985">SUM(BP57:BP60)</f>
        <v>0</v>
      </c>
      <c r="BQ61" s="46">
        <f t="shared" ref="BQ61" si="986">SUM(BQ57:BQ60)</f>
        <v>62959023.774366766</v>
      </c>
      <c r="BR61" s="46">
        <f t="shared" ref="BR61" si="987">SUM(BR57:BR60)</f>
        <v>0</v>
      </c>
      <c r="BS61" s="46">
        <f t="shared" ref="BS61" si="988">SUM(BS57:BS60)</f>
        <v>0</v>
      </c>
      <c r="BT61" s="46">
        <f t="shared" ref="BT61" si="989">SUM(BT57:BT60)</f>
        <v>0</v>
      </c>
      <c r="BU61" s="46">
        <f t="shared" ref="BU61" si="990">SUM(BU57:BU60)</f>
        <v>0</v>
      </c>
      <c r="BV61" s="46">
        <f t="shared" ref="BV61" si="991">SUM(BV57:BV60)</f>
        <v>0</v>
      </c>
      <c r="BW61" s="46">
        <f t="shared" ref="BW61" si="992">SUM(BW57:BW60)</f>
        <v>0</v>
      </c>
      <c r="BX61" s="46">
        <f t="shared" ref="BX61" si="993">SUM(BX57:BX60)</f>
        <v>0</v>
      </c>
      <c r="BY61" s="46">
        <f t="shared" ref="BY61" si="994">SUM(BY57:BY60)</f>
        <v>0</v>
      </c>
      <c r="BZ61" s="46">
        <f t="shared" ref="BZ61" si="995">SUM(BZ57:BZ60)</f>
        <v>0</v>
      </c>
      <c r="CA61" s="46">
        <f t="shared" ref="CA61" si="996">SUM(CA57:CA60)</f>
        <v>0</v>
      </c>
      <c r="CB61" s="46">
        <f t="shared" ref="CB61" si="997">SUM(CB57:CB60)</f>
        <v>0</v>
      </c>
      <c r="CC61" s="46">
        <f t="shared" ref="CC61" si="998">SUM(CC57:CC60)</f>
        <v>0</v>
      </c>
      <c r="CD61" s="46">
        <f t="shared" ref="CD61" si="999">SUM(CD57:CD60)</f>
        <v>0</v>
      </c>
      <c r="CE61" s="46">
        <f t="shared" ref="CE61" si="1000">SUM(CE57:CE60)</f>
        <v>0</v>
      </c>
      <c r="CF61" s="46">
        <f t="shared" ref="CF61" si="1001">SUM(CF57:CF60)</f>
        <v>0</v>
      </c>
      <c r="CG61" s="46">
        <f t="shared" ref="CG61" si="1002">SUM(CG57:CG60)</f>
        <v>0</v>
      </c>
      <c r="CH61" s="46">
        <f t="shared" ref="CH61" si="1003">SUM(CH57:CH60)</f>
        <v>0</v>
      </c>
      <c r="CI61" s="46">
        <f t="shared" ref="CI61" si="1004">SUM(CI57:CI60)</f>
        <v>0</v>
      </c>
      <c r="CJ61" s="46">
        <f t="shared" ref="CJ61" si="1005">SUM(CJ57:CJ60)</f>
        <v>0</v>
      </c>
      <c r="CK61" s="46">
        <f t="shared" ref="CK61" si="1006">SUM(CK57:CK60)</f>
        <v>0</v>
      </c>
      <c r="CL61" s="46">
        <f t="shared" ref="CL61" si="1007">SUM(CL57:CL60)</f>
        <v>0</v>
      </c>
      <c r="CM61" s="46">
        <f t="shared" ref="CM61" si="1008">SUM(CM57:CM60)</f>
        <v>0</v>
      </c>
      <c r="CN61" s="46">
        <f t="shared" ref="CN61" si="1009">SUM(CN57:CN60)</f>
        <v>0</v>
      </c>
      <c r="CO61" s="46">
        <f t="shared" ref="CO61" si="1010">SUM(CO57:CO60)</f>
        <v>0</v>
      </c>
      <c r="CP61" s="46">
        <f t="shared" ref="CP61" si="1011">SUM(CP57:CP60)</f>
        <v>0</v>
      </c>
      <c r="CQ61" s="46">
        <f t="shared" ref="CQ61" si="1012">SUM(CQ57:CQ60)</f>
        <v>0</v>
      </c>
      <c r="CR61" s="46">
        <f t="shared" ref="CR61" si="1013">SUM(CR57:CR60)</f>
        <v>0</v>
      </c>
      <c r="CS61" s="46">
        <f t="shared" ref="CS61" si="1014">SUM(CS57:CS60)</f>
        <v>0</v>
      </c>
      <c r="CT61" s="46">
        <f t="shared" ref="CT61" si="1015">SUM(CT57:CT60)</f>
        <v>0</v>
      </c>
      <c r="CU61" s="46">
        <f t="shared" ref="CU61" si="1016">SUM(CU57:CU60)</f>
        <v>0</v>
      </c>
      <c r="CV61" s="46">
        <f t="shared" ref="CV61" si="1017">SUM(CV57:CV60)</f>
        <v>0</v>
      </c>
      <c r="CW61" s="46">
        <f t="shared" ref="CW61" si="1018">SUM(CW57:CW60)</f>
        <v>0</v>
      </c>
      <c r="CX61" s="46">
        <f t="shared" ref="CX61" si="1019">SUM(CX57:CX60)</f>
        <v>0</v>
      </c>
      <c r="CY61" s="46">
        <f t="shared" ref="CY61" si="1020">SUM(CY57:CY60)</f>
        <v>0</v>
      </c>
      <c r="CZ61" s="46">
        <f t="shared" ref="CZ61" si="1021">SUM(CZ57:CZ60)</f>
        <v>0</v>
      </c>
      <c r="DA61" s="46">
        <f t="shared" ref="DA61" si="1022">SUM(DA57:DA60)</f>
        <v>0</v>
      </c>
      <c r="DB61" s="46">
        <f t="shared" ref="DB61" si="1023">SUM(DB57:DB60)</f>
        <v>0</v>
      </c>
      <c r="DC61" s="46">
        <f t="shared" ref="DC61" si="1024">SUM(DC57:DC60)</f>
        <v>0</v>
      </c>
      <c r="DD61" s="46">
        <f t="shared" ref="DD61" si="1025">SUM(DD57:DD60)</f>
        <v>0</v>
      </c>
      <c r="DE61" s="46">
        <f t="shared" ref="DE61" si="1026">SUM(DE57:DE60)</f>
        <v>0</v>
      </c>
      <c r="DF61" s="46">
        <f t="shared" ref="DF61" si="1027">SUM(DF57:DF60)</f>
        <v>0</v>
      </c>
      <c r="DG61" s="46">
        <f t="shared" ref="DG61" si="1028">SUM(DG57:DG60)</f>
        <v>0</v>
      </c>
      <c r="DH61" s="46">
        <f t="shared" ref="DH61" si="1029">SUM(DH57:DH60)</f>
        <v>0</v>
      </c>
      <c r="DI61" s="46">
        <f t="shared" ref="DI61" si="1030">SUM(DI57:DI60)</f>
        <v>0</v>
      </c>
      <c r="DJ61" s="46">
        <f t="shared" ref="DJ61" si="1031">SUM(DJ57:DJ60)</f>
        <v>0</v>
      </c>
      <c r="DK61" s="46">
        <f t="shared" ref="DK61" si="1032">SUM(DK57:DK60)</f>
        <v>0</v>
      </c>
      <c r="DL61" s="46">
        <f t="shared" ref="DL61" si="1033">SUM(DL57:DL60)</f>
        <v>0</v>
      </c>
      <c r="DM61" s="46">
        <f t="shared" ref="DM61" si="1034">SUM(DM57:DM60)</f>
        <v>0</v>
      </c>
      <c r="DN61" s="46">
        <f t="shared" ref="DN61" si="1035">SUM(DN57:DN60)</f>
        <v>0</v>
      </c>
      <c r="DO61" s="46">
        <f t="shared" ref="DO61" si="1036">SUM(DO57:DO60)</f>
        <v>0</v>
      </c>
      <c r="DP61" s="46">
        <f t="shared" ref="DP61" si="1037">SUM(DP57:DP60)</f>
        <v>0</v>
      </c>
      <c r="DQ61" s="46">
        <f t="shared" ref="DQ61" si="1038">SUM(DQ57:DQ60)</f>
        <v>0</v>
      </c>
      <c r="DR61" s="46">
        <f t="shared" ref="DR61" si="1039">SUM(DR57:DR60)</f>
        <v>0</v>
      </c>
      <c r="DS61" s="46">
        <f t="shared" ref="DS61" si="1040">SUM(DS57:DS60)</f>
        <v>0</v>
      </c>
      <c r="DT61" s="46">
        <f t="shared" ref="DT61" si="1041">SUM(DT57:DT60)</f>
        <v>0</v>
      </c>
      <c r="DU61" s="46">
        <f t="shared" ref="DU61" si="1042">SUM(DU57:DU60)</f>
        <v>0</v>
      </c>
      <c r="DV61" s="46">
        <f t="shared" ref="DV61" si="1043">SUM(DV57:DV60)</f>
        <v>0</v>
      </c>
      <c r="DW61" s="46">
        <f t="shared" ref="DW61" si="1044">SUM(DW57:DW60)</f>
        <v>0</v>
      </c>
      <c r="DX61" s="46">
        <f t="shared" ref="DX61" si="1045">SUM(DX57:DX60)</f>
        <v>0</v>
      </c>
      <c r="DY61" s="46">
        <f t="shared" ref="DY61" si="1046">SUM(DY57:DY60)</f>
        <v>0</v>
      </c>
      <c r="DZ61" s="46">
        <f t="shared" ref="DZ61" si="1047">SUM(DZ57:DZ60)</f>
        <v>0</v>
      </c>
      <c r="EA61" s="46">
        <f t="shared" ref="EA61" si="1048">SUM(EA57:EA60)</f>
        <v>0</v>
      </c>
      <c r="EB61" s="46">
        <f t="shared" ref="EB61" si="1049">SUM(EB57:EB60)</f>
        <v>0</v>
      </c>
      <c r="EC61" s="46">
        <f t="shared" ref="EC61" si="1050">SUM(EC57:EC60)</f>
        <v>0</v>
      </c>
      <c r="ED61" s="46">
        <f t="shared" ref="ED61" si="1051">SUM(ED57:ED60)</f>
        <v>0</v>
      </c>
      <c r="EE61" s="46">
        <f t="shared" ref="EE61" si="1052">SUM(EE57:EE60)</f>
        <v>0</v>
      </c>
      <c r="EF61" s="46">
        <f t="shared" ref="EF61" si="1053">SUM(EF57:EF60)</f>
        <v>0</v>
      </c>
      <c r="EG61" s="46">
        <f t="shared" ref="EG61" si="1054">SUM(EG57:EG60)</f>
        <v>0</v>
      </c>
      <c r="EH61" s="46">
        <f t="shared" ref="EH61" si="1055">SUM(EH57:EH60)</f>
        <v>0</v>
      </c>
      <c r="EI61" s="46">
        <f t="shared" ref="EI61" si="1056">SUM(EI57:EI60)</f>
        <v>0</v>
      </c>
      <c r="EJ61" s="46">
        <f t="shared" ref="EJ61" si="1057">SUM(EJ57:EJ60)</f>
        <v>0</v>
      </c>
      <c r="EK61" s="46">
        <f t="shared" ref="EK61:EX61" si="1058">SUM(EK57:EK60)</f>
        <v>0</v>
      </c>
      <c r="EM61" s="46">
        <f t="shared" si="1058"/>
        <v>-51637500</v>
      </c>
      <c r="EN61" s="46">
        <f t="shared" si="1058"/>
        <v>0</v>
      </c>
      <c r="EO61" s="46">
        <f t="shared" si="1058"/>
        <v>0</v>
      </c>
      <c r="EP61" s="46">
        <f t="shared" si="1058"/>
        <v>0</v>
      </c>
      <c r="EQ61" s="46">
        <f t="shared" si="1058"/>
        <v>0</v>
      </c>
      <c r="ER61" s="46">
        <f t="shared" si="1058"/>
        <v>62959023.774366766</v>
      </c>
      <c r="ES61" s="46">
        <f t="shared" si="1058"/>
        <v>0</v>
      </c>
      <c r="ET61" s="46">
        <f t="shared" si="1058"/>
        <v>0</v>
      </c>
      <c r="EU61" s="46">
        <f t="shared" si="1058"/>
        <v>0</v>
      </c>
      <c r="EV61" s="46">
        <f t="shared" si="1058"/>
        <v>0</v>
      </c>
      <c r="EW61" s="46">
        <f t="shared" si="1058"/>
        <v>0</v>
      </c>
      <c r="EX61" s="46">
        <f t="shared" si="1058"/>
        <v>0</v>
      </c>
    </row>
    <row r="63" spans="2:154" x14ac:dyDescent="0.3">
      <c r="B63" s="2" t="s">
        <v>149</v>
      </c>
      <c r="C63" s="2"/>
      <c r="D63" s="2"/>
      <c r="E63" s="2"/>
      <c r="F63" s="2"/>
      <c r="I63" s="99">
        <f>I54+I61</f>
        <v>-51637500</v>
      </c>
      <c r="J63" s="99">
        <f t="shared" ref="J63:BU63" si="1059">J54+J61</f>
        <v>179205.13033336395</v>
      </c>
      <c r="K63" s="99">
        <f t="shared" si="1059"/>
        <v>179205.13033336395</v>
      </c>
      <c r="L63" s="99">
        <f t="shared" si="1059"/>
        <v>114722.58250050183</v>
      </c>
      <c r="M63" s="99">
        <f t="shared" si="1059"/>
        <v>115865.03466763964</v>
      </c>
      <c r="N63" s="99">
        <f t="shared" si="1059"/>
        <v>117007.4868347774</v>
      </c>
      <c r="O63" s="99">
        <f t="shared" si="1059"/>
        <v>118149.93900191528</v>
      </c>
      <c r="P63" s="99">
        <f t="shared" si="1059"/>
        <v>163042.39116905315</v>
      </c>
      <c r="Q63" s="99">
        <f t="shared" si="1059"/>
        <v>164184.84333619091</v>
      </c>
      <c r="R63" s="99">
        <f t="shared" si="1059"/>
        <v>165327.29550332867</v>
      </c>
      <c r="S63" s="99">
        <f t="shared" si="1059"/>
        <v>166469.74767046649</v>
      </c>
      <c r="T63" s="99">
        <f t="shared" si="1059"/>
        <v>167612.19983760425</v>
      </c>
      <c r="U63" s="99">
        <f t="shared" si="1059"/>
        <v>168754.65200474206</v>
      </c>
      <c r="V63" s="99">
        <f t="shared" si="1059"/>
        <v>170851.65573462658</v>
      </c>
      <c r="W63" s="99">
        <f t="shared" si="1059"/>
        <v>173148.29877394025</v>
      </c>
      <c r="X63" s="99">
        <f t="shared" si="1059"/>
        <v>175447.79570750508</v>
      </c>
      <c r="Y63" s="99">
        <f t="shared" si="1059"/>
        <v>177750.15367005643</v>
      </c>
      <c r="Z63" s="99">
        <f t="shared" si="1059"/>
        <v>180055.37981416687</v>
      </c>
      <c r="AA63" s="99">
        <f t="shared" si="1059"/>
        <v>182363.48131029028</v>
      </c>
      <c r="AB63" s="99">
        <f t="shared" si="1059"/>
        <v>184674.46534680662</v>
      </c>
      <c r="AC63" s="99">
        <f t="shared" si="1059"/>
        <v>186988.33913006709</v>
      </c>
      <c r="AD63" s="99">
        <f t="shared" si="1059"/>
        <v>189305.10988443822</v>
      </c>
      <c r="AE63" s="99">
        <f t="shared" si="1059"/>
        <v>191624.78485234792</v>
      </c>
      <c r="AF63" s="99">
        <f t="shared" si="1059"/>
        <v>193947.37129433034</v>
      </c>
      <c r="AG63" s="99">
        <f t="shared" si="1059"/>
        <v>196272.87648907036</v>
      </c>
      <c r="AH63" s="99">
        <f t="shared" si="1059"/>
        <v>198996.65907078504</v>
      </c>
      <c r="AI63" s="99">
        <f t="shared" si="1059"/>
        <v>201751.22121138894</v>
      </c>
      <c r="AJ63" s="99">
        <f t="shared" si="1059"/>
        <v>268968.35432005208</v>
      </c>
      <c r="AK63" s="99">
        <f t="shared" si="1059"/>
        <v>270565.79453907744</v>
      </c>
      <c r="AL63" s="99">
        <f t="shared" si="1059"/>
        <v>272168.55955883279</v>
      </c>
      <c r="AM63" s="99">
        <f t="shared" si="1059"/>
        <v>273776.66712865414</v>
      </c>
      <c r="AN63" s="99">
        <f t="shared" si="1059"/>
        <v>275390.13505704119</v>
      </c>
      <c r="AO63" s="99">
        <f t="shared" si="1059"/>
        <v>277008.98121185671</v>
      </c>
      <c r="AP63" s="99">
        <f t="shared" si="1059"/>
        <v>278633.22352052113</v>
      </c>
      <c r="AQ63" s="99">
        <f t="shared" si="1059"/>
        <v>280262.87997021474</v>
      </c>
      <c r="AR63" s="99">
        <f t="shared" si="1059"/>
        <v>281897.96860807389</v>
      </c>
      <c r="AS63" s="99">
        <f t="shared" si="1059"/>
        <v>283538.50754139258</v>
      </c>
      <c r="AT63" s="99">
        <f t="shared" si="1059"/>
        <v>279201.17738737969</v>
      </c>
      <c r="AU63" s="99">
        <f t="shared" si="1059"/>
        <v>280438.76919857034</v>
      </c>
      <c r="AV63" s="99">
        <f t="shared" si="1059"/>
        <v>281679.45498928888</v>
      </c>
      <c r="AW63" s="99">
        <f t="shared" si="1059"/>
        <v>282923.24249448435</v>
      </c>
      <c r="AX63" s="99">
        <f t="shared" si="1059"/>
        <v>284170.13946844253</v>
      </c>
      <c r="AY63" s="99">
        <f t="shared" si="1059"/>
        <v>285420.15368483576</v>
      </c>
      <c r="AZ63" s="99">
        <f t="shared" si="1059"/>
        <v>286673.29293677007</v>
      </c>
      <c r="BA63" s="99">
        <f t="shared" si="1059"/>
        <v>287929.5650368341</v>
      </c>
      <c r="BB63" s="99">
        <f t="shared" si="1059"/>
        <v>289188.97781714832</v>
      </c>
      <c r="BC63" s="99">
        <f t="shared" si="1059"/>
        <v>290451.5391294132</v>
      </c>
      <c r="BD63" s="99">
        <f t="shared" si="1059"/>
        <v>291717.25684495887</v>
      </c>
      <c r="BE63" s="99">
        <f t="shared" si="1059"/>
        <v>292986.13885479339</v>
      </c>
      <c r="BF63" s="99">
        <f t="shared" si="1059"/>
        <v>288547.61395663733</v>
      </c>
      <c r="BG63" s="99">
        <f t="shared" si="1059"/>
        <v>289822.84830703365</v>
      </c>
      <c r="BH63" s="99">
        <f t="shared" si="1059"/>
        <v>291101.27074330597</v>
      </c>
      <c r="BI63" s="99">
        <f t="shared" si="1059"/>
        <v>292382.88923566893</v>
      </c>
      <c r="BJ63" s="99">
        <f t="shared" si="1059"/>
        <v>293667.7117742626</v>
      </c>
      <c r="BK63" s="99">
        <f t="shared" si="1059"/>
        <v>294955.74636920297</v>
      </c>
      <c r="BL63" s="99">
        <f t="shared" si="1059"/>
        <v>296247.00105063088</v>
      </c>
      <c r="BM63" s="99">
        <f t="shared" si="1059"/>
        <v>297541.48386876186</v>
      </c>
      <c r="BN63" s="99">
        <f t="shared" si="1059"/>
        <v>298839.20289393846</v>
      </c>
      <c r="BO63" s="99">
        <f t="shared" si="1059"/>
        <v>300140.1662166781</v>
      </c>
      <c r="BP63" s="99">
        <f t="shared" si="1059"/>
        <v>301444.38194772438</v>
      </c>
      <c r="BQ63" s="99">
        <f t="shared" si="1059"/>
        <v>63261775.632584862</v>
      </c>
      <c r="BR63" s="99">
        <f t="shared" si="1059"/>
        <v>0</v>
      </c>
      <c r="BS63" s="99">
        <f t="shared" si="1059"/>
        <v>0</v>
      </c>
      <c r="BT63" s="99">
        <f t="shared" si="1059"/>
        <v>0</v>
      </c>
      <c r="BU63" s="99">
        <f t="shared" si="1059"/>
        <v>0</v>
      </c>
      <c r="BV63" s="99">
        <f t="shared" ref="BV63:EG63" si="1060">BV54+BV61</f>
        <v>0</v>
      </c>
      <c r="BW63" s="99">
        <f t="shared" si="1060"/>
        <v>0</v>
      </c>
      <c r="BX63" s="99">
        <f t="shared" si="1060"/>
        <v>0</v>
      </c>
      <c r="BY63" s="99">
        <f t="shared" si="1060"/>
        <v>0</v>
      </c>
      <c r="BZ63" s="99">
        <f t="shared" si="1060"/>
        <v>0</v>
      </c>
      <c r="CA63" s="99">
        <f t="shared" si="1060"/>
        <v>0</v>
      </c>
      <c r="CB63" s="99">
        <f t="shared" si="1060"/>
        <v>0</v>
      </c>
      <c r="CC63" s="99">
        <f t="shared" si="1060"/>
        <v>0</v>
      </c>
      <c r="CD63" s="99">
        <f t="shared" si="1060"/>
        <v>0</v>
      </c>
      <c r="CE63" s="99">
        <f t="shared" si="1060"/>
        <v>0</v>
      </c>
      <c r="CF63" s="99">
        <f t="shared" si="1060"/>
        <v>0</v>
      </c>
      <c r="CG63" s="99">
        <f t="shared" si="1060"/>
        <v>0</v>
      </c>
      <c r="CH63" s="99">
        <f t="shared" si="1060"/>
        <v>0</v>
      </c>
      <c r="CI63" s="99">
        <f t="shared" si="1060"/>
        <v>0</v>
      </c>
      <c r="CJ63" s="99">
        <f t="shared" si="1060"/>
        <v>0</v>
      </c>
      <c r="CK63" s="99">
        <f t="shared" si="1060"/>
        <v>0</v>
      </c>
      <c r="CL63" s="99">
        <f t="shared" si="1060"/>
        <v>0</v>
      </c>
      <c r="CM63" s="99">
        <f t="shared" si="1060"/>
        <v>0</v>
      </c>
      <c r="CN63" s="99">
        <f t="shared" si="1060"/>
        <v>0</v>
      </c>
      <c r="CO63" s="99">
        <f t="shared" si="1060"/>
        <v>0</v>
      </c>
      <c r="CP63" s="99">
        <f t="shared" si="1060"/>
        <v>0</v>
      </c>
      <c r="CQ63" s="99">
        <f t="shared" si="1060"/>
        <v>0</v>
      </c>
      <c r="CR63" s="99">
        <f t="shared" si="1060"/>
        <v>0</v>
      </c>
      <c r="CS63" s="99">
        <f t="shared" si="1060"/>
        <v>0</v>
      </c>
      <c r="CT63" s="99">
        <f t="shared" si="1060"/>
        <v>0</v>
      </c>
      <c r="CU63" s="99">
        <f t="shared" si="1060"/>
        <v>0</v>
      </c>
      <c r="CV63" s="99">
        <f t="shared" si="1060"/>
        <v>0</v>
      </c>
      <c r="CW63" s="99">
        <f t="shared" si="1060"/>
        <v>0</v>
      </c>
      <c r="CX63" s="99">
        <f t="shared" si="1060"/>
        <v>0</v>
      </c>
      <c r="CY63" s="99">
        <f t="shared" si="1060"/>
        <v>0</v>
      </c>
      <c r="CZ63" s="99">
        <f t="shared" si="1060"/>
        <v>0</v>
      </c>
      <c r="DA63" s="99">
        <f t="shared" si="1060"/>
        <v>0</v>
      </c>
      <c r="DB63" s="99">
        <f t="shared" si="1060"/>
        <v>0</v>
      </c>
      <c r="DC63" s="99">
        <f t="shared" si="1060"/>
        <v>0</v>
      </c>
      <c r="DD63" s="99">
        <f t="shared" si="1060"/>
        <v>0</v>
      </c>
      <c r="DE63" s="99">
        <f t="shared" si="1060"/>
        <v>0</v>
      </c>
      <c r="DF63" s="99">
        <f t="shared" si="1060"/>
        <v>0</v>
      </c>
      <c r="DG63" s="99">
        <f t="shared" si="1060"/>
        <v>0</v>
      </c>
      <c r="DH63" s="99">
        <f t="shared" si="1060"/>
        <v>0</v>
      </c>
      <c r="DI63" s="99">
        <f t="shared" si="1060"/>
        <v>0</v>
      </c>
      <c r="DJ63" s="99">
        <f t="shared" si="1060"/>
        <v>0</v>
      </c>
      <c r="DK63" s="99">
        <f t="shared" si="1060"/>
        <v>0</v>
      </c>
      <c r="DL63" s="99">
        <f t="shared" si="1060"/>
        <v>0</v>
      </c>
      <c r="DM63" s="99">
        <f t="shared" si="1060"/>
        <v>0</v>
      </c>
      <c r="DN63" s="99">
        <f t="shared" si="1060"/>
        <v>0</v>
      </c>
      <c r="DO63" s="99">
        <f t="shared" si="1060"/>
        <v>0</v>
      </c>
      <c r="DP63" s="99">
        <f t="shared" si="1060"/>
        <v>0</v>
      </c>
      <c r="DQ63" s="99">
        <f t="shared" si="1060"/>
        <v>0</v>
      </c>
      <c r="DR63" s="99">
        <f t="shared" si="1060"/>
        <v>0</v>
      </c>
      <c r="DS63" s="99">
        <f t="shared" si="1060"/>
        <v>0</v>
      </c>
      <c r="DT63" s="99">
        <f t="shared" si="1060"/>
        <v>0</v>
      </c>
      <c r="DU63" s="99">
        <f t="shared" si="1060"/>
        <v>0</v>
      </c>
      <c r="DV63" s="99">
        <f t="shared" si="1060"/>
        <v>0</v>
      </c>
      <c r="DW63" s="99">
        <f t="shared" si="1060"/>
        <v>0</v>
      </c>
      <c r="DX63" s="99">
        <f t="shared" si="1060"/>
        <v>0</v>
      </c>
      <c r="DY63" s="99">
        <f t="shared" si="1060"/>
        <v>0</v>
      </c>
      <c r="DZ63" s="99">
        <f t="shared" si="1060"/>
        <v>0</v>
      </c>
      <c r="EA63" s="99">
        <f t="shared" si="1060"/>
        <v>0</v>
      </c>
      <c r="EB63" s="99">
        <f t="shared" si="1060"/>
        <v>0</v>
      </c>
      <c r="EC63" s="99">
        <f t="shared" si="1060"/>
        <v>0</v>
      </c>
      <c r="ED63" s="99">
        <f t="shared" si="1060"/>
        <v>0</v>
      </c>
      <c r="EE63" s="99">
        <f t="shared" si="1060"/>
        <v>0</v>
      </c>
      <c r="EF63" s="99">
        <f t="shared" si="1060"/>
        <v>0</v>
      </c>
      <c r="EG63" s="99">
        <f t="shared" si="1060"/>
        <v>0</v>
      </c>
      <c r="EH63" s="99">
        <f t="shared" ref="EH63:EX63" si="1061">EH54+EH61</f>
        <v>0</v>
      </c>
      <c r="EI63" s="99">
        <f t="shared" si="1061"/>
        <v>0</v>
      </c>
      <c r="EJ63" s="99">
        <f t="shared" si="1061"/>
        <v>0</v>
      </c>
      <c r="EK63" s="99">
        <f t="shared" si="1061"/>
        <v>0</v>
      </c>
      <c r="EM63" s="119">
        <f t="shared" si="1061"/>
        <v>-51637500</v>
      </c>
      <c r="EN63" s="119">
        <f t="shared" si="1061"/>
        <v>1819546.4331929479</v>
      </c>
      <c r="EO63" s="119">
        <f t="shared" si="1061"/>
        <v>2202429.712007646</v>
      </c>
      <c r="EP63" s="119">
        <f t="shared" si="1061"/>
        <v>3162958.9517378882</v>
      </c>
      <c r="EQ63" s="119">
        <f t="shared" si="1061"/>
        <v>3432779.70784292</v>
      </c>
      <c r="ER63" s="119">
        <f t="shared" si="1061"/>
        <v>66506465.948948711</v>
      </c>
      <c r="ES63" s="119">
        <f t="shared" si="1061"/>
        <v>0</v>
      </c>
      <c r="ET63" s="119">
        <f t="shared" si="1061"/>
        <v>0</v>
      </c>
      <c r="EU63" s="119">
        <f t="shared" si="1061"/>
        <v>0</v>
      </c>
      <c r="EV63" s="119">
        <f t="shared" si="1061"/>
        <v>0</v>
      </c>
      <c r="EW63" s="119">
        <f t="shared" si="1061"/>
        <v>0</v>
      </c>
      <c r="EX63" s="119">
        <f t="shared" si="1061"/>
        <v>0</v>
      </c>
    </row>
    <row r="65" spans="2:154" x14ac:dyDescent="0.3">
      <c r="B65" s="93" t="s">
        <v>117</v>
      </c>
      <c r="C65" s="89">
        <f>-SUMIF(I63:EK63,"&lt;"&amp;0)</f>
        <v>51637500</v>
      </c>
    </row>
    <row r="66" spans="2:154" x14ac:dyDescent="0.3">
      <c r="B66" s="94" t="s">
        <v>118</v>
      </c>
      <c r="C66" s="90">
        <f>XIRR(I63:EK63,$I$6:$EK$6)</f>
        <v>9.1856947541236883E-2</v>
      </c>
    </row>
    <row r="67" spans="2:154" x14ac:dyDescent="0.3">
      <c r="B67" s="94" t="s">
        <v>119</v>
      </c>
      <c r="C67" s="91">
        <f>SUM(I63:EK63)</f>
        <v>25486680.753730103</v>
      </c>
    </row>
    <row r="68" spans="2:154" x14ac:dyDescent="0.3">
      <c r="B68" s="95" t="s">
        <v>120</v>
      </c>
      <c r="C68" s="92">
        <f>-SUMIF(I63:EK63,"&gt;"&amp;0)/SUMIF(I63:EK63,"&lt;"&amp;0)</f>
        <v>1.4935692230206752</v>
      </c>
    </row>
    <row r="70" spans="2:154" x14ac:dyDescent="0.3">
      <c r="B70" s="2" t="s">
        <v>129</v>
      </c>
    </row>
    <row r="71" spans="2:154" x14ac:dyDescent="0.3">
      <c r="B71" s="1" t="s">
        <v>130</v>
      </c>
      <c r="J71" s="103">
        <f>INDEX('Inputs &amp; Drivers'!$N$5:$N$125,MATCH(Model!J$6,'Inputs &amp; Drivers'!$M$5:$M$125,1))</f>
        <v>2.5127500000000001E-2</v>
      </c>
      <c r="K71" s="103">
        <f>INDEX('Inputs &amp; Drivers'!$N$5:$N$125,MATCH(Model!K$6,'Inputs &amp; Drivers'!$M$5:$M$125,1))</f>
        <v>2.5054699999999999E-2</v>
      </c>
      <c r="L71" s="103">
        <f>INDEX('Inputs &amp; Drivers'!$N$5:$N$125,MATCH(Model!L$6,'Inputs &amp; Drivers'!$M$5:$M$125,1))</f>
        <v>2.4962399999999999E-2</v>
      </c>
      <c r="M71" s="103">
        <f>INDEX('Inputs &amp; Drivers'!$N$5:$N$125,MATCH(Model!M$6,'Inputs &amp; Drivers'!$M$5:$M$125,1))</f>
        <v>2.49459E-2</v>
      </c>
      <c r="N71" s="103">
        <f>INDEX('Inputs &amp; Drivers'!$N$5:$N$125,MATCH(Model!N$6,'Inputs &amp; Drivers'!$M$5:$M$125,1))</f>
        <v>2.4955999999999999E-2</v>
      </c>
      <c r="O71" s="103">
        <f>INDEX('Inputs &amp; Drivers'!$N$5:$N$125,MATCH(Model!O$6,'Inputs &amp; Drivers'!$M$5:$M$125,1))</f>
        <v>2.4916899999999999E-2</v>
      </c>
      <c r="P71" s="103">
        <f>INDEX('Inputs &amp; Drivers'!$N$5:$N$125,MATCH(Model!P$6,'Inputs &amp; Drivers'!$M$5:$M$125,1))</f>
        <v>2.4853400000000001E-2</v>
      </c>
      <c r="Q71" s="103">
        <f>INDEX('Inputs &amp; Drivers'!$N$5:$N$125,MATCH(Model!Q$6,'Inputs &amp; Drivers'!$M$5:$M$125,1))</f>
        <v>2.4761700000000001E-2</v>
      </c>
      <c r="R71" s="103">
        <f>INDEX('Inputs &amp; Drivers'!$N$5:$N$125,MATCH(Model!R$6,'Inputs &amp; Drivers'!$M$5:$M$125,1))</f>
        <v>2.4609200000000001E-2</v>
      </c>
      <c r="S71" s="103">
        <f>INDEX('Inputs &amp; Drivers'!$N$5:$N$125,MATCH(Model!S$6,'Inputs &amp; Drivers'!$M$5:$M$125,1))</f>
        <v>2.4431600000000001E-2</v>
      </c>
      <c r="T71" s="103">
        <f>INDEX('Inputs &amp; Drivers'!$N$5:$N$125,MATCH(Model!T$6,'Inputs &amp; Drivers'!$M$5:$M$125,1))</f>
        <v>2.42373E-2</v>
      </c>
      <c r="U71" s="103">
        <f>INDEX('Inputs &amp; Drivers'!$N$5:$N$125,MATCH(Model!U$6,'Inputs &amp; Drivers'!$M$5:$M$125,1))</f>
        <v>2.3999800000000002E-2</v>
      </c>
      <c r="V71" s="103">
        <f>INDEX('Inputs &amp; Drivers'!$N$5:$N$125,MATCH(Model!V$6,'Inputs &amp; Drivers'!$M$5:$M$125,1))</f>
        <v>2.3749800000000001E-2</v>
      </c>
      <c r="W71" s="103">
        <f>INDEX('Inputs &amp; Drivers'!$N$5:$N$125,MATCH(Model!W$6,'Inputs &amp; Drivers'!$M$5:$M$125,1))</f>
        <v>2.3485099999999998E-2</v>
      </c>
      <c r="X71" s="103">
        <f>INDEX('Inputs &amp; Drivers'!$N$5:$N$125,MATCH(Model!X$6,'Inputs &amp; Drivers'!$M$5:$M$125,1))</f>
        <v>2.3170799999999998E-2</v>
      </c>
      <c r="Y71" s="103">
        <f>INDEX('Inputs &amp; Drivers'!$N$5:$N$125,MATCH(Model!Y$6,'Inputs &amp; Drivers'!$M$5:$M$125,1))</f>
        <v>2.2853800000000001E-2</v>
      </c>
      <c r="Z71" s="103">
        <f>INDEX('Inputs &amp; Drivers'!$N$5:$N$125,MATCH(Model!Z$6,'Inputs &amp; Drivers'!$M$5:$M$125,1))</f>
        <v>2.2550600000000001E-2</v>
      </c>
      <c r="AA71" s="103">
        <f>INDEX('Inputs &amp; Drivers'!$N$5:$N$125,MATCH(Model!AA$6,'Inputs &amp; Drivers'!$M$5:$M$125,1))</f>
        <v>2.2245899999999999E-2</v>
      </c>
      <c r="AB71" s="103">
        <f>INDEX('Inputs &amp; Drivers'!$N$5:$N$125,MATCH(Model!AB$6,'Inputs &amp; Drivers'!$M$5:$M$125,1))</f>
        <v>2.1982600000000001E-2</v>
      </c>
      <c r="AC71" s="103">
        <f>INDEX('Inputs &amp; Drivers'!$N$5:$N$125,MATCH(Model!AC$6,'Inputs &amp; Drivers'!$M$5:$M$125,1))</f>
        <v>2.1773000000000001E-2</v>
      </c>
      <c r="AD71" s="103">
        <f>INDEX('Inputs &amp; Drivers'!$N$5:$N$125,MATCH(Model!AD$6,'Inputs &amp; Drivers'!$M$5:$M$125,1))</f>
        <v>2.1589199999999999E-2</v>
      </c>
      <c r="AE71" s="103">
        <f>INDEX('Inputs &amp; Drivers'!$N$5:$N$125,MATCH(Model!AE$6,'Inputs &amp; Drivers'!$M$5:$M$125,1))</f>
        <v>2.1469200000000001E-2</v>
      </c>
      <c r="AF71" s="103">
        <f>INDEX('Inputs &amp; Drivers'!$N$5:$N$125,MATCH(Model!AF$6,'Inputs &amp; Drivers'!$M$5:$M$125,1))</f>
        <v>2.1412400000000002E-2</v>
      </c>
      <c r="AG71" s="103">
        <f>INDEX('Inputs &amp; Drivers'!$N$5:$N$125,MATCH(Model!AG$6,'Inputs &amp; Drivers'!$M$5:$M$125,1))</f>
        <v>2.13752E-2</v>
      </c>
      <c r="AH71" s="103">
        <f>INDEX('Inputs &amp; Drivers'!$N$5:$N$125,MATCH(Model!AH$6,'Inputs &amp; Drivers'!$M$5:$M$125,1))</f>
        <v>2.1380400000000001E-2</v>
      </c>
      <c r="AI71" s="103">
        <f>INDEX('Inputs &amp; Drivers'!$N$5:$N$125,MATCH(Model!AI$6,'Inputs &amp; Drivers'!$M$5:$M$125,1))</f>
        <v>2.1410200000000001E-2</v>
      </c>
      <c r="AJ71" s="103">
        <f>INDEX('Inputs &amp; Drivers'!$N$5:$N$125,MATCH(Model!AJ$6,'Inputs &amp; Drivers'!$M$5:$M$125,1))</f>
        <v>2.14238E-2</v>
      </c>
      <c r="AK71" s="103">
        <f>INDEX('Inputs &amp; Drivers'!$N$5:$N$125,MATCH(Model!AK$6,'Inputs &amp; Drivers'!$M$5:$M$125,1))</f>
        <v>2.1443199999999999E-2</v>
      </c>
      <c r="AL71" s="103">
        <f>INDEX('Inputs &amp; Drivers'!$N$5:$N$125,MATCH(Model!AL$6,'Inputs &amp; Drivers'!$M$5:$M$125,1))</f>
        <v>2.1468399999999999E-2</v>
      </c>
      <c r="AM71" s="103">
        <f>INDEX('Inputs &amp; Drivers'!$N$5:$N$125,MATCH(Model!AM$6,'Inputs &amp; Drivers'!$M$5:$M$125,1))</f>
        <v>2.1477699999999999E-2</v>
      </c>
      <c r="AN71" s="103">
        <f>INDEX('Inputs &amp; Drivers'!$N$5:$N$125,MATCH(Model!AN$6,'Inputs &amp; Drivers'!$M$5:$M$125,1))</f>
        <v>2.1495799999999999E-2</v>
      </c>
      <c r="AO71" s="103">
        <f>INDEX('Inputs &amp; Drivers'!$N$5:$N$125,MATCH(Model!AO$6,'Inputs &amp; Drivers'!$M$5:$M$125,1))</f>
        <v>2.1525900000000001E-2</v>
      </c>
      <c r="AP71" s="103">
        <f>INDEX('Inputs &amp; Drivers'!$N$5:$N$125,MATCH(Model!AP$6,'Inputs &amp; Drivers'!$M$5:$M$125,1))</f>
        <v>2.1547E-2</v>
      </c>
      <c r="AQ71" s="103">
        <f>INDEX('Inputs &amp; Drivers'!$N$5:$N$125,MATCH(Model!AQ$6,'Inputs &amp; Drivers'!$M$5:$M$125,1))</f>
        <v>2.1581800000000002E-2</v>
      </c>
      <c r="AR71" s="103">
        <f>INDEX('Inputs &amp; Drivers'!$N$5:$N$125,MATCH(Model!AR$6,'Inputs &amp; Drivers'!$M$5:$M$125,1))</f>
        <v>2.16311E-2</v>
      </c>
      <c r="AS71" s="103">
        <f>INDEX('Inputs &amp; Drivers'!$N$5:$N$125,MATCH(Model!AS$6,'Inputs &amp; Drivers'!$M$5:$M$125,1))</f>
        <v>2.16726E-2</v>
      </c>
      <c r="AT71" s="103">
        <f>INDEX('Inputs &amp; Drivers'!$N$5:$N$125,MATCH(Model!AT$6,'Inputs &amp; Drivers'!$M$5:$M$125,1))</f>
        <v>2.1728399999999998E-2</v>
      </c>
      <c r="AU71" s="103">
        <f>INDEX('Inputs &amp; Drivers'!$N$5:$N$125,MATCH(Model!AU$6,'Inputs &amp; Drivers'!$M$5:$M$125,1))</f>
        <v>2.17982E-2</v>
      </c>
      <c r="AV71" s="103">
        <f>INDEX('Inputs &amp; Drivers'!$N$5:$N$125,MATCH(Model!AV$6,'Inputs &amp; Drivers'!$M$5:$M$125,1))</f>
        <v>2.18573E-2</v>
      </c>
      <c r="AW71" s="103">
        <f>INDEX('Inputs &amp; Drivers'!$N$5:$N$125,MATCH(Model!AW$6,'Inputs &amp; Drivers'!$M$5:$M$125,1))</f>
        <v>2.1929299999999999E-2</v>
      </c>
      <c r="AX71" s="103">
        <f>INDEX('Inputs &amp; Drivers'!$N$5:$N$125,MATCH(Model!AX$6,'Inputs &amp; Drivers'!$M$5:$M$125,1))</f>
        <v>2.2013499999999998E-2</v>
      </c>
      <c r="AY71" s="103">
        <f>INDEX('Inputs &amp; Drivers'!$N$5:$N$125,MATCH(Model!AY$6,'Inputs &amp; Drivers'!$M$5:$M$125,1))</f>
        <v>2.2084300000000001E-2</v>
      </c>
      <c r="AZ71" s="103">
        <f>INDEX('Inputs &amp; Drivers'!$N$5:$N$125,MATCH(Model!AZ$6,'Inputs &amp; Drivers'!$M$5:$M$125,1))</f>
        <v>2.2165199999999999E-2</v>
      </c>
      <c r="BA71" s="103">
        <f>INDEX('Inputs &amp; Drivers'!$N$5:$N$125,MATCH(Model!BA$6,'Inputs &amp; Drivers'!$M$5:$M$125,1))</f>
        <v>2.22562E-2</v>
      </c>
      <c r="BB71" s="103">
        <f>INDEX('Inputs &amp; Drivers'!$N$5:$N$125,MATCH(Model!BB$6,'Inputs &amp; Drivers'!$M$5:$M$125,1))</f>
        <v>2.2332500000000002E-2</v>
      </c>
      <c r="BC71" s="103">
        <f>INDEX('Inputs &amp; Drivers'!$N$5:$N$125,MATCH(Model!BC$6,'Inputs &amp; Drivers'!$M$5:$M$125,1))</f>
        <v>2.2417699999999999E-2</v>
      </c>
      <c r="BD71" s="103">
        <f>INDEX('Inputs &amp; Drivers'!$N$5:$N$125,MATCH(Model!BD$6,'Inputs &amp; Drivers'!$M$5:$M$125,1))</f>
        <v>2.2512000000000001E-2</v>
      </c>
      <c r="BE71" s="103">
        <f>INDEX('Inputs &amp; Drivers'!$N$5:$N$125,MATCH(Model!BE$6,'Inputs &amp; Drivers'!$M$5:$M$125,1))</f>
        <v>2.2591799999999999E-2</v>
      </c>
      <c r="BF71" s="103">
        <f>INDEX('Inputs &amp; Drivers'!$N$5:$N$125,MATCH(Model!BF$6,'Inputs &amp; Drivers'!$M$5:$M$125,1))</f>
        <v>2.2681199999999999E-2</v>
      </c>
      <c r="BG71" s="103">
        <f>INDEX('Inputs &amp; Drivers'!$N$5:$N$125,MATCH(Model!BG$6,'Inputs &amp; Drivers'!$M$5:$M$125,1))</f>
        <v>2.2779199999999999E-2</v>
      </c>
      <c r="BH71" s="103">
        <f>INDEX('Inputs &amp; Drivers'!$N$5:$N$125,MATCH(Model!BH$6,'Inputs &amp; Drivers'!$M$5:$M$125,1))</f>
        <v>2.2861900000000001E-2</v>
      </c>
      <c r="BI71" s="103">
        <f>INDEX('Inputs &amp; Drivers'!$N$5:$N$125,MATCH(Model!BI$6,'Inputs &amp; Drivers'!$M$5:$M$125,1))</f>
        <v>2.2943600000000001E-2</v>
      </c>
      <c r="BJ71" s="103">
        <f>INDEX('Inputs &amp; Drivers'!$N$5:$N$125,MATCH(Model!BJ$6,'Inputs &amp; Drivers'!$M$5:$M$125,1))</f>
        <v>2.3053799999999999E-2</v>
      </c>
      <c r="BK71" s="103">
        <f>INDEX('Inputs &amp; Drivers'!$N$5:$N$125,MATCH(Model!BK$6,'Inputs &amp; Drivers'!$M$5:$M$125,1))</f>
        <v>2.31378E-2</v>
      </c>
      <c r="BL71" s="103">
        <f>INDEX('Inputs &amp; Drivers'!$N$5:$N$125,MATCH(Model!BL$6,'Inputs &amp; Drivers'!$M$5:$M$125,1))</f>
        <v>2.3229699999999999E-2</v>
      </c>
      <c r="BM71" s="103">
        <f>INDEX('Inputs &amp; Drivers'!$N$5:$N$125,MATCH(Model!BM$6,'Inputs &amp; Drivers'!$M$5:$M$125,1))</f>
        <v>2.333E-2</v>
      </c>
      <c r="BN71" s="103">
        <f>INDEX('Inputs &amp; Drivers'!$N$5:$N$125,MATCH(Model!BN$6,'Inputs &amp; Drivers'!$M$5:$M$125,1))</f>
        <v>2.3415499999999999E-2</v>
      </c>
      <c r="BO71" s="103">
        <f>INDEX('Inputs &amp; Drivers'!$N$5:$N$125,MATCH(Model!BO$6,'Inputs &amp; Drivers'!$M$5:$M$125,1))</f>
        <v>2.35093E-2</v>
      </c>
      <c r="BP71" s="103">
        <f>INDEX('Inputs &amp; Drivers'!$N$5:$N$125,MATCH(Model!BP$6,'Inputs &amp; Drivers'!$M$5:$M$125,1))</f>
        <v>2.3610099999999998E-2</v>
      </c>
      <c r="BQ71" s="103">
        <f>INDEX('Inputs &amp; Drivers'!$N$5:$N$125,MATCH(Model!BQ$6,'Inputs &amp; Drivers'!$M$5:$M$125,1))</f>
        <v>2.3694300000000001E-2</v>
      </c>
      <c r="BR71" s="103">
        <f>INDEX('Inputs &amp; Drivers'!$N$5:$N$125,MATCH(Model!BR$6,'Inputs &amp; Drivers'!$M$5:$M$125,1))</f>
        <v>2.3786700000000001E-2</v>
      </c>
      <c r="BS71" s="103">
        <f>INDEX('Inputs &amp; Drivers'!$N$5:$N$125,MATCH(Model!BS$6,'Inputs &amp; Drivers'!$M$5:$M$125,1))</f>
        <v>2.38879E-2</v>
      </c>
      <c r="BT71" s="103">
        <f>INDEX('Inputs &amp; Drivers'!$N$5:$N$125,MATCH(Model!BT$6,'Inputs &amp; Drivers'!$M$5:$M$125,1))</f>
        <v>2.3973600000000001E-2</v>
      </c>
      <c r="BU71" s="103">
        <f>INDEX('Inputs &amp; Drivers'!$N$5:$N$125,MATCH(Model!BU$6,'Inputs &amp; Drivers'!$M$5:$M$125,1))</f>
        <v>2.4069199999999999E-2</v>
      </c>
      <c r="BV71" s="103">
        <f>INDEX('Inputs &amp; Drivers'!$N$5:$N$125,MATCH(Model!BV$6,'Inputs &amp; Drivers'!$M$5:$M$125,1))</f>
        <v>2.41741E-2</v>
      </c>
      <c r="BW71" s="103">
        <f>INDEX('Inputs &amp; Drivers'!$N$5:$N$125,MATCH(Model!BW$6,'Inputs &amp; Drivers'!$M$5:$M$125,1))</f>
        <v>2.4263900000000001E-2</v>
      </c>
      <c r="BX71" s="103">
        <f>INDEX('Inputs &amp; Drivers'!$N$5:$N$125,MATCH(Model!BX$6,'Inputs &amp; Drivers'!$M$5:$M$125,1))</f>
        <v>2.43634E-2</v>
      </c>
      <c r="BY71" s="103">
        <f>INDEX('Inputs &amp; Drivers'!$N$5:$N$125,MATCH(Model!BY$6,'Inputs &amp; Drivers'!$M$5:$M$125,1))</f>
        <v>2.4472299999999999E-2</v>
      </c>
      <c r="BZ71" s="103">
        <f>INDEX('Inputs &amp; Drivers'!$N$5:$N$125,MATCH(Model!BZ$6,'Inputs &amp; Drivers'!$M$5:$M$125,1))</f>
        <v>2.4565900000000002E-2</v>
      </c>
      <c r="CA71" s="103">
        <f>INDEX('Inputs &amp; Drivers'!$N$5:$N$125,MATCH(Model!CA$6,'Inputs &amp; Drivers'!$M$5:$M$125,1))</f>
        <v>2.46672E-2</v>
      </c>
      <c r="CB71" s="103">
        <f>INDEX('Inputs &amp; Drivers'!$N$5:$N$125,MATCH(Model!CB$6,'Inputs &amp; Drivers'!$M$5:$M$125,1))</f>
        <v>2.4776400000000001E-2</v>
      </c>
      <c r="CC71" s="103">
        <f>INDEX('Inputs &amp; Drivers'!$N$5:$N$125,MATCH(Model!CC$6,'Inputs &amp; Drivers'!$M$5:$M$125,1))</f>
        <v>2.4868899999999999E-2</v>
      </c>
      <c r="CD71" s="103">
        <f>INDEX('Inputs &amp; Drivers'!$N$5:$N$125,MATCH(Model!CD$6,'Inputs &amp; Drivers'!$M$5:$M$125,1))</f>
        <v>2.49675E-2</v>
      </c>
      <c r="CE71" s="103">
        <f>INDEX('Inputs &amp; Drivers'!$N$5:$N$125,MATCH(Model!CE$6,'Inputs &amp; Drivers'!$M$5:$M$125,1))</f>
        <v>2.5071699999999999E-2</v>
      </c>
      <c r="CF71" s="103">
        <f>INDEX('Inputs &amp; Drivers'!$N$5:$N$125,MATCH(Model!CF$6,'Inputs &amp; Drivers'!$M$5:$M$125,1))</f>
        <v>2.5156299999999999E-2</v>
      </c>
      <c r="CG71" s="103">
        <f>INDEX('Inputs &amp; Drivers'!$N$5:$N$125,MATCH(Model!CG$6,'Inputs &amp; Drivers'!$M$5:$M$125,1))</f>
        <v>2.5246399999999999E-2</v>
      </c>
      <c r="CH71" s="103">
        <f>INDEX('Inputs &amp; Drivers'!$N$5:$N$125,MATCH(Model!CH$6,'Inputs &amp; Drivers'!$M$5:$M$125,1))</f>
        <v>2.5342099999999999E-2</v>
      </c>
      <c r="CI71" s="103">
        <f>INDEX('Inputs &amp; Drivers'!$N$5:$N$125,MATCH(Model!CI$6,'Inputs &amp; Drivers'!$M$5:$M$125,1))</f>
        <v>2.5419799999999999E-2</v>
      </c>
      <c r="CJ71" s="103">
        <f>INDEX('Inputs &amp; Drivers'!$N$5:$N$125,MATCH(Model!CJ$6,'Inputs &amp; Drivers'!$M$5:$M$125,1))</f>
        <v>2.5502500000000001E-2</v>
      </c>
      <c r="CK71" s="103">
        <f>INDEX('Inputs &amp; Drivers'!$N$5:$N$125,MATCH(Model!CK$6,'Inputs &amp; Drivers'!$M$5:$M$125,1))</f>
        <v>2.5590499999999999E-2</v>
      </c>
      <c r="CL71" s="103">
        <f>INDEX('Inputs &amp; Drivers'!$N$5:$N$125,MATCH(Model!CL$6,'Inputs &amp; Drivers'!$M$5:$M$125,1))</f>
        <v>2.5659999999999999E-2</v>
      </c>
      <c r="CM71" s="103">
        <f>INDEX('Inputs &amp; Drivers'!$N$5:$N$125,MATCH(Model!CM$6,'Inputs &amp; Drivers'!$M$5:$M$125,1))</f>
        <v>2.5734400000000001E-2</v>
      </c>
      <c r="CN71" s="103">
        <f>INDEX('Inputs &amp; Drivers'!$N$5:$N$125,MATCH(Model!CN$6,'Inputs &amp; Drivers'!$M$5:$M$125,1))</f>
        <v>2.5814299999999998E-2</v>
      </c>
      <c r="CO71" s="103">
        <f>INDEX('Inputs &amp; Drivers'!$N$5:$N$125,MATCH(Model!CO$6,'Inputs &amp; Drivers'!$M$5:$M$125,1))</f>
        <v>2.58759E-2</v>
      </c>
      <c r="CP71" s="103">
        <f>INDEX('Inputs &amp; Drivers'!$N$5:$N$125,MATCH(Model!CP$6,'Inputs &amp; Drivers'!$M$5:$M$125,1))</f>
        <v>2.5944399999999999E-2</v>
      </c>
      <c r="CQ71" s="103">
        <f>INDEX('Inputs &amp; Drivers'!$N$5:$N$125,MATCH(Model!CQ$6,'Inputs &amp; Drivers'!$M$5:$M$125,1))</f>
        <v>2.60214E-2</v>
      </c>
      <c r="CR71" s="103">
        <f>INDEX('Inputs &amp; Drivers'!$N$5:$N$125,MATCH(Model!CR$6,'Inputs &amp; Drivers'!$M$5:$M$125,1))</f>
        <v>2.6081199999999999E-2</v>
      </c>
      <c r="CS71" s="103">
        <f>INDEX('Inputs &amp; Drivers'!$N$5:$N$125,MATCH(Model!CS$6,'Inputs &amp; Drivers'!$M$5:$M$125,1))</f>
        <v>2.61488E-2</v>
      </c>
      <c r="CT71" s="103">
        <f>INDEX('Inputs &amp; Drivers'!$N$5:$N$125,MATCH(Model!CT$6,'Inputs &amp; Drivers'!$M$5:$M$125,1))</f>
        <v>2.6224899999999999E-2</v>
      </c>
      <c r="CU71" s="103">
        <f>INDEX('Inputs &amp; Drivers'!$N$5:$N$125,MATCH(Model!CU$6,'Inputs &amp; Drivers'!$M$5:$M$125,1))</f>
        <v>2.6285900000000001E-2</v>
      </c>
      <c r="CV71" s="103">
        <f>INDEX('Inputs &amp; Drivers'!$N$5:$N$125,MATCH(Model!CV$6,'Inputs &amp; Drivers'!$M$5:$M$125,1))</f>
        <v>2.6356000000000001E-2</v>
      </c>
      <c r="CW71" s="103">
        <f>INDEX('Inputs &amp; Drivers'!$N$5:$N$125,MATCH(Model!CW$6,'Inputs &amp; Drivers'!$M$5:$M$125,1))</f>
        <v>2.6435899999999998E-2</v>
      </c>
      <c r="CX71" s="103">
        <f>INDEX('Inputs &amp; Drivers'!$N$5:$N$125,MATCH(Model!CX$6,'Inputs &amp; Drivers'!$M$5:$M$125,1))</f>
        <v>2.6500699999999999E-2</v>
      </c>
      <c r="CY71" s="103">
        <f>INDEX('Inputs &amp; Drivers'!$N$5:$N$125,MATCH(Model!CY$6,'Inputs &amp; Drivers'!$M$5:$M$125,1))</f>
        <v>2.6575000000000001E-2</v>
      </c>
      <c r="CZ71" s="103">
        <f>INDEX('Inputs &amp; Drivers'!$N$5:$N$125,MATCH(Model!CZ$6,'Inputs &amp; Drivers'!$M$5:$M$125,1))</f>
        <v>2.6658999999999999E-2</v>
      </c>
      <c r="DA71" s="103">
        <f>INDEX('Inputs &amp; Drivers'!$N$5:$N$125,MATCH(Model!DA$6,'Inputs &amp; Drivers'!$M$5:$M$125,1))</f>
        <v>2.6725800000000001E-2</v>
      </c>
      <c r="DB71" s="103">
        <f>INDEX('Inputs &amp; Drivers'!$N$5:$N$125,MATCH(Model!DB$6,'Inputs &amp; Drivers'!$M$5:$M$125,1))</f>
        <v>2.6800000000000001E-2</v>
      </c>
      <c r="DC71" s="103">
        <f>INDEX('Inputs &amp; Drivers'!$N$5:$N$125,MATCH(Model!DC$6,'Inputs &amp; Drivers'!$M$5:$M$125,1))</f>
        <v>2.6881200000000001E-2</v>
      </c>
      <c r="DD71" s="103">
        <f>INDEX('Inputs &amp; Drivers'!$N$5:$N$125,MATCH(Model!DD$6,'Inputs &amp; Drivers'!$M$5:$M$125,1))</f>
        <v>2.6942899999999999E-2</v>
      </c>
      <c r="DE71" s="103">
        <f>INDEX('Inputs &amp; Drivers'!$N$5:$N$125,MATCH(Model!DE$6,'Inputs &amp; Drivers'!$M$5:$M$125,1))</f>
        <v>2.7009700000000001E-2</v>
      </c>
      <c r="DF71" s="103">
        <f>INDEX('Inputs &amp; Drivers'!$N$5:$N$125,MATCH(Model!DF$6,'Inputs &amp; Drivers'!$M$5:$M$125,1))</f>
        <v>2.7081999999999998E-2</v>
      </c>
      <c r="DG71" s="103">
        <f>INDEX('Inputs &amp; Drivers'!$N$5:$N$125,MATCH(Model!DG$6,'Inputs &amp; Drivers'!$M$5:$M$125,1))</f>
        <v>2.71361E-2</v>
      </c>
      <c r="DH71" s="103">
        <f>INDEX('Inputs &amp; Drivers'!$N$5:$N$125,MATCH(Model!DH$6,'Inputs &amp; Drivers'!$M$5:$M$125,1))</f>
        <v>2.71968E-2</v>
      </c>
      <c r="DI71" s="103">
        <f>INDEX('Inputs &amp; Drivers'!$N$5:$N$125,MATCH(Model!DI$6,'Inputs &amp; Drivers'!$M$5:$M$125,1))</f>
        <v>2.7264799999999999E-2</v>
      </c>
      <c r="DJ71" s="103">
        <f>INDEX('Inputs &amp; Drivers'!$N$5:$N$125,MATCH(Model!DJ$6,'Inputs &amp; Drivers'!$M$5:$M$125,1))</f>
        <v>2.7314499999999999E-2</v>
      </c>
      <c r="DK71" s="103">
        <f>INDEX('Inputs &amp; Drivers'!$N$5:$N$125,MATCH(Model!DK$6,'Inputs &amp; Drivers'!$M$5:$M$125,1))</f>
        <v>2.73703E-2</v>
      </c>
      <c r="DL71" s="103">
        <f>INDEX('Inputs &amp; Drivers'!$N$5:$N$125,MATCH(Model!DL$6,'Inputs &amp; Drivers'!$M$5:$M$125,1))</f>
        <v>2.7432399999999999E-2</v>
      </c>
      <c r="DM71" s="103">
        <f>INDEX('Inputs &amp; Drivers'!$N$5:$N$125,MATCH(Model!DM$6,'Inputs &amp; Drivers'!$M$5:$M$125,1))</f>
        <v>2.7476E-2</v>
      </c>
      <c r="DN71" s="103">
        <f>INDEX('Inputs &amp; Drivers'!$N$5:$N$125,MATCH(Model!DN$6,'Inputs &amp; Drivers'!$M$5:$M$125,1))</f>
        <v>2.7525399999999998E-2</v>
      </c>
      <c r="DO71" s="103">
        <f>INDEX('Inputs &amp; Drivers'!$N$5:$N$125,MATCH(Model!DO$6,'Inputs &amp; Drivers'!$M$5:$M$125,1))</f>
        <v>2.7580400000000001E-2</v>
      </c>
      <c r="DP71" s="103">
        <f>INDEX('Inputs &amp; Drivers'!$N$5:$N$125,MATCH(Model!DP$6,'Inputs &amp; Drivers'!$M$5:$M$125,1))</f>
        <v>2.76163E-2</v>
      </c>
      <c r="DQ71" s="103">
        <f>INDEX('Inputs &amp; Drivers'!$N$5:$N$125,MATCH(Model!DQ$6,'Inputs &amp; Drivers'!$M$5:$M$125,1))</f>
        <v>2.7657600000000001E-2</v>
      </c>
      <c r="DR71" s="103">
        <f>INDEX('Inputs &amp; Drivers'!$N$5:$N$125,MATCH(Model!DR$6,'Inputs &amp; Drivers'!$M$5:$M$125,1))</f>
        <v>2.7703999999999999E-2</v>
      </c>
      <c r="DS71" s="103">
        <f>INDEX('Inputs &amp; Drivers'!$N$5:$N$125,MATCH(Model!DS$6,'Inputs &amp; Drivers'!$M$5:$M$125,1))</f>
        <v>2.7731100000000002E-2</v>
      </c>
      <c r="DT71" s="103">
        <f>INDEX('Inputs &amp; Drivers'!$N$5:$N$125,MATCH(Model!DT$6,'Inputs &amp; Drivers'!$M$5:$M$125,1))</f>
        <v>2.7762599999999998E-2</v>
      </c>
      <c r="DU71" s="103">
        <f>INDEX('Inputs &amp; Drivers'!$N$5:$N$125,MATCH(Model!DU$6,'Inputs &amp; Drivers'!$M$5:$M$125,1))</f>
        <v>2.7798400000000001E-2</v>
      </c>
      <c r="DV71" s="103">
        <f>INDEX('Inputs &amp; Drivers'!$N$5:$N$125,MATCH(Model!DV$6,'Inputs &amp; Drivers'!$M$5:$M$125,1))</f>
        <v>2.7814599999999998E-2</v>
      </c>
      <c r="DW71" s="103">
        <f>INDEX('Inputs &amp; Drivers'!$N$5:$N$125,MATCH(Model!DW$6,'Inputs &amp; Drivers'!$M$5:$M$125,1))</f>
        <v>2.78347E-2</v>
      </c>
      <c r="DX71" s="103">
        <f>INDEX('Inputs &amp; Drivers'!$N$5:$N$125,MATCH(Model!DX$6,'Inputs &amp; Drivers'!$M$5:$M$125,1))</f>
        <v>2.78576E-2</v>
      </c>
      <c r="DY71" s="103">
        <f>INDEX('Inputs &amp; Drivers'!$N$5:$N$125,MATCH(Model!DY$6,'Inputs &amp; Drivers'!$M$5:$M$125,1))</f>
        <v>2.7859700000000001E-2</v>
      </c>
      <c r="DZ71" s="103">
        <f>INDEX('Inputs &amp; Drivers'!$N$5:$N$125,MATCH(Model!DZ$6,'Inputs &amp; Drivers'!$M$5:$M$125,1))</f>
        <v>2.7867400000000001E-2</v>
      </c>
      <c r="EA71" s="103">
        <f>INDEX('Inputs &amp; Drivers'!$N$5:$N$125,MATCH(Model!EA$6,'Inputs &amp; Drivers'!$M$5:$M$125,1))</f>
        <v>2.7867400000000001E-2</v>
      </c>
      <c r="EB71" s="103">
        <f>INDEX('Inputs &amp; Drivers'!$N$5:$N$125,MATCH(Model!EB$6,'Inputs &amp; Drivers'!$M$5:$M$125,1))</f>
        <v>2.7867400000000001E-2</v>
      </c>
      <c r="EC71" s="103">
        <f>INDEX('Inputs &amp; Drivers'!$N$5:$N$125,MATCH(Model!EC$6,'Inputs &amp; Drivers'!$M$5:$M$125,1))</f>
        <v>2.7867400000000001E-2</v>
      </c>
      <c r="ED71" s="103">
        <f>INDEX('Inputs &amp; Drivers'!$N$5:$N$125,MATCH(Model!ED$6,'Inputs &amp; Drivers'!$M$5:$M$125,1))</f>
        <v>2.7867400000000001E-2</v>
      </c>
      <c r="EE71" s="103">
        <f>INDEX('Inputs &amp; Drivers'!$N$5:$N$125,MATCH(Model!EE$6,'Inputs &amp; Drivers'!$M$5:$M$125,1))</f>
        <v>2.7867400000000001E-2</v>
      </c>
      <c r="EF71" s="103">
        <f>INDEX('Inputs &amp; Drivers'!$N$5:$N$125,MATCH(Model!EF$6,'Inputs &amp; Drivers'!$M$5:$M$125,1))</f>
        <v>2.7867400000000001E-2</v>
      </c>
      <c r="EG71" s="103">
        <f>INDEX('Inputs &amp; Drivers'!$N$5:$N$125,MATCH(Model!EG$6,'Inputs &amp; Drivers'!$M$5:$M$125,1))</f>
        <v>2.7867400000000001E-2</v>
      </c>
      <c r="EH71" s="103">
        <f>INDEX('Inputs &amp; Drivers'!$N$5:$N$125,MATCH(Model!EH$6,'Inputs &amp; Drivers'!$M$5:$M$125,1))</f>
        <v>2.7867400000000001E-2</v>
      </c>
      <c r="EI71" s="103">
        <f>INDEX('Inputs &amp; Drivers'!$N$5:$N$125,MATCH(Model!EI$6,'Inputs &amp; Drivers'!$M$5:$M$125,1))</f>
        <v>2.7867400000000001E-2</v>
      </c>
      <c r="EJ71" s="103">
        <f>INDEX('Inputs &amp; Drivers'!$N$5:$N$125,MATCH(Model!EJ$6,'Inputs &amp; Drivers'!$M$5:$M$125,1))</f>
        <v>2.7867400000000001E-2</v>
      </c>
      <c r="EK71" s="103">
        <f>INDEX('Inputs &amp; Drivers'!$N$5:$N$125,MATCH(Model!EK$6,'Inputs &amp; Drivers'!$M$5:$M$125,1))</f>
        <v>2.7867400000000001E-2</v>
      </c>
    </row>
    <row r="72" spans="2:154" x14ac:dyDescent="0.3">
      <c r="B72" s="1" t="s">
        <v>70</v>
      </c>
      <c r="J72" s="96">
        <f>'Inputs &amp; Drivers'!$J$24/10000</f>
        <v>2.1499999999999998E-2</v>
      </c>
      <c r="K72" s="97">
        <f>J72</f>
        <v>2.1499999999999998E-2</v>
      </c>
      <c r="L72" s="97">
        <f t="shared" ref="L72:O72" si="1062">K72</f>
        <v>2.1499999999999998E-2</v>
      </c>
      <c r="M72" s="97">
        <f t="shared" si="1062"/>
        <v>2.1499999999999998E-2</v>
      </c>
      <c r="N72" s="97">
        <f t="shared" si="1062"/>
        <v>2.1499999999999998E-2</v>
      </c>
      <c r="O72" s="97">
        <f t="shared" si="1062"/>
        <v>2.1499999999999998E-2</v>
      </c>
      <c r="P72" s="97">
        <f t="shared" ref="P72:CA72" si="1063">O72</f>
        <v>2.1499999999999998E-2</v>
      </c>
      <c r="Q72" s="97">
        <f t="shared" si="1063"/>
        <v>2.1499999999999998E-2</v>
      </c>
      <c r="R72" s="97">
        <f t="shared" si="1063"/>
        <v>2.1499999999999998E-2</v>
      </c>
      <c r="S72" s="97">
        <f t="shared" si="1063"/>
        <v>2.1499999999999998E-2</v>
      </c>
      <c r="T72" s="97">
        <f t="shared" si="1063"/>
        <v>2.1499999999999998E-2</v>
      </c>
      <c r="U72" s="97">
        <f t="shared" si="1063"/>
        <v>2.1499999999999998E-2</v>
      </c>
      <c r="V72" s="97">
        <f t="shared" si="1063"/>
        <v>2.1499999999999998E-2</v>
      </c>
      <c r="W72" s="97">
        <f t="shared" si="1063"/>
        <v>2.1499999999999998E-2</v>
      </c>
      <c r="X72" s="97">
        <f t="shared" si="1063"/>
        <v>2.1499999999999998E-2</v>
      </c>
      <c r="Y72" s="97">
        <f t="shared" si="1063"/>
        <v>2.1499999999999998E-2</v>
      </c>
      <c r="Z72" s="97">
        <f t="shared" si="1063"/>
        <v>2.1499999999999998E-2</v>
      </c>
      <c r="AA72" s="97">
        <f t="shared" si="1063"/>
        <v>2.1499999999999998E-2</v>
      </c>
      <c r="AB72" s="97">
        <f t="shared" si="1063"/>
        <v>2.1499999999999998E-2</v>
      </c>
      <c r="AC72" s="97">
        <f t="shared" si="1063"/>
        <v>2.1499999999999998E-2</v>
      </c>
      <c r="AD72" s="97">
        <f t="shared" si="1063"/>
        <v>2.1499999999999998E-2</v>
      </c>
      <c r="AE72" s="97">
        <f t="shared" si="1063"/>
        <v>2.1499999999999998E-2</v>
      </c>
      <c r="AF72" s="97">
        <f t="shared" si="1063"/>
        <v>2.1499999999999998E-2</v>
      </c>
      <c r="AG72" s="97">
        <f t="shared" si="1063"/>
        <v>2.1499999999999998E-2</v>
      </c>
      <c r="AH72" s="97">
        <f t="shared" si="1063"/>
        <v>2.1499999999999998E-2</v>
      </c>
      <c r="AI72" s="97">
        <f t="shared" si="1063"/>
        <v>2.1499999999999998E-2</v>
      </c>
      <c r="AJ72" s="97">
        <f t="shared" si="1063"/>
        <v>2.1499999999999998E-2</v>
      </c>
      <c r="AK72" s="97">
        <f t="shared" si="1063"/>
        <v>2.1499999999999998E-2</v>
      </c>
      <c r="AL72" s="97">
        <f t="shared" si="1063"/>
        <v>2.1499999999999998E-2</v>
      </c>
      <c r="AM72" s="97">
        <f t="shared" si="1063"/>
        <v>2.1499999999999998E-2</v>
      </c>
      <c r="AN72" s="97">
        <f t="shared" si="1063"/>
        <v>2.1499999999999998E-2</v>
      </c>
      <c r="AO72" s="97">
        <f t="shared" si="1063"/>
        <v>2.1499999999999998E-2</v>
      </c>
      <c r="AP72" s="97">
        <f t="shared" si="1063"/>
        <v>2.1499999999999998E-2</v>
      </c>
      <c r="AQ72" s="97">
        <f t="shared" si="1063"/>
        <v>2.1499999999999998E-2</v>
      </c>
      <c r="AR72" s="97">
        <f t="shared" si="1063"/>
        <v>2.1499999999999998E-2</v>
      </c>
      <c r="AS72" s="97">
        <f t="shared" si="1063"/>
        <v>2.1499999999999998E-2</v>
      </c>
      <c r="AT72" s="97">
        <f t="shared" si="1063"/>
        <v>2.1499999999999998E-2</v>
      </c>
      <c r="AU72" s="97">
        <f t="shared" si="1063"/>
        <v>2.1499999999999998E-2</v>
      </c>
      <c r="AV72" s="97">
        <f t="shared" si="1063"/>
        <v>2.1499999999999998E-2</v>
      </c>
      <c r="AW72" s="97">
        <f t="shared" si="1063"/>
        <v>2.1499999999999998E-2</v>
      </c>
      <c r="AX72" s="97">
        <f t="shared" si="1063"/>
        <v>2.1499999999999998E-2</v>
      </c>
      <c r="AY72" s="97">
        <f t="shared" si="1063"/>
        <v>2.1499999999999998E-2</v>
      </c>
      <c r="AZ72" s="97">
        <f t="shared" si="1063"/>
        <v>2.1499999999999998E-2</v>
      </c>
      <c r="BA72" s="97">
        <f t="shared" si="1063"/>
        <v>2.1499999999999998E-2</v>
      </c>
      <c r="BB72" s="97">
        <f t="shared" si="1063"/>
        <v>2.1499999999999998E-2</v>
      </c>
      <c r="BC72" s="97">
        <f t="shared" si="1063"/>
        <v>2.1499999999999998E-2</v>
      </c>
      <c r="BD72" s="97">
        <f t="shared" si="1063"/>
        <v>2.1499999999999998E-2</v>
      </c>
      <c r="BE72" s="97">
        <f t="shared" si="1063"/>
        <v>2.1499999999999998E-2</v>
      </c>
      <c r="BF72" s="97">
        <f t="shared" si="1063"/>
        <v>2.1499999999999998E-2</v>
      </c>
      <c r="BG72" s="97">
        <f t="shared" si="1063"/>
        <v>2.1499999999999998E-2</v>
      </c>
      <c r="BH72" s="97">
        <f t="shared" si="1063"/>
        <v>2.1499999999999998E-2</v>
      </c>
      <c r="BI72" s="97">
        <f t="shared" si="1063"/>
        <v>2.1499999999999998E-2</v>
      </c>
      <c r="BJ72" s="97">
        <f t="shared" si="1063"/>
        <v>2.1499999999999998E-2</v>
      </c>
      <c r="BK72" s="97">
        <f t="shared" si="1063"/>
        <v>2.1499999999999998E-2</v>
      </c>
      <c r="BL72" s="97">
        <f t="shared" si="1063"/>
        <v>2.1499999999999998E-2</v>
      </c>
      <c r="BM72" s="97">
        <f t="shared" si="1063"/>
        <v>2.1499999999999998E-2</v>
      </c>
      <c r="BN72" s="97">
        <f t="shared" si="1063"/>
        <v>2.1499999999999998E-2</v>
      </c>
      <c r="BO72" s="97">
        <f t="shared" si="1063"/>
        <v>2.1499999999999998E-2</v>
      </c>
      <c r="BP72" s="97">
        <f t="shared" si="1063"/>
        <v>2.1499999999999998E-2</v>
      </c>
      <c r="BQ72" s="97">
        <f t="shared" si="1063"/>
        <v>2.1499999999999998E-2</v>
      </c>
      <c r="BR72" s="97">
        <f t="shared" si="1063"/>
        <v>2.1499999999999998E-2</v>
      </c>
      <c r="BS72" s="97">
        <f t="shared" si="1063"/>
        <v>2.1499999999999998E-2</v>
      </c>
      <c r="BT72" s="97">
        <f t="shared" si="1063"/>
        <v>2.1499999999999998E-2</v>
      </c>
      <c r="BU72" s="97">
        <f t="shared" si="1063"/>
        <v>2.1499999999999998E-2</v>
      </c>
      <c r="BV72" s="97">
        <f t="shared" si="1063"/>
        <v>2.1499999999999998E-2</v>
      </c>
      <c r="BW72" s="97">
        <f t="shared" si="1063"/>
        <v>2.1499999999999998E-2</v>
      </c>
      <c r="BX72" s="97">
        <f t="shared" si="1063"/>
        <v>2.1499999999999998E-2</v>
      </c>
      <c r="BY72" s="97">
        <f t="shared" si="1063"/>
        <v>2.1499999999999998E-2</v>
      </c>
      <c r="BZ72" s="97">
        <f t="shared" si="1063"/>
        <v>2.1499999999999998E-2</v>
      </c>
      <c r="CA72" s="97">
        <f t="shared" si="1063"/>
        <v>2.1499999999999998E-2</v>
      </c>
      <c r="CB72" s="97">
        <f t="shared" ref="CB72:EK72" si="1064">CA72</f>
        <v>2.1499999999999998E-2</v>
      </c>
      <c r="CC72" s="97">
        <f t="shared" si="1064"/>
        <v>2.1499999999999998E-2</v>
      </c>
      <c r="CD72" s="97">
        <f t="shared" si="1064"/>
        <v>2.1499999999999998E-2</v>
      </c>
      <c r="CE72" s="97">
        <f t="shared" si="1064"/>
        <v>2.1499999999999998E-2</v>
      </c>
      <c r="CF72" s="97">
        <f t="shared" si="1064"/>
        <v>2.1499999999999998E-2</v>
      </c>
      <c r="CG72" s="97">
        <f t="shared" si="1064"/>
        <v>2.1499999999999998E-2</v>
      </c>
      <c r="CH72" s="97">
        <f t="shared" si="1064"/>
        <v>2.1499999999999998E-2</v>
      </c>
      <c r="CI72" s="97">
        <f t="shared" si="1064"/>
        <v>2.1499999999999998E-2</v>
      </c>
      <c r="CJ72" s="97">
        <f t="shared" si="1064"/>
        <v>2.1499999999999998E-2</v>
      </c>
      <c r="CK72" s="97">
        <f t="shared" si="1064"/>
        <v>2.1499999999999998E-2</v>
      </c>
      <c r="CL72" s="97">
        <f t="shared" si="1064"/>
        <v>2.1499999999999998E-2</v>
      </c>
      <c r="CM72" s="97">
        <f t="shared" si="1064"/>
        <v>2.1499999999999998E-2</v>
      </c>
      <c r="CN72" s="97">
        <f t="shared" si="1064"/>
        <v>2.1499999999999998E-2</v>
      </c>
      <c r="CO72" s="97">
        <f t="shared" si="1064"/>
        <v>2.1499999999999998E-2</v>
      </c>
      <c r="CP72" s="97">
        <f t="shared" si="1064"/>
        <v>2.1499999999999998E-2</v>
      </c>
      <c r="CQ72" s="97">
        <f t="shared" si="1064"/>
        <v>2.1499999999999998E-2</v>
      </c>
      <c r="CR72" s="97">
        <f t="shared" si="1064"/>
        <v>2.1499999999999998E-2</v>
      </c>
      <c r="CS72" s="97">
        <f t="shared" si="1064"/>
        <v>2.1499999999999998E-2</v>
      </c>
      <c r="CT72" s="97">
        <f t="shared" si="1064"/>
        <v>2.1499999999999998E-2</v>
      </c>
      <c r="CU72" s="97">
        <f t="shared" si="1064"/>
        <v>2.1499999999999998E-2</v>
      </c>
      <c r="CV72" s="97">
        <f t="shared" si="1064"/>
        <v>2.1499999999999998E-2</v>
      </c>
      <c r="CW72" s="97">
        <f t="shared" si="1064"/>
        <v>2.1499999999999998E-2</v>
      </c>
      <c r="CX72" s="97">
        <f t="shared" si="1064"/>
        <v>2.1499999999999998E-2</v>
      </c>
      <c r="CY72" s="97">
        <f t="shared" si="1064"/>
        <v>2.1499999999999998E-2</v>
      </c>
      <c r="CZ72" s="97">
        <f t="shared" si="1064"/>
        <v>2.1499999999999998E-2</v>
      </c>
      <c r="DA72" s="97">
        <f t="shared" si="1064"/>
        <v>2.1499999999999998E-2</v>
      </c>
      <c r="DB72" s="97">
        <f t="shared" si="1064"/>
        <v>2.1499999999999998E-2</v>
      </c>
      <c r="DC72" s="97">
        <f t="shared" si="1064"/>
        <v>2.1499999999999998E-2</v>
      </c>
      <c r="DD72" s="97">
        <f t="shared" si="1064"/>
        <v>2.1499999999999998E-2</v>
      </c>
      <c r="DE72" s="97">
        <f t="shared" si="1064"/>
        <v>2.1499999999999998E-2</v>
      </c>
      <c r="DF72" s="97">
        <f t="shared" si="1064"/>
        <v>2.1499999999999998E-2</v>
      </c>
      <c r="DG72" s="97">
        <f t="shared" si="1064"/>
        <v>2.1499999999999998E-2</v>
      </c>
      <c r="DH72" s="97">
        <f t="shared" si="1064"/>
        <v>2.1499999999999998E-2</v>
      </c>
      <c r="DI72" s="97">
        <f t="shared" si="1064"/>
        <v>2.1499999999999998E-2</v>
      </c>
      <c r="DJ72" s="97">
        <f t="shared" si="1064"/>
        <v>2.1499999999999998E-2</v>
      </c>
      <c r="DK72" s="97">
        <f t="shared" si="1064"/>
        <v>2.1499999999999998E-2</v>
      </c>
      <c r="DL72" s="97">
        <f t="shared" si="1064"/>
        <v>2.1499999999999998E-2</v>
      </c>
      <c r="DM72" s="97">
        <f t="shared" si="1064"/>
        <v>2.1499999999999998E-2</v>
      </c>
      <c r="DN72" s="97">
        <f t="shared" si="1064"/>
        <v>2.1499999999999998E-2</v>
      </c>
      <c r="DO72" s="97">
        <f t="shared" si="1064"/>
        <v>2.1499999999999998E-2</v>
      </c>
      <c r="DP72" s="97">
        <f t="shared" si="1064"/>
        <v>2.1499999999999998E-2</v>
      </c>
      <c r="DQ72" s="97">
        <f t="shared" si="1064"/>
        <v>2.1499999999999998E-2</v>
      </c>
      <c r="DR72" s="97">
        <f t="shared" si="1064"/>
        <v>2.1499999999999998E-2</v>
      </c>
      <c r="DS72" s="97">
        <f t="shared" si="1064"/>
        <v>2.1499999999999998E-2</v>
      </c>
      <c r="DT72" s="97">
        <f t="shared" si="1064"/>
        <v>2.1499999999999998E-2</v>
      </c>
      <c r="DU72" s="97">
        <f t="shared" si="1064"/>
        <v>2.1499999999999998E-2</v>
      </c>
      <c r="DV72" s="97">
        <f t="shared" si="1064"/>
        <v>2.1499999999999998E-2</v>
      </c>
      <c r="DW72" s="97">
        <f t="shared" si="1064"/>
        <v>2.1499999999999998E-2</v>
      </c>
      <c r="DX72" s="97">
        <f t="shared" si="1064"/>
        <v>2.1499999999999998E-2</v>
      </c>
      <c r="DY72" s="97">
        <f t="shared" si="1064"/>
        <v>2.1499999999999998E-2</v>
      </c>
      <c r="DZ72" s="97">
        <f t="shared" si="1064"/>
        <v>2.1499999999999998E-2</v>
      </c>
      <c r="EA72" s="97">
        <f t="shared" si="1064"/>
        <v>2.1499999999999998E-2</v>
      </c>
      <c r="EB72" s="97">
        <f t="shared" si="1064"/>
        <v>2.1499999999999998E-2</v>
      </c>
      <c r="EC72" s="97">
        <f t="shared" si="1064"/>
        <v>2.1499999999999998E-2</v>
      </c>
      <c r="ED72" s="97">
        <f t="shared" si="1064"/>
        <v>2.1499999999999998E-2</v>
      </c>
      <c r="EE72" s="97">
        <f t="shared" si="1064"/>
        <v>2.1499999999999998E-2</v>
      </c>
      <c r="EF72" s="97">
        <f t="shared" si="1064"/>
        <v>2.1499999999999998E-2</v>
      </c>
      <c r="EG72" s="97">
        <f t="shared" si="1064"/>
        <v>2.1499999999999998E-2</v>
      </c>
      <c r="EH72" s="97">
        <f t="shared" si="1064"/>
        <v>2.1499999999999998E-2</v>
      </c>
      <c r="EI72" s="97">
        <f t="shared" si="1064"/>
        <v>2.1499999999999998E-2</v>
      </c>
      <c r="EJ72" s="97">
        <f t="shared" si="1064"/>
        <v>2.1499999999999998E-2</v>
      </c>
      <c r="EK72" s="97">
        <f t="shared" si="1064"/>
        <v>2.1499999999999998E-2</v>
      </c>
    </row>
    <row r="73" spans="2:154" x14ac:dyDescent="0.3">
      <c r="B73" s="1" t="s">
        <v>131</v>
      </c>
      <c r="J73" s="49">
        <f>SUM(J71:J72)</f>
        <v>4.6627500000000002E-2</v>
      </c>
      <c r="K73" s="49">
        <f t="shared" ref="K73:O73" si="1065">SUM(K71:K72)</f>
        <v>4.6554699999999997E-2</v>
      </c>
      <c r="L73" s="49">
        <f t="shared" si="1065"/>
        <v>4.6462400000000001E-2</v>
      </c>
      <c r="M73" s="49">
        <f t="shared" si="1065"/>
        <v>4.6445899999999998E-2</v>
      </c>
      <c r="N73" s="49">
        <f t="shared" si="1065"/>
        <v>4.6455999999999997E-2</v>
      </c>
      <c r="O73" s="49">
        <f t="shared" si="1065"/>
        <v>4.6416899999999997E-2</v>
      </c>
      <c r="P73" s="49">
        <f t="shared" ref="P73" si="1066">SUM(P71:P72)</f>
        <v>4.6353400000000003E-2</v>
      </c>
      <c r="Q73" s="49">
        <f t="shared" ref="Q73" si="1067">SUM(Q71:Q72)</f>
        <v>4.6261700000000003E-2</v>
      </c>
      <c r="R73" s="49">
        <f t="shared" ref="R73" si="1068">SUM(R71:R72)</f>
        <v>4.6109200000000003E-2</v>
      </c>
      <c r="S73" s="49">
        <f t="shared" ref="S73" si="1069">SUM(S71:S72)</f>
        <v>4.5931600000000003E-2</v>
      </c>
      <c r="T73" s="49">
        <f t="shared" ref="T73" si="1070">SUM(T71:T72)</f>
        <v>4.5737299999999995E-2</v>
      </c>
      <c r="U73" s="49">
        <f t="shared" ref="U73" si="1071">SUM(U71:U72)</f>
        <v>4.54998E-2</v>
      </c>
      <c r="V73" s="49">
        <f t="shared" ref="V73" si="1072">SUM(V71:V72)</f>
        <v>4.52498E-2</v>
      </c>
      <c r="W73" s="49">
        <f t="shared" ref="W73" si="1073">SUM(W71:W72)</f>
        <v>4.49851E-2</v>
      </c>
      <c r="X73" s="49">
        <f t="shared" ref="X73" si="1074">SUM(X71:X72)</f>
        <v>4.4670799999999997E-2</v>
      </c>
      <c r="Y73" s="49">
        <f t="shared" ref="Y73" si="1075">SUM(Y71:Y72)</f>
        <v>4.4353799999999999E-2</v>
      </c>
      <c r="Z73" s="49">
        <f t="shared" ref="Z73" si="1076">SUM(Z71:Z72)</f>
        <v>4.4050599999999995E-2</v>
      </c>
      <c r="AA73" s="49">
        <f t="shared" ref="AA73" si="1077">SUM(AA71:AA72)</f>
        <v>4.3745899999999997E-2</v>
      </c>
      <c r="AB73" s="49">
        <f t="shared" ref="AB73" si="1078">SUM(AB71:AB72)</f>
        <v>4.3482599999999996E-2</v>
      </c>
      <c r="AC73" s="49">
        <f t="shared" ref="AC73" si="1079">SUM(AC71:AC72)</f>
        <v>4.3272999999999999E-2</v>
      </c>
      <c r="AD73" s="49">
        <f t="shared" ref="AD73" si="1080">SUM(AD71:AD72)</f>
        <v>4.3089199999999994E-2</v>
      </c>
      <c r="AE73" s="49">
        <f t="shared" ref="AE73" si="1081">SUM(AE71:AE72)</f>
        <v>4.2969199999999999E-2</v>
      </c>
      <c r="AF73" s="49">
        <f t="shared" ref="AF73" si="1082">SUM(AF71:AF72)</f>
        <v>4.2912400000000003E-2</v>
      </c>
      <c r="AG73" s="49">
        <f t="shared" ref="AG73" si="1083">SUM(AG71:AG72)</f>
        <v>4.2875200000000002E-2</v>
      </c>
      <c r="AH73" s="49">
        <f t="shared" ref="AH73" si="1084">SUM(AH71:AH72)</f>
        <v>4.2880399999999999E-2</v>
      </c>
      <c r="AI73" s="49">
        <f t="shared" ref="AI73" si="1085">SUM(AI71:AI72)</f>
        <v>4.2910199999999996E-2</v>
      </c>
      <c r="AJ73" s="49">
        <f t="shared" ref="AJ73" si="1086">SUM(AJ71:AJ72)</f>
        <v>4.2923799999999998E-2</v>
      </c>
      <c r="AK73" s="49">
        <f t="shared" ref="AK73" si="1087">SUM(AK71:AK72)</f>
        <v>4.2943200000000001E-2</v>
      </c>
      <c r="AL73" s="49">
        <f t="shared" ref="AL73" si="1088">SUM(AL71:AL72)</f>
        <v>4.2968399999999997E-2</v>
      </c>
      <c r="AM73" s="49">
        <f t="shared" ref="AM73" si="1089">SUM(AM71:AM72)</f>
        <v>4.2977699999999994E-2</v>
      </c>
      <c r="AN73" s="49">
        <f t="shared" ref="AN73" si="1090">SUM(AN71:AN72)</f>
        <v>4.2995800000000001E-2</v>
      </c>
      <c r="AO73" s="49">
        <f t="shared" ref="AO73" si="1091">SUM(AO71:AO72)</f>
        <v>4.3025899999999999E-2</v>
      </c>
      <c r="AP73" s="49">
        <f t="shared" ref="AP73" si="1092">SUM(AP71:AP72)</f>
        <v>4.3047000000000002E-2</v>
      </c>
      <c r="AQ73" s="49">
        <f t="shared" ref="AQ73" si="1093">SUM(AQ71:AQ72)</f>
        <v>4.3081800000000003E-2</v>
      </c>
      <c r="AR73" s="49">
        <f t="shared" ref="AR73" si="1094">SUM(AR71:AR72)</f>
        <v>4.3131099999999999E-2</v>
      </c>
      <c r="AS73" s="49">
        <f t="shared" ref="AS73" si="1095">SUM(AS71:AS72)</f>
        <v>4.3172599999999998E-2</v>
      </c>
      <c r="AT73" s="49">
        <f t="shared" ref="AT73" si="1096">SUM(AT71:AT72)</f>
        <v>4.32284E-2</v>
      </c>
      <c r="AU73" s="49">
        <f t="shared" ref="AU73" si="1097">SUM(AU71:AU72)</f>
        <v>4.3298199999999995E-2</v>
      </c>
      <c r="AV73" s="49">
        <f t="shared" ref="AV73" si="1098">SUM(AV71:AV72)</f>
        <v>4.3357300000000001E-2</v>
      </c>
      <c r="AW73" s="49">
        <f t="shared" ref="AW73" si="1099">SUM(AW71:AW72)</f>
        <v>4.3429299999999997E-2</v>
      </c>
      <c r="AX73" s="49">
        <f t="shared" ref="AX73" si="1100">SUM(AX71:AX72)</f>
        <v>4.3513499999999997E-2</v>
      </c>
      <c r="AY73" s="49">
        <f t="shared" ref="AY73" si="1101">SUM(AY71:AY72)</f>
        <v>4.3584299999999999E-2</v>
      </c>
      <c r="AZ73" s="49">
        <f t="shared" ref="AZ73" si="1102">SUM(AZ71:AZ72)</f>
        <v>4.3665200000000001E-2</v>
      </c>
      <c r="BA73" s="49">
        <f t="shared" ref="BA73" si="1103">SUM(BA71:BA72)</f>
        <v>4.3756199999999995E-2</v>
      </c>
      <c r="BB73" s="49">
        <f t="shared" ref="BB73" si="1104">SUM(BB71:BB72)</f>
        <v>4.3832499999999996E-2</v>
      </c>
      <c r="BC73" s="49">
        <f t="shared" ref="BC73" si="1105">SUM(BC71:BC72)</f>
        <v>4.3917699999999997E-2</v>
      </c>
      <c r="BD73" s="49">
        <f t="shared" ref="BD73" si="1106">SUM(BD71:BD72)</f>
        <v>4.4011999999999996E-2</v>
      </c>
      <c r="BE73" s="49">
        <f t="shared" ref="BE73" si="1107">SUM(BE71:BE72)</f>
        <v>4.40918E-2</v>
      </c>
      <c r="BF73" s="49">
        <f t="shared" ref="BF73" si="1108">SUM(BF71:BF72)</f>
        <v>4.4181199999999997E-2</v>
      </c>
      <c r="BG73" s="49">
        <f t="shared" ref="BG73" si="1109">SUM(BG71:BG72)</f>
        <v>4.4279199999999998E-2</v>
      </c>
      <c r="BH73" s="49">
        <f t="shared" ref="BH73" si="1110">SUM(BH71:BH72)</f>
        <v>4.4361899999999996E-2</v>
      </c>
      <c r="BI73" s="49">
        <f t="shared" ref="BI73" si="1111">SUM(BI71:BI72)</f>
        <v>4.44436E-2</v>
      </c>
      <c r="BJ73" s="49">
        <f t="shared" ref="BJ73" si="1112">SUM(BJ71:BJ72)</f>
        <v>4.4553799999999998E-2</v>
      </c>
      <c r="BK73" s="49">
        <f t="shared" ref="BK73" si="1113">SUM(BK71:BK72)</f>
        <v>4.4637799999999998E-2</v>
      </c>
      <c r="BL73" s="49">
        <f t="shared" ref="BL73" si="1114">SUM(BL71:BL72)</f>
        <v>4.4729699999999997E-2</v>
      </c>
      <c r="BM73" s="49">
        <f t="shared" ref="BM73" si="1115">SUM(BM71:BM72)</f>
        <v>4.4829999999999995E-2</v>
      </c>
      <c r="BN73" s="49">
        <f t="shared" ref="BN73" si="1116">SUM(BN71:BN72)</f>
        <v>4.4915499999999997E-2</v>
      </c>
      <c r="BO73" s="49">
        <f t="shared" ref="BO73" si="1117">SUM(BO71:BO72)</f>
        <v>4.5009300000000002E-2</v>
      </c>
      <c r="BP73" s="49">
        <f t="shared" ref="BP73" si="1118">SUM(BP71:BP72)</f>
        <v>4.51101E-2</v>
      </c>
      <c r="BQ73" s="49">
        <f t="shared" ref="BQ73" si="1119">SUM(BQ71:BQ72)</f>
        <v>4.51943E-2</v>
      </c>
      <c r="BR73" s="49">
        <f t="shared" ref="BR73" si="1120">SUM(BR71:BR72)</f>
        <v>4.5286699999999999E-2</v>
      </c>
      <c r="BS73" s="49">
        <f t="shared" ref="BS73" si="1121">SUM(BS71:BS72)</f>
        <v>4.5387899999999995E-2</v>
      </c>
      <c r="BT73" s="49">
        <f t="shared" ref="BT73" si="1122">SUM(BT71:BT72)</f>
        <v>4.5473600000000003E-2</v>
      </c>
      <c r="BU73" s="49">
        <f t="shared" ref="BU73" si="1123">SUM(BU71:BU72)</f>
        <v>4.5569199999999997E-2</v>
      </c>
      <c r="BV73" s="49">
        <f t="shared" ref="BV73" si="1124">SUM(BV71:BV72)</f>
        <v>4.5674099999999995E-2</v>
      </c>
      <c r="BW73" s="49">
        <f t="shared" ref="BW73" si="1125">SUM(BW71:BW72)</f>
        <v>4.5763899999999996E-2</v>
      </c>
      <c r="BX73" s="49">
        <f t="shared" ref="BX73" si="1126">SUM(BX71:BX72)</f>
        <v>4.5863399999999999E-2</v>
      </c>
      <c r="BY73" s="49">
        <f t="shared" ref="BY73" si="1127">SUM(BY71:BY72)</f>
        <v>4.5972299999999994E-2</v>
      </c>
      <c r="BZ73" s="49">
        <f t="shared" ref="BZ73" si="1128">SUM(BZ71:BZ72)</f>
        <v>4.60659E-2</v>
      </c>
      <c r="CA73" s="49">
        <f t="shared" ref="CA73" si="1129">SUM(CA71:CA72)</f>
        <v>4.6167199999999999E-2</v>
      </c>
      <c r="CB73" s="49">
        <f t="shared" ref="CB73" si="1130">SUM(CB71:CB72)</f>
        <v>4.6276399999999995E-2</v>
      </c>
      <c r="CC73" s="49">
        <f t="shared" ref="CC73" si="1131">SUM(CC71:CC72)</f>
        <v>4.6368899999999998E-2</v>
      </c>
      <c r="CD73" s="49">
        <f t="shared" ref="CD73" si="1132">SUM(CD71:CD72)</f>
        <v>4.6467499999999995E-2</v>
      </c>
      <c r="CE73" s="49">
        <f t="shared" ref="CE73" si="1133">SUM(CE71:CE72)</f>
        <v>4.6571699999999994E-2</v>
      </c>
      <c r="CF73" s="49">
        <f t="shared" ref="CF73" si="1134">SUM(CF71:CF72)</f>
        <v>4.6656299999999998E-2</v>
      </c>
      <c r="CG73" s="49">
        <f t="shared" ref="CG73" si="1135">SUM(CG71:CG72)</f>
        <v>4.6746399999999994E-2</v>
      </c>
      <c r="CH73" s="49">
        <f t="shared" ref="CH73" si="1136">SUM(CH71:CH72)</f>
        <v>4.6842099999999998E-2</v>
      </c>
      <c r="CI73" s="49">
        <f t="shared" ref="CI73" si="1137">SUM(CI71:CI72)</f>
        <v>4.6919799999999998E-2</v>
      </c>
      <c r="CJ73" s="49">
        <f t="shared" ref="CJ73" si="1138">SUM(CJ71:CJ72)</f>
        <v>4.7002500000000003E-2</v>
      </c>
      <c r="CK73" s="49">
        <f t="shared" ref="CK73" si="1139">SUM(CK71:CK72)</f>
        <v>4.7090499999999993E-2</v>
      </c>
      <c r="CL73" s="49">
        <f t="shared" ref="CL73" si="1140">SUM(CL71:CL72)</f>
        <v>4.7159999999999994E-2</v>
      </c>
      <c r="CM73" s="49">
        <f t="shared" ref="CM73" si="1141">SUM(CM71:CM72)</f>
        <v>4.7234399999999996E-2</v>
      </c>
      <c r="CN73" s="49">
        <f t="shared" ref="CN73" si="1142">SUM(CN71:CN72)</f>
        <v>4.7314299999999997E-2</v>
      </c>
      <c r="CO73" s="49">
        <f t="shared" ref="CO73" si="1143">SUM(CO71:CO72)</f>
        <v>4.7375899999999999E-2</v>
      </c>
      <c r="CP73" s="49">
        <f t="shared" ref="CP73" si="1144">SUM(CP71:CP72)</f>
        <v>4.7444399999999998E-2</v>
      </c>
      <c r="CQ73" s="49">
        <f t="shared" ref="CQ73" si="1145">SUM(CQ71:CQ72)</f>
        <v>4.7521399999999998E-2</v>
      </c>
      <c r="CR73" s="49">
        <f t="shared" ref="CR73" si="1146">SUM(CR71:CR72)</f>
        <v>4.7581199999999997E-2</v>
      </c>
      <c r="CS73" s="49">
        <f t="shared" ref="CS73" si="1147">SUM(CS71:CS72)</f>
        <v>4.7648799999999998E-2</v>
      </c>
      <c r="CT73" s="49">
        <f t="shared" ref="CT73" si="1148">SUM(CT71:CT72)</f>
        <v>4.7724900000000001E-2</v>
      </c>
      <c r="CU73" s="49">
        <f t="shared" ref="CU73" si="1149">SUM(CU71:CU72)</f>
        <v>4.7785899999999999E-2</v>
      </c>
      <c r="CV73" s="49">
        <f t="shared" ref="CV73" si="1150">SUM(CV71:CV72)</f>
        <v>4.7855999999999996E-2</v>
      </c>
      <c r="CW73" s="49">
        <f t="shared" ref="CW73" si="1151">SUM(CW71:CW72)</f>
        <v>4.7935899999999997E-2</v>
      </c>
      <c r="CX73" s="49">
        <f t="shared" ref="CX73" si="1152">SUM(CX71:CX72)</f>
        <v>4.8000699999999993E-2</v>
      </c>
      <c r="CY73" s="49">
        <f t="shared" ref="CY73" si="1153">SUM(CY71:CY72)</f>
        <v>4.8075E-2</v>
      </c>
      <c r="CZ73" s="49">
        <f t="shared" ref="CZ73" si="1154">SUM(CZ71:CZ72)</f>
        <v>4.8158999999999993E-2</v>
      </c>
      <c r="DA73" s="49">
        <f t="shared" ref="DA73" si="1155">SUM(DA71:DA72)</f>
        <v>4.8225799999999999E-2</v>
      </c>
      <c r="DB73" s="49">
        <f t="shared" ref="DB73" si="1156">SUM(DB71:DB72)</f>
        <v>4.8299999999999996E-2</v>
      </c>
      <c r="DC73" s="49">
        <f t="shared" ref="DC73" si="1157">SUM(DC71:DC72)</f>
        <v>4.8381199999999999E-2</v>
      </c>
      <c r="DD73" s="49">
        <f t="shared" ref="DD73" si="1158">SUM(DD71:DD72)</f>
        <v>4.8442899999999997E-2</v>
      </c>
      <c r="DE73" s="49">
        <f t="shared" ref="DE73" si="1159">SUM(DE71:DE72)</f>
        <v>4.8509700000000003E-2</v>
      </c>
      <c r="DF73" s="49">
        <f t="shared" ref="DF73" si="1160">SUM(DF71:DF72)</f>
        <v>4.8582E-2</v>
      </c>
      <c r="DG73" s="49">
        <f t="shared" ref="DG73" si="1161">SUM(DG71:DG72)</f>
        <v>4.8636100000000002E-2</v>
      </c>
      <c r="DH73" s="49">
        <f t="shared" ref="DH73" si="1162">SUM(DH71:DH72)</f>
        <v>4.8696799999999998E-2</v>
      </c>
      <c r="DI73" s="49">
        <f t="shared" ref="DI73" si="1163">SUM(DI71:DI72)</f>
        <v>4.8764799999999997E-2</v>
      </c>
      <c r="DJ73" s="49">
        <f t="shared" ref="DJ73" si="1164">SUM(DJ71:DJ72)</f>
        <v>4.8814499999999997E-2</v>
      </c>
      <c r="DK73" s="49">
        <f t="shared" ref="DK73" si="1165">SUM(DK71:DK72)</f>
        <v>4.8870299999999998E-2</v>
      </c>
      <c r="DL73" s="49">
        <f t="shared" ref="DL73" si="1166">SUM(DL71:DL72)</f>
        <v>4.8932400000000001E-2</v>
      </c>
      <c r="DM73" s="49">
        <f t="shared" ref="DM73" si="1167">SUM(DM71:DM72)</f>
        <v>4.8975999999999999E-2</v>
      </c>
      <c r="DN73" s="49">
        <f t="shared" ref="DN73" si="1168">SUM(DN71:DN72)</f>
        <v>4.9025399999999997E-2</v>
      </c>
      <c r="DO73" s="49">
        <f t="shared" ref="DO73" si="1169">SUM(DO71:DO72)</f>
        <v>4.9080399999999996E-2</v>
      </c>
      <c r="DP73" s="49">
        <f t="shared" ref="DP73" si="1170">SUM(DP71:DP72)</f>
        <v>4.9116300000000002E-2</v>
      </c>
      <c r="DQ73" s="49">
        <f t="shared" ref="DQ73" si="1171">SUM(DQ71:DQ72)</f>
        <v>4.9157599999999996E-2</v>
      </c>
      <c r="DR73" s="49">
        <f t="shared" ref="DR73" si="1172">SUM(DR71:DR72)</f>
        <v>4.9203999999999998E-2</v>
      </c>
      <c r="DS73" s="49">
        <f t="shared" ref="DS73" si="1173">SUM(DS71:DS72)</f>
        <v>4.92311E-2</v>
      </c>
      <c r="DT73" s="49">
        <f t="shared" ref="DT73" si="1174">SUM(DT71:DT72)</f>
        <v>4.9262599999999997E-2</v>
      </c>
      <c r="DU73" s="49">
        <f t="shared" ref="DU73" si="1175">SUM(DU71:DU72)</f>
        <v>4.9298399999999999E-2</v>
      </c>
      <c r="DV73" s="49">
        <f t="shared" ref="DV73" si="1176">SUM(DV71:DV72)</f>
        <v>4.93146E-2</v>
      </c>
      <c r="DW73" s="49">
        <f t="shared" ref="DW73" si="1177">SUM(DW71:DW72)</f>
        <v>4.9334699999999995E-2</v>
      </c>
      <c r="DX73" s="49">
        <f t="shared" ref="DX73" si="1178">SUM(DX71:DX72)</f>
        <v>4.9357600000000001E-2</v>
      </c>
      <c r="DY73" s="49">
        <f t="shared" ref="DY73" si="1179">SUM(DY71:DY72)</f>
        <v>4.9359699999999999E-2</v>
      </c>
      <c r="DZ73" s="49">
        <f t="shared" ref="DZ73" si="1180">SUM(DZ71:DZ72)</f>
        <v>4.9367399999999999E-2</v>
      </c>
      <c r="EA73" s="49">
        <f t="shared" ref="EA73" si="1181">SUM(EA71:EA72)</f>
        <v>4.9367399999999999E-2</v>
      </c>
      <c r="EB73" s="49">
        <f t="shared" ref="EB73" si="1182">SUM(EB71:EB72)</f>
        <v>4.9367399999999999E-2</v>
      </c>
      <c r="EC73" s="49">
        <f t="shared" ref="EC73" si="1183">SUM(EC71:EC72)</f>
        <v>4.9367399999999999E-2</v>
      </c>
      <c r="ED73" s="49">
        <f t="shared" ref="ED73" si="1184">SUM(ED71:ED72)</f>
        <v>4.9367399999999999E-2</v>
      </c>
      <c r="EE73" s="49">
        <f t="shared" ref="EE73" si="1185">SUM(EE71:EE72)</f>
        <v>4.9367399999999999E-2</v>
      </c>
      <c r="EF73" s="49">
        <f t="shared" ref="EF73" si="1186">SUM(EF71:EF72)</f>
        <v>4.9367399999999999E-2</v>
      </c>
      <c r="EG73" s="49">
        <f t="shared" ref="EG73" si="1187">SUM(EG71:EG72)</f>
        <v>4.9367399999999999E-2</v>
      </c>
      <c r="EH73" s="49">
        <f t="shared" ref="EH73" si="1188">SUM(EH71:EH72)</f>
        <v>4.9367399999999999E-2</v>
      </c>
      <c r="EI73" s="49">
        <f t="shared" ref="EI73" si="1189">SUM(EI71:EI72)</f>
        <v>4.9367399999999999E-2</v>
      </c>
      <c r="EJ73" s="49">
        <f t="shared" ref="EJ73" si="1190">SUM(EJ71:EJ72)</f>
        <v>4.9367399999999999E-2</v>
      </c>
      <c r="EK73" s="49">
        <f t="shared" ref="EK73" si="1191">SUM(EK71:EK72)</f>
        <v>4.9367399999999999E-2</v>
      </c>
    </row>
    <row r="75" spans="2:154" x14ac:dyDescent="0.3">
      <c r="B75" s="1" t="s">
        <v>134</v>
      </c>
      <c r="J75" s="71">
        <f t="shared" ref="J75:AO75" si="1192">-J73*J78*((J6-I6)/365)</f>
        <v>-141377.13493150685</v>
      </c>
      <c r="K75" s="71">
        <f t="shared" si="1192"/>
        <v>-127496.10443835615</v>
      </c>
      <c r="L75" s="71">
        <f t="shared" si="1192"/>
        <v>-140876.54268493151</v>
      </c>
      <c r="M75" s="71">
        <f t="shared" si="1192"/>
        <v>-136283.72301369862</v>
      </c>
      <c r="N75" s="71">
        <f t="shared" si="1192"/>
        <v>-140857.13753424658</v>
      </c>
      <c r="O75" s="71">
        <f t="shared" si="1192"/>
        <v>-136198.62986301369</v>
      </c>
      <c r="P75" s="71">
        <f t="shared" si="1192"/>
        <v>-140546.04871232877</v>
      </c>
      <c r="Q75" s="71">
        <f t="shared" si="1192"/>
        <v>-140268.00928767124</v>
      </c>
      <c r="R75" s="71">
        <f t="shared" si="1192"/>
        <v>-135295.76219178084</v>
      </c>
      <c r="S75" s="71">
        <f t="shared" si="1192"/>
        <v>-139267.128</v>
      </c>
      <c r="T75" s="71">
        <f t="shared" si="1192"/>
        <v>-134204.51589041093</v>
      </c>
      <c r="U75" s="71">
        <f t="shared" si="1192"/>
        <v>-137957.88673972603</v>
      </c>
      <c r="V75" s="71">
        <f t="shared" si="1192"/>
        <v>-137199.87304109588</v>
      </c>
      <c r="W75" s="71">
        <f t="shared" si="1192"/>
        <v>-127597.46309589043</v>
      </c>
      <c r="X75" s="71">
        <f t="shared" si="1192"/>
        <v>-135444.31331506849</v>
      </c>
      <c r="Y75" s="71">
        <f t="shared" si="1192"/>
        <v>-130144.98575342464</v>
      </c>
      <c r="Z75" s="71">
        <f t="shared" si="1192"/>
        <v>-133563.83293150683</v>
      </c>
      <c r="AA75" s="71">
        <f t="shared" si="1192"/>
        <v>-128361.25726027395</v>
      </c>
      <c r="AB75" s="71">
        <f t="shared" si="1192"/>
        <v>-131841.62580821916</v>
      </c>
      <c r="AC75" s="71">
        <f t="shared" si="1192"/>
        <v>-131206.10712328766</v>
      </c>
      <c r="AD75" s="71">
        <f t="shared" si="1192"/>
        <v>-126434.33753424654</v>
      </c>
      <c r="AE75" s="71">
        <f t="shared" si="1192"/>
        <v>-130284.96887671232</v>
      </c>
      <c r="AF75" s="71">
        <f t="shared" si="1192"/>
        <v>-125915.56273972604</v>
      </c>
      <c r="AG75" s="71">
        <f t="shared" si="1192"/>
        <v>-129999.9557260274</v>
      </c>
      <c r="AH75" s="71">
        <f t="shared" si="1192"/>
        <v>-130015.7224109589</v>
      </c>
      <c r="AI75" s="71">
        <f t="shared" si="1192"/>
        <v>-117515.16690410959</v>
      </c>
      <c r="AJ75" s="71">
        <f t="shared" si="1192"/>
        <v>-130147.31358904109</v>
      </c>
      <c r="AK75" s="71">
        <f t="shared" si="1192"/>
        <v>-126005.93753424656</v>
      </c>
      <c r="AL75" s="71">
        <f t="shared" si="1192"/>
        <v>-130282.54323287671</v>
      </c>
      <c r="AM75" s="71">
        <f t="shared" si="1192"/>
        <v>-126107.16904109585</v>
      </c>
      <c r="AN75" s="71">
        <f t="shared" si="1192"/>
        <v>-130365.62153424657</v>
      </c>
      <c r="AO75" s="71">
        <f t="shared" si="1192"/>
        <v>-130456.88638356164</v>
      </c>
      <c r="AP75" s="71">
        <f t="shared" ref="AP75:BU75" si="1193">-AP73*AP78*((AP6-AO6)/365)</f>
        <v>-126310.51232876713</v>
      </c>
      <c r="AQ75" s="71">
        <f t="shared" si="1193"/>
        <v>-130626.37824657535</v>
      </c>
      <c r="AR75" s="71">
        <f t="shared" si="1193"/>
        <v>-126557.28246575342</v>
      </c>
      <c r="AS75" s="71">
        <f t="shared" si="1193"/>
        <v>-130901.68882191779</v>
      </c>
      <c r="AT75" s="71">
        <f t="shared" si="1193"/>
        <v>-131070.87747945206</v>
      </c>
      <c r="AU75" s="71">
        <f t="shared" si="1193"/>
        <v>-118577.75539726026</v>
      </c>
      <c r="AV75" s="71">
        <f t="shared" si="1193"/>
        <v>-131461.70934246577</v>
      </c>
      <c r="AW75" s="71">
        <f t="shared" si="1193"/>
        <v>-127432.27479452055</v>
      </c>
      <c r="AX75" s="71">
        <f t="shared" si="1193"/>
        <v>-131935.31630136986</v>
      </c>
      <c r="AY75" s="71">
        <f t="shared" si="1193"/>
        <v>-127887.08301369862</v>
      </c>
      <c r="AZ75" s="71">
        <f t="shared" si="1193"/>
        <v>-132395.27901369863</v>
      </c>
      <c r="BA75" s="71">
        <f t="shared" si="1193"/>
        <v>-132671.196</v>
      </c>
      <c r="BB75" s="71">
        <f t="shared" si="1193"/>
        <v>-128615.3630136986</v>
      </c>
      <c r="BC75" s="71">
        <f t="shared" si="1193"/>
        <v>-133160.87284931506</v>
      </c>
      <c r="BD75" s="71">
        <f t="shared" si="1193"/>
        <v>-129142.06027397259</v>
      </c>
      <c r="BE75" s="71">
        <f t="shared" si="1193"/>
        <v>-133688.75358904109</v>
      </c>
      <c r="BF75" s="71">
        <f t="shared" si="1193"/>
        <v>-133959.81928767121</v>
      </c>
      <c r="BG75" s="71">
        <f t="shared" si="1193"/>
        <v>-121118.3652064792</v>
      </c>
      <c r="BH75" s="71">
        <f t="shared" si="1193"/>
        <v>-134131.72444066545</v>
      </c>
      <c r="BI75" s="71">
        <f t="shared" si="1193"/>
        <v>-129885.51418552287</v>
      </c>
      <c r="BJ75" s="71">
        <f t="shared" si="1193"/>
        <v>-134365.86033572367</v>
      </c>
      <c r="BK75" s="71">
        <f t="shared" si="1193"/>
        <v>-130116.1745976681</v>
      </c>
      <c r="BL75" s="71">
        <f t="shared" si="1193"/>
        <v>-134546.17338449793</v>
      </c>
      <c r="BM75" s="71">
        <f t="shared" si="1193"/>
        <v>-134679.96223364514</v>
      </c>
      <c r="BN75" s="71">
        <f t="shared" si="1193"/>
        <v>-130420.57376886849</v>
      </c>
      <c r="BO75" s="71">
        <f t="shared" si="1193"/>
        <v>-134862.19759639396</v>
      </c>
      <c r="BP75" s="71">
        <f t="shared" si="1193"/>
        <v>-130638.56301151266</v>
      </c>
      <c r="BQ75" s="71">
        <f t="shared" si="1193"/>
        <v>-135055.83281768797</v>
      </c>
      <c r="BR75" s="71">
        <f t="shared" si="1193"/>
        <v>0</v>
      </c>
      <c r="BS75" s="71">
        <f t="shared" si="1193"/>
        <v>0</v>
      </c>
      <c r="BT75" s="71">
        <f t="shared" si="1193"/>
        <v>0</v>
      </c>
      <c r="BU75" s="71">
        <f t="shared" si="1193"/>
        <v>0</v>
      </c>
      <c r="BV75" s="71">
        <f t="shared" ref="BV75:DA75" si="1194">-BV73*BV78*((BV6-BU6)/365)</f>
        <v>0</v>
      </c>
      <c r="BW75" s="71">
        <f t="shared" si="1194"/>
        <v>0</v>
      </c>
      <c r="BX75" s="71">
        <f t="shared" si="1194"/>
        <v>0</v>
      </c>
      <c r="BY75" s="71">
        <f t="shared" si="1194"/>
        <v>0</v>
      </c>
      <c r="BZ75" s="71">
        <f t="shared" si="1194"/>
        <v>0</v>
      </c>
      <c r="CA75" s="71">
        <f t="shared" si="1194"/>
        <v>0</v>
      </c>
      <c r="CB75" s="71">
        <f t="shared" si="1194"/>
        <v>0</v>
      </c>
      <c r="CC75" s="71">
        <f t="shared" si="1194"/>
        <v>0</v>
      </c>
      <c r="CD75" s="71">
        <f t="shared" si="1194"/>
        <v>0</v>
      </c>
      <c r="CE75" s="71">
        <f t="shared" si="1194"/>
        <v>0</v>
      </c>
      <c r="CF75" s="71">
        <f t="shared" si="1194"/>
        <v>0</v>
      </c>
      <c r="CG75" s="71">
        <f t="shared" si="1194"/>
        <v>0</v>
      </c>
      <c r="CH75" s="71">
        <f t="shared" si="1194"/>
        <v>0</v>
      </c>
      <c r="CI75" s="71">
        <f t="shared" si="1194"/>
        <v>0</v>
      </c>
      <c r="CJ75" s="71">
        <f t="shared" si="1194"/>
        <v>0</v>
      </c>
      <c r="CK75" s="71">
        <f t="shared" si="1194"/>
        <v>0</v>
      </c>
      <c r="CL75" s="71">
        <f t="shared" si="1194"/>
        <v>0</v>
      </c>
      <c r="CM75" s="71">
        <f t="shared" si="1194"/>
        <v>0</v>
      </c>
      <c r="CN75" s="71">
        <f t="shared" si="1194"/>
        <v>0</v>
      </c>
      <c r="CO75" s="71">
        <f t="shared" si="1194"/>
        <v>0</v>
      </c>
      <c r="CP75" s="71">
        <f t="shared" si="1194"/>
        <v>0</v>
      </c>
      <c r="CQ75" s="71">
        <f t="shared" si="1194"/>
        <v>0</v>
      </c>
      <c r="CR75" s="71">
        <f t="shared" si="1194"/>
        <v>0</v>
      </c>
      <c r="CS75" s="71">
        <f t="shared" si="1194"/>
        <v>0</v>
      </c>
      <c r="CT75" s="71">
        <f t="shared" si="1194"/>
        <v>0</v>
      </c>
      <c r="CU75" s="71">
        <f t="shared" si="1194"/>
        <v>0</v>
      </c>
      <c r="CV75" s="71">
        <f t="shared" si="1194"/>
        <v>0</v>
      </c>
      <c r="CW75" s="71">
        <f t="shared" si="1194"/>
        <v>0</v>
      </c>
      <c r="CX75" s="71">
        <f t="shared" si="1194"/>
        <v>0</v>
      </c>
      <c r="CY75" s="71">
        <f t="shared" si="1194"/>
        <v>0</v>
      </c>
      <c r="CZ75" s="71">
        <f t="shared" si="1194"/>
        <v>0</v>
      </c>
      <c r="DA75" s="71">
        <f t="shared" si="1194"/>
        <v>0</v>
      </c>
      <c r="DB75" s="71">
        <f t="shared" ref="DB75:EK75" si="1195">-DB73*DB78*((DB6-DA6)/365)</f>
        <v>0</v>
      </c>
      <c r="DC75" s="71">
        <f t="shared" si="1195"/>
        <v>0</v>
      </c>
      <c r="DD75" s="71">
        <f t="shared" si="1195"/>
        <v>0</v>
      </c>
      <c r="DE75" s="71">
        <f t="shared" si="1195"/>
        <v>0</v>
      </c>
      <c r="DF75" s="71">
        <f t="shared" si="1195"/>
        <v>0</v>
      </c>
      <c r="DG75" s="71">
        <f t="shared" si="1195"/>
        <v>0</v>
      </c>
      <c r="DH75" s="71">
        <f t="shared" si="1195"/>
        <v>0</v>
      </c>
      <c r="DI75" s="71">
        <f t="shared" si="1195"/>
        <v>0</v>
      </c>
      <c r="DJ75" s="71">
        <f t="shared" si="1195"/>
        <v>0</v>
      </c>
      <c r="DK75" s="71">
        <f t="shared" si="1195"/>
        <v>0</v>
      </c>
      <c r="DL75" s="71">
        <f t="shared" si="1195"/>
        <v>0</v>
      </c>
      <c r="DM75" s="71">
        <f t="shared" si="1195"/>
        <v>0</v>
      </c>
      <c r="DN75" s="71">
        <f t="shared" si="1195"/>
        <v>0</v>
      </c>
      <c r="DO75" s="71">
        <f t="shared" si="1195"/>
        <v>0</v>
      </c>
      <c r="DP75" s="71">
        <f t="shared" si="1195"/>
        <v>0</v>
      </c>
      <c r="DQ75" s="71">
        <f t="shared" si="1195"/>
        <v>0</v>
      </c>
      <c r="DR75" s="71">
        <f t="shared" si="1195"/>
        <v>0</v>
      </c>
      <c r="DS75" s="71">
        <f t="shared" si="1195"/>
        <v>0</v>
      </c>
      <c r="DT75" s="71">
        <f t="shared" si="1195"/>
        <v>0</v>
      </c>
      <c r="DU75" s="71">
        <f t="shared" si="1195"/>
        <v>0</v>
      </c>
      <c r="DV75" s="71">
        <f t="shared" si="1195"/>
        <v>0</v>
      </c>
      <c r="DW75" s="71">
        <f t="shared" si="1195"/>
        <v>0</v>
      </c>
      <c r="DX75" s="71">
        <f t="shared" si="1195"/>
        <v>0</v>
      </c>
      <c r="DY75" s="71">
        <f t="shared" si="1195"/>
        <v>0</v>
      </c>
      <c r="DZ75" s="71">
        <f t="shared" si="1195"/>
        <v>0</v>
      </c>
      <c r="EA75" s="71">
        <f t="shared" si="1195"/>
        <v>0</v>
      </c>
      <c r="EB75" s="71">
        <f t="shared" si="1195"/>
        <v>0</v>
      </c>
      <c r="EC75" s="71">
        <f t="shared" si="1195"/>
        <v>0</v>
      </c>
      <c r="ED75" s="71">
        <f t="shared" si="1195"/>
        <v>0</v>
      </c>
      <c r="EE75" s="71">
        <f t="shared" si="1195"/>
        <v>0</v>
      </c>
      <c r="EF75" s="71">
        <f t="shared" si="1195"/>
        <v>0</v>
      </c>
      <c r="EG75" s="71">
        <f t="shared" si="1195"/>
        <v>0</v>
      </c>
      <c r="EH75" s="71">
        <f t="shared" si="1195"/>
        <v>0</v>
      </c>
      <c r="EI75" s="71">
        <f t="shared" si="1195"/>
        <v>0</v>
      </c>
      <c r="EJ75" s="71">
        <f t="shared" si="1195"/>
        <v>0</v>
      </c>
      <c r="EK75" s="71">
        <f t="shared" si="1195"/>
        <v>0</v>
      </c>
      <c r="EM75" s="109">
        <f t="shared" ref="EM75:EX75" si="1196">SUMIF($I$4:$EK$4,EM$5,$I75:$EK75)</f>
        <v>0</v>
      </c>
      <c r="EN75" s="109">
        <f t="shared" si="1196"/>
        <v>-1650628.623287671</v>
      </c>
      <c r="EO75" s="109">
        <f t="shared" si="1196"/>
        <v>-1567994.2832054794</v>
      </c>
      <c r="EP75" s="109">
        <f t="shared" si="1196"/>
        <v>-1535292.2224931507</v>
      </c>
      <c r="EQ75" s="109">
        <f t="shared" si="1196"/>
        <v>-1558038.5410684927</v>
      </c>
      <c r="ER75" s="109">
        <f t="shared" si="1196"/>
        <v>-1583780.7608663368</v>
      </c>
      <c r="ES75" s="109">
        <f t="shared" si="1196"/>
        <v>0</v>
      </c>
      <c r="ET75" s="109">
        <f t="shared" si="1196"/>
        <v>0</v>
      </c>
      <c r="EU75" s="109">
        <f t="shared" si="1196"/>
        <v>0</v>
      </c>
      <c r="EV75" s="109">
        <f t="shared" si="1196"/>
        <v>0</v>
      </c>
      <c r="EW75" s="109">
        <f t="shared" si="1196"/>
        <v>0</v>
      </c>
      <c r="EX75" s="109">
        <f t="shared" si="1196"/>
        <v>0</v>
      </c>
    </row>
    <row r="77" spans="2:154" x14ac:dyDescent="0.3">
      <c r="B77" s="1" t="s">
        <v>135</v>
      </c>
      <c r="I77" s="82">
        <f>-'Inputs &amp; Drivers'!$J$28*I79</f>
        <v>-178500</v>
      </c>
      <c r="J77" s="82">
        <f>-'Inputs &amp; Drivers'!$J$28*J79</f>
        <v>0</v>
      </c>
      <c r="K77" s="82">
        <f>-'Inputs &amp; Drivers'!$J$28*K79</f>
        <v>0</v>
      </c>
      <c r="L77" s="82">
        <f>-'Inputs &amp; Drivers'!$J$28*L79</f>
        <v>0</v>
      </c>
      <c r="M77" s="82">
        <f>-'Inputs &amp; Drivers'!$J$28*M79</f>
        <v>0</v>
      </c>
      <c r="N77" s="82">
        <f>-'Inputs &amp; Drivers'!$J$28*N79</f>
        <v>0</v>
      </c>
      <c r="O77" s="82">
        <f>-'Inputs &amp; Drivers'!$J$28*O79</f>
        <v>0</v>
      </c>
      <c r="P77" s="82">
        <f>-'Inputs &amp; Drivers'!$J$28*P79</f>
        <v>0</v>
      </c>
      <c r="Q77" s="82">
        <f>-'Inputs &amp; Drivers'!$J$28*Q79</f>
        <v>0</v>
      </c>
      <c r="R77" s="82">
        <f>-'Inputs &amp; Drivers'!$J$28*R79</f>
        <v>0</v>
      </c>
      <c r="S77" s="82">
        <f>-'Inputs &amp; Drivers'!$J$28*S79</f>
        <v>0</v>
      </c>
      <c r="T77" s="82">
        <f>-'Inputs &amp; Drivers'!$J$28*T79</f>
        <v>0</v>
      </c>
      <c r="U77" s="82">
        <f>-'Inputs &amp; Drivers'!$J$28*U79</f>
        <v>0</v>
      </c>
      <c r="V77" s="82">
        <f>-'Inputs &amp; Drivers'!$J$28*V79</f>
        <v>0</v>
      </c>
      <c r="W77" s="82">
        <f>-'Inputs &amp; Drivers'!$J$28*W79</f>
        <v>0</v>
      </c>
      <c r="X77" s="82">
        <f>-'Inputs &amp; Drivers'!$J$28*X79</f>
        <v>0</v>
      </c>
      <c r="Y77" s="82">
        <f>-'Inputs &amp; Drivers'!$J$28*Y79</f>
        <v>0</v>
      </c>
      <c r="Z77" s="82">
        <f>-'Inputs &amp; Drivers'!$J$28*Z79</f>
        <v>0</v>
      </c>
      <c r="AA77" s="82">
        <f>-'Inputs &amp; Drivers'!$J$28*AA79</f>
        <v>0</v>
      </c>
      <c r="AB77" s="82">
        <f>-'Inputs &amp; Drivers'!$J$28*AB79</f>
        <v>0</v>
      </c>
      <c r="AC77" s="82">
        <f>-'Inputs &amp; Drivers'!$J$28*AC79</f>
        <v>0</v>
      </c>
      <c r="AD77" s="82">
        <f>-'Inputs &amp; Drivers'!$J$28*AD79</f>
        <v>0</v>
      </c>
      <c r="AE77" s="82">
        <f>-'Inputs &amp; Drivers'!$J$28*AE79</f>
        <v>0</v>
      </c>
      <c r="AF77" s="82">
        <f>-'Inputs &amp; Drivers'!$J$28*AF79</f>
        <v>0</v>
      </c>
      <c r="AG77" s="82">
        <f>-'Inputs &amp; Drivers'!$J$28*AG79</f>
        <v>0</v>
      </c>
      <c r="AH77" s="82">
        <f>-'Inputs &amp; Drivers'!$J$28*AH79</f>
        <v>0</v>
      </c>
      <c r="AI77" s="82">
        <f>-'Inputs &amp; Drivers'!$J$28*AI79</f>
        <v>0</v>
      </c>
      <c r="AJ77" s="82">
        <f>-'Inputs &amp; Drivers'!$J$28*AJ79</f>
        <v>0</v>
      </c>
      <c r="AK77" s="82">
        <f>-'Inputs &amp; Drivers'!$J$28*AK79</f>
        <v>0</v>
      </c>
      <c r="AL77" s="82">
        <f>-'Inputs &amp; Drivers'!$J$28*AL79</f>
        <v>0</v>
      </c>
      <c r="AM77" s="82">
        <f>-'Inputs &amp; Drivers'!$J$28*AM79</f>
        <v>0</v>
      </c>
      <c r="AN77" s="82">
        <f>-'Inputs &amp; Drivers'!$J$28*AN79</f>
        <v>0</v>
      </c>
      <c r="AO77" s="82">
        <f>-'Inputs &amp; Drivers'!$J$28*AO79</f>
        <v>0</v>
      </c>
      <c r="AP77" s="82">
        <f>-'Inputs &amp; Drivers'!$J$28*AP79</f>
        <v>0</v>
      </c>
      <c r="AQ77" s="82">
        <f>-'Inputs &amp; Drivers'!$J$28*AQ79</f>
        <v>0</v>
      </c>
      <c r="AR77" s="82">
        <f>-'Inputs &amp; Drivers'!$J$28*AR79</f>
        <v>0</v>
      </c>
      <c r="AS77" s="82">
        <f>-'Inputs &amp; Drivers'!$J$28*AS79</f>
        <v>0</v>
      </c>
      <c r="AT77" s="82">
        <f>-'Inputs &amp; Drivers'!$J$28*AT79</f>
        <v>0</v>
      </c>
      <c r="AU77" s="82">
        <f>-'Inputs &amp; Drivers'!$J$28*AU79</f>
        <v>0</v>
      </c>
      <c r="AV77" s="82">
        <f>-'Inputs &amp; Drivers'!$J$28*AV79</f>
        <v>0</v>
      </c>
      <c r="AW77" s="82">
        <f>-'Inputs &amp; Drivers'!$J$28*AW79</f>
        <v>0</v>
      </c>
      <c r="AX77" s="82">
        <f>-'Inputs &amp; Drivers'!$J$28*AX79</f>
        <v>0</v>
      </c>
      <c r="AY77" s="82">
        <f>-'Inputs &amp; Drivers'!$J$28*AY79</f>
        <v>0</v>
      </c>
      <c r="AZ77" s="82">
        <f>-'Inputs &amp; Drivers'!$J$28*AZ79</f>
        <v>0</v>
      </c>
      <c r="BA77" s="82">
        <f>-'Inputs &amp; Drivers'!$J$28*BA79</f>
        <v>0</v>
      </c>
      <c r="BB77" s="82">
        <f>-'Inputs &amp; Drivers'!$J$28*BB79</f>
        <v>0</v>
      </c>
      <c r="BC77" s="82">
        <f>-'Inputs &amp; Drivers'!$J$28*BC79</f>
        <v>0</v>
      </c>
      <c r="BD77" s="82">
        <f>-'Inputs &amp; Drivers'!$J$28*BD79</f>
        <v>0</v>
      </c>
      <c r="BE77" s="82">
        <f>-'Inputs &amp; Drivers'!$J$28*BE79</f>
        <v>0</v>
      </c>
      <c r="BF77" s="82">
        <f>-'Inputs &amp; Drivers'!$J$28*BF79</f>
        <v>0</v>
      </c>
      <c r="BG77" s="82">
        <f>-'Inputs &amp; Drivers'!$J$28*BG79</f>
        <v>0</v>
      </c>
      <c r="BH77" s="82">
        <f>-'Inputs &amp; Drivers'!$J$28*BH79</f>
        <v>0</v>
      </c>
      <c r="BI77" s="82">
        <f>-'Inputs &amp; Drivers'!$J$28*BI79</f>
        <v>0</v>
      </c>
      <c r="BJ77" s="82">
        <f>-'Inputs &amp; Drivers'!$J$28*BJ79</f>
        <v>0</v>
      </c>
      <c r="BK77" s="82">
        <f>-'Inputs &amp; Drivers'!$J$28*BK79</f>
        <v>0</v>
      </c>
      <c r="BL77" s="82">
        <f>-'Inputs &amp; Drivers'!$J$28*BL79</f>
        <v>0</v>
      </c>
      <c r="BM77" s="82">
        <f>-'Inputs &amp; Drivers'!$J$28*BM79</f>
        <v>0</v>
      </c>
      <c r="BN77" s="82">
        <f>-'Inputs &amp; Drivers'!$J$28*BN79</f>
        <v>0</v>
      </c>
      <c r="BO77" s="82">
        <f>-'Inputs &amp; Drivers'!$J$28*BO79</f>
        <v>0</v>
      </c>
      <c r="BP77" s="82">
        <f>-'Inputs &amp; Drivers'!$J$28*BP79</f>
        <v>0</v>
      </c>
      <c r="BQ77" s="82">
        <f>-'Inputs &amp; Drivers'!$J$28*BQ79</f>
        <v>0</v>
      </c>
      <c r="BR77" s="82">
        <f>-'Inputs &amp; Drivers'!$J$28*BR79</f>
        <v>0</v>
      </c>
      <c r="BS77" s="82">
        <f>-'Inputs &amp; Drivers'!$J$28*BS79</f>
        <v>0</v>
      </c>
      <c r="BT77" s="82">
        <f>-'Inputs &amp; Drivers'!$J$28*BT79</f>
        <v>0</v>
      </c>
      <c r="BU77" s="82">
        <f>-'Inputs &amp; Drivers'!$J$28*BU79</f>
        <v>0</v>
      </c>
      <c r="BV77" s="82">
        <f>-'Inputs &amp; Drivers'!$J$28*BV79</f>
        <v>0</v>
      </c>
      <c r="BW77" s="82">
        <f>-'Inputs &amp; Drivers'!$J$28*BW79</f>
        <v>0</v>
      </c>
      <c r="BX77" s="82">
        <f>-'Inputs &amp; Drivers'!$J$28*BX79</f>
        <v>0</v>
      </c>
      <c r="BY77" s="82">
        <f>-'Inputs &amp; Drivers'!$J$28*BY79</f>
        <v>0</v>
      </c>
      <c r="BZ77" s="82">
        <f>-'Inputs &amp; Drivers'!$J$28*BZ79</f>
        <v>0</v>
      </c>
      <c r="CA77" s="82">
        <f>-'Inputs &amp; Drivers'!$J$28*CA79</f>
        <v>0</v>
      </c>
      <c r="CB77" s="82">
        <f>-'Inputs &amp; Drivers'!$J$28*CB79</f>
        <v>0</v>
      </c>
      <c r="CC77" s="82">
        <f>-'Inputs &amp; Drivers'!$J$28*CC79</f>
        <v>0</v>
      </c>
      <c r="CD77" s="82">
        <f>-'Inputs &amp; Drivers'!$J$28*CD79</f>
        <v>0</v>
      </c>
      <c r="CE77" s="82">
        <f>-'Inputs &amp; Drivers'!$J$28*CE79</f>
        <v>0</v>
      </c>
      <c r="CF77" s="82">
        <f>-'Inputs &amp; Drivers'!$J$28*CF79</f>
        <v>0</v>
      </c>
      <c r="CG77" s="82">
        <f>-'Inputs &amp; Drivers'!$J$28*CG79</f>
        <v>0</v>
      </c>
      <c r="CH77" s="82">
        <f>-'Inputs &amp; Drivers'!$J$28*CH79</f>
        <v>0</v>
      </c>
      <c r="CI77" s="82">
        <f>-'Inputs &amp; Drivers'!$J$28*CI79</f>
        <v>0</v>
      </c>
      <c r="CJ77" s="82">
        <f>-'Inputs &amp; Drivers'!$J$28*CJ79</f>
        <v>0</v>
      </c>
      <c r="CK77" s="82">
        <f>-'Inputs &amp; Drivers'!$J$28*CK79</f>
        <v>0</v>
      </c>
      <c r="CL77" s="82">
        <f>-'Inputs &amp; Drivers'!$J$28*CL79</f>
        <v>0</v>
      </c>
      <c r="CM77" s="82">
        <f>-'Inputs &amp; Drivers'!$J$28*CM79</f>
        <v>0</v>
      </c>
      <c r="CN77" s="82">
        <f>-'Inputs &amp; Drivers'!$J$28*CN79</f>
        <v>0</v>
      </c>
      <c r="CO77" s="82">
        <f>-'Inputs &amp; Drivers'!$J$28*CO79</f>
        <v>0</v>
      </c>
      <c r="CP77" s="82">
        <f>-'Inputs &amp; Drivers'!$J$28*CP79</f>
        <v>0</v>
      </c>
      <c r="CQ77" s="82">
        <f>-'Inputs &amp; Drivers'!$J$28*CQ79</f>
        <v>0</v>
      </c>
      <c r="CR77" s="82">
        <f>-'Inputs &amp; Drivers'!$J$28*CR79</f>
        <v>0</v>
      </c>
      <c r="CS77" s="82">
        <f>-'Inputs &amp; Drivers'!$J$28*CS79</f>
        <v>0</v>
      </c>
      <c r="CT77" s="82">
        <f>-'Inputs &amp; Drivers'!$J$28*CT79</f>
        <v>0</v>
      </c>
      <c r="CU77" s="82">
        <f>-'Inputs &amp; Drivers'!$J$28*CU79</f>
        <v>0</v>
      </c>
      <c r="CV77" s="82">
        <f>-'Inputs &amp; Drivers'!$J$28*CV79</f>
        <v>0</v>
      </c>
      <c r="CW77" s="82">
        <f>-'Inputs &amp; Drivers'!$J$28*CW79</f>
        <v>0</v>
      </c>
      <c r="CX77" s="82">
        <f>-'Inputs &amp; Drivers'!$J$28*CX79</f>
        <v>0</v>
      </c>
      <c r="CY77" s="82">
        <f>-'Inputs &amp; Drivers'!$J$28*CY79</f>
        <v>0</v>
      </c>
      <c r="CZ77" s="82">
        <f>-'Inputs &amp; Drivers'!$J$28*CZ79</f>
        <v>0</v>
      </c>
      <c r="DA77" s="82">
        <f>-'Inputs &amp; Drivers'!$J$28*DA79</f>
        <v>0</v>
      </c>
      <c r="DB77" s="82">
        <f>-'Inputs &amp; Drivers'!$J$28*DB79</f>
        <v>0</v>
      </c>
      <c r="DC77" s="82">
        <f>-'Inputs &amp; Drivers'!$J$28*DC79</f>
        <v>0</v>
      </c>
      <c r="DD77" s="82">
        <f>-'Inputs &amp; Drivers'!$J$28*DD79</f>
        <v>0</v>
      </c>
      <c r="DE77" s="82">
        <f>-'Inputs &amp; Drivers'!$J$28*DE79</f>
        <v>0</v>
      </c>
      <c r="DF77" s="82">
        <f>-'Inputs &amp; Drivers'!$J$28*DF79</f>
        <v>0</v>
      </c>
      <c r="DG77" s="82">
        <f>-'Inputs &amp; Drivers'!$J$28*DG79</f>
        <v>0</v>
      </c>
      <c r="DH77" s="82">
        <f>-'Inputs &amp; Drivers'!$J$28*DH79</f>
        <v>0</v>
      </c>
      <c r="DI77" s="82">
        <f>-'Inputs &amp; Drivers'!$J$28*DI79</f>
        <v>0</v>
      </c>
      <c r="DJ77" s="82">
        <f>-'Inputs &amp; Drivers'!$J$28*DJ79</f>
        <v>0</v>
      </c>
      <c r="DK77" s="82">
        <f>-'Inputs &amp; Drivers'!$J$28*DK79</f>
        <v>0</v>
      </c>
      <c r="DL77" s="82">
        <f>-'Inputs &amp; Drivers'!$J$28*DL79</f>
        <v>0</v>
      </c>
      <c r="DM77" s="82">
        <f>-'Inputs &amp; Drivers'!$J$28*DM79</f>
        <v>0</v>
      </c>
      <c r="DN77" s="82">
        <f>-'Inputs &amp; Drivers'!$J$28*DN79</f>
        <v>0</v>
      </c>
      <c r="DO77" s="82">
        <f>-'Inputs &amp; Drivers'!$J$28*DO79</f>
        <v>0</v>
      </c>
      <c r="DP77" s="82">
        <f>-'Inputs &amp; Drivers'!$J$28*DP79</f>
        <v>0</v>
      </c>
      <c r="DQ77" s="82">
        <f>-'Inputs &amp; Drivers'!$J$28*DQ79</f>
        <v>0</v>
      </c>
      <c r="DR77" s="82">
        <f>-'Inputs &amp; Drivers'!$J$28*DR79</f>
        <v>0</v>
      </c>
      <c r="DS77" s="82">
        <f>-'Inputs &amp; Drivers'!$J$28*DS79</f>
        <v>0</v>
      </c>
      <c r="DT77" s="82">
        <f>-'Inputs &amp; Drivers'!$J$28*DT79</f>
        <v>0</v>
      </c>
      <c r="DU77" s="82">
        <f>-'Inputs &amp; Drivers'!$J$28*DU79</f>
        <v>0</v>
      </c>
      <c r="DV77" s="82">
        <f>-'Inputs &amp; Drivers'!$J$28*DV79</f>
        <v>0</v>
      </c>
      <c r="DW77" s="82">
        <f>-'Inputs &amp; Drivers'!$J$28*DW79</f>
        <v>0</v>
      </c>
      <c r="DX77" s="82">
        <f>-'Inputs &amp; Drivers'!$J$28*DX79</f>
        <v>0</v>
      </c>
      <c r="DY77" s="82">
        <f>-'Inputs &amp; Drivers'!$J$28*DY79</f>
        <v>0</v>
      </c>
      <c r="DZ77" s="82">
        <f>-'Inputs &amp; Drivers'!$J$28*DZ79</f>
        <v>0</v>
      </c>
      <c r="EA77" s="82">
        <f>-'Inputs &amp; Drivers'!$J$28*EA79</f>
        <v>0</v>
      </c>
      <c r="EB77" s="82">
        <f>-'Inputs &amp; Drivers'!$J$28*EB79</f>
        <v>0</v>
      </c>
      <c r="EC77" s="82">
        <f>-'Inputs &amp; Drivers'!$J$28*EC79</f>
        <v>0</v>
      </c>
      <c r="ED77" s="82">
        <f>-'Inputs &amp; Drivers'!$J$28*ED79</f>
        <v>0</v>
      </c>
      <c r="EE77" s="82">
        <f>-'Inputs &amp; Drivers'!$J$28*EE79</f>
        <v>0</v>
      </c>
      <c r="EF77" s="82">
        <f>-'Inputs &amp; Drivers'!$J$28*EF79</f>
        <v>0</v>
      </c>
      <c r="EG77" s="82">
        <f>-'Inputs &amp; Drivers'!$J$28*EG79</f>
        <v>0</v>
      </c>
      <c r="EH77" s="82">
        <f>-'Inputs &amp; Drivers'!$J$28*EH79</f>
        <v>0</v>
      </c>
      <c r="EI77" s="82">
        <f>-'Inputs &amp; Drivers'!$J$28*EI79</f>
        <v>0</v>
      </c>
      <c r="EJ77" s="82">
        <f>-'Inputs &amp; Drivers'!$J$28*EJ79</f>
        <v>0</v>
      </c>
      <c r="EK77" s="82">
        <f>-'Inputs &amp; Drivers'!$J$28*EK79</f>
        <v>0</v>
      </c>
      <c r="EM77" s="109">
        <f t="shared" ref="EM77:EX81" si="1197">SUMIF($I$4:$EK$4,EM$5,$I77:$EK77)</f>
        <v>-178500</v>
      </c>
      <c r="EN77" s="109">
        <f t="shared" si="1197"/>
        <v>0</v>
      </c>
      <c r="EO77" s="109">
        <f t="shared" si="1197"/>
        <v>0</v>
      </c>
      <c r="EP77" s="109">
        <f t="shared" si="1197"/>
        <v>0</v>
      </c>
      <c r="EQ77" s="109">
        <f t="shared" si="1197"/>
        <v>0</v>
      </c>
      <c r="ER77" s="109">
        <f t="shared" si="1197"/>
        <v>0</v>
      </c>
      <c r="ES77" s="109">
        <f t="shared" si="1197"/>
        <v>0</v>
      </c>
      <c r="ET77" s="109">
        <f t="shared" si="1197"/>
        <v>0</v>
      </c>
      <c r="EU77" s="109">
        <f t="shared" si="1197"/>
        <v>0</v>
      </c>
      <c r="EV77" s="109">
        <f t="shared" si="1197"/>
        <v>0</v>
      </c>
      <c r="EW77" s="109">
        <f t="shared" si="1197"/>
        <v>0</v>
      </c>
      <c r="EX77" s="109">
        <f t="shared" si="1197"/>
        <v>0</v>
      </c>
    </row>
    <row r="78" spans="2:154" x14ac:dyDescent="0.3">
      <c r="B78" s="1" t="s">
        <v>136</v>
      </c>
      <c r="I78" s="58">
        <v>0</v>
      </c>
      <c r="J78" s="74">
        <f>I82</f>
        <v>35700000</v>
      </c>
      <c r="K78" s="74">
        <f>J82</f>
        <v>35700000</v>
      </c>
      <c r="L78" s="74">
        <f t="shared" ref="L78:O78" si="1198">K82</f>
        <v>35700000</v>
      </c>
      <c r="M78" s="74">
        <f t="shared" si="1198"/>
        <v>35700000</v>
      </c>
      <c r="N78" s="74">
        <f t="shared" si="1198"/>
        <v>35700000</v>
      </c>
      <c r="O78" s="74">
        <f t="shared" si="1198"/>
        <v>35700000</v>
      </c>
      <c r="P78" s="74">
        <f t="shared" ref="P78:CA78" si="1199">O82</f>
        <v>35700000</v>
      </c>
      <c r="Q78" s="74">
        <f t="shared" si="1199"/>
        <v>35700000</v>
      </c>
      <c r="R78" s="74">
        <f t="shared" si="1199"/>
        <v>35700000</v>
      </c>
      <c r="S78" s="74">
        <f t="shared" si="1199"/>
        <v>35700000</v>
      </c>
      <c r="T78" s="74">
        <f t="shared" si="1199"/>
        <v>35700000</v>
      </c>
      <c r="U78" s="74">
        <f t="shared" si="1199"/>
        <v>35700000</v>
      </c>
      <c r="V78" s="74">
        <f t="shared" si="1199"/>
        <v>35700000</v>
      </c>
      <c r="W78" s="74">
        <f t="shared" si="1199"/>
        <v>35700000</v>
      </c>
      <c r="X78" s="74">
        <f t="shared" si="1199"/>
        <v>35700000</v>
      </c>
      <c r="Y78" s="74">
        <f t="shared" si="1199"/>
        <v>35700000</v>
      </c>
      <c r="Z78" s="74">
        <f t="shared" si="1199"/>
        <v>35700000</v>
      </c>
      <c r="AA78" s="74">
        <f t="shared" si="1199"/>
        <v>35700000</v>
      </c>
      <c r="AB78" s="74">
        <f t="shared" si="1199"/>
        <v>35700000</v>
      </c>
      <c r="AC78" s="74">
        <f t="shared" si="1199"/>
        <v>35700000</v>
      </c>
      <c r="AD78" s="74">
        <f t="shared" si="1199"/>
        <v>35700000</v>
      </c>
      <c r="AE78" s="74">
        <f t="shared" si="1199"/>
        <v>35700000</v>
      </c>
      <c r="AF78" s="74">
        <f t="shared" si="1199"/>
        <v>35700000</v>
      </c>
      <c r="AG78" s="74">
        <f t="shared" si="1199"/>
        <v>35700000</v>
      </c>
      <c r="AH78" s="74">
        <f t="shared" si="1199"/>
        <v>35700000</v>
      </c>
      <c r="AI78" s="74">
        <f t="shared" si="1199"/>
        <v>35700000</v>
      </c>
      <c r="AJ78" s="74">
        <f t="shared" si="1199"/>
        <v>35700000</v>
      </c>
      <c r="AK78" s="74">
        <f t="shared" si="1199"/>
        <v>35700000</v>
      </c>
      <c r="AL78" s="74">
        <f t="shared" si="1199"/>
        <v>35700000</v>
      </c>
      <c r="AM78" s="74">
        <f t="shared" si="1199"/>
        <v>35700000</v>
      </c>
      <c r="AN78" s="74">
        <f t="shared" si="1199"/>
        <v>35700000</v>
      </c>
      <c r="AO78" s="74">
        <f t="shared" si="1199"/>
        <v>35700000</v>
      </c>
      <c r="AP78" s="74">
        <f t="shared" si="1199"/>
        <v>35700000</v>
      </c>
      <c r="AQ78" s="74">
        <f t="shared" si="1199"/>
        <v>35700000</v>
      </c>
      <c r="AR78" s="74">
        <f t="shared" si="1199"/>
        <v>35700000</v>
      </c>
      <c r="AS78" s="74">
        <f t="shared" si="1199"/>
        <v>35700000</v>
      </c>
      <c r="AT78" s="74">
        <f t="shared" si="1199"/>
        <v>35700000</v>
      </c>
      <c r="AU78" s="74">
        <f t="shared" si="1199"/>
        <v>35700000</v>
      </c>
      <c r="AV78" s="74">
        <f t="shared" si="1199"/>
        <v>35700000</v>
      </c>
      <c r="AW78" s="74">
        <f t="shared" si="1199"/>
        <v>35700000</v>
      </c>
      <c r="AX78" s="74">
        <f t="shared" si="1199"/>
        <v>35700000</v>
      </c>
      <c r="AY78" s="74">
        <f t="shared" si="1199"/>
        <v>35700000</v>
      </c>
      <c r="AZ78" s="74">
        <f t="shared" si="1199"/>
        <v>35700000</v>
      </c>
      <c r="BA78" s="74">
        <f t="shared" si="1199"/>
        <v>35700000</v>
      </c>
      <c r="BB78" s="74">
        <f t="shared" si="1199"/>
        <v>35700000</v>
      </c>
      <c r="BC78" s="74">
        <f t="shared" si="1199"/>
        <v>35700000</v>
      </c>
      <c r="BD78" s="74">
        <f t="shared" si="1199"/>
        <v>35700000</v>
      </c>
      <c r="BE78" s="74">
        <f t="shared" si="1199"/>
        <v>35700000</v>
      </c>
      <c r="BF78" s="74">
        <f t="shared" si="1199"/>
        <v>35700000</v>
      </c>
      <c r="BG78" s="74">
        <f t="shared" si="1199"/>
        <v>35657021.888030067</v>
      </c>
      <c r="BH78" s="74">
        <f t="shared" si="1199"/>
        <v>35600208.389255628</v>
      </c>
      <c r="BI78" s="74">
        <f t="shared" si="1199"/>
        <v>35556835.088153563</v>
      </c>
      <c r="BJ78" s="74">
        <f t="shared" si="1199"/>
        <v>35508747.758627981</v>
      </c>
      <c r="BK78" s="74">
        <f t="shared" si="1199"/>
        <v>35465012.26027333</v>
      </c>
      <c r="BL78" s="74">
        <f t="shared" si="1199"/>
        <v>35416573.029193744</v>
      </c>
      <c r="BM78" s="74">
        <f t="shared" si="1199"/>
        <v>35372472.505652525</v>
      </c>
      <c r="BN78" s="74">
        <f t="shared" si="1199"/>
        <v>35328197.337694861</v>
      </c>
      <c r="BO78" s="74">
        <f t="shared" si="1199"/>
        <v>35279233.777480826</v>
      </c>
      <c r="BP78" s="74">
        <f t="shared" si="1199"/>
        <v>35234589.37074855</v>
      </c>
      <c r="BQ78" s="74">
        <f t="shared" si="1199"/>
        <v>35185267.067618445</v>
      </c>
      <c r="BR78" s="74">
        <f t="shared" si="1199"/>
        <v>0</v>
      </c>
      <c r="BS78" s="74">
        <f t="shared" si="1199"/>
        <v>0</v>
      </c>
      <c r="BT78" s="74">
        <f t="shared" si="1199"/>
        <v>0</v>
      </c>
      <c r="BU78" s="74">
        <f t="shared" si="1199"/>
        <v>0</v>
      </c>
      <c r="BV78" s="74">
        <f t="shared" si="1199"/>
        <v>0</v>
      </c>
      <c r="BW78" s="74">
        <f t="shared" si="1199"/>
        <v>0</v>
      </c>
      <c r="BX78" s="74">
        <f t="shared" si="1199"/>
        <v>0</v>
      </c>
      <c r="BY78" s="74">
        <f t="shared" si="1199"/>
        <v>0</v>
      </c>
      <c r="BZ78" s="74">
        <f t="shared" si="1199"/>
        <v>0</v>
      </c>
      <c r="CA78" s="74">
        <f t="shared" si="1199"/>
        <v>0</v>
      </c>
      <c r="CB78" s="74">
        <f t="shared" ref="CB78:EK78" si="1200">CA82</f>
        <v>0</v>
      </c>
      <c r="CC78" s="74">
        <f t="shared" si="1200"/>
        <v>0</v>
      </c>
      <c r="CD78" s="74">
        <f t="shared" si="1200"/>
        <v>0</v>
      </c>
      <c r="CE78" s="74">
        <f t="shared" si="1200"/>
        <v>0</v>
      </c>
      <c r="CF78" s="74">
        <f t="shared" si="1200"/>
        <v>0</v>
      </c>
      <c r="CG78" s="74">
        <f t="shared" si="1200"/>
        <v>0</v>
      </c>
      <c r="CH78" s="74">
        <f t="shared" si="1200"/>
        <v>0</v>
      </c>
      <c r="CI78" s="74">
        <f t="shared" si="1200"/>
        <v>0</v>
      </c>
      <c r="CJ78" s="74">
        <f t="shared" si="1200"/>
        <v>0</v>
      </c>
      <c r="CK78" s="74">
        <f t="shared" si="1200"/>
        <v>0</v>
      </c>
      <c r="CL78" s="74">
        <f t="shared" si="1200"/>
        <v>0</v>
      </c>
      <c r="CM78" s="74">
        <f t="shared" si="1200"/>
        <v>0</v>
      </c>
      <c r="CN78" s="74">
        <f t="shared" si="1200"/>
        <v>0</v>
      </c>
      <c r="CO78" s="74">
        <f t="shared" si="1200"/>
        <v>0</v>
      </c>
      <c r="CP78" s="74">
        <f t="shared" si="1200"/>
        <v>0</v>
      </c>
      <c r="CQ78" s="74">
        <f t="shared" si="1200"/>
        <v>0</v>
      </c>
      <c r="CR78" s="74">
        <f t="shared" si="1200"/>
        <v>0</v>
      </c>
      <c r="CS78" s="74">
        <f t="shared" si="1200"/>
        <v>0</v>
      </c>
      <c r="CT78" s="74">
        <f t="shared" si="1200"/>
        <v>0</v>
      </c>
      <c r="CU78" s="74">
        <f t="shared" si="1200"/>
        <v>0</v>
      </c>
      <c r="CV78" s="74">
        <f t="shared" si="1200"/>
        <v>0</v>
      </c>
      <c r="CW78" s="74">
        <f t="shared" si="1200"/>
        <v>0</v>
      </c>
      <c r="CX78" s="74">
        <f t="shared" si="1200"/>
        <v>0</v>
      </c>
      <c r="CY78" s="74">
        <f t="shared" si="1200"/>
        <v>0</v>
      </c>
      <c r="CZ78" s="74">
        <f t="shared" si="1200"/>
        <v>0</v>
      </c>
      <c r="DA78" s="74">
        <f t="shared" si="1200"/>
        <v>0</v>
      </c>
      <c r="DB78" s="74">
        <f t="shared" si="1200"/>
        <v>0</v>
      </c>
      <c r="DC78" s="74">
        <f t="shared" si="1200"/>
        <v>0</v>
      </c>
      <c r="DD78" s="74">
        <f t="shared" si="1200"/>
        <v>0</v>
      </c>
      <c r="DE78" s="74">
        <f t="shared" si="1200"/>
        <v>0</v>
      </c>
      <c r="DF78" s="74">
        <f t="shared" si="1200"/>
        <v>0</v>
      </c>
      <c r="DG78" s="74">
        <f t="shared" si="1200"/>
        <v>0</v>
      </c>
      <c r="DH78" s="74">
        <f t="shared" si="1200"/>
        <v>0</v>
      </c>
      <c r="DI78" s="74">
        <f t="shared" si="1200"/>
        <v>0</v>
      </c>
      <c r="DJ78" s="74">
        <f t="shared" si="1200"/>
        <v>0</v>
      </c>
      <c r="DK78" s="74">
        <f t="shared" si="1200"/>
        <v>0</v>
      </c>
      <c r="DL78" s="74">
        <f t="shared" si="1200"/>
        <v>0</v>
      </c>
      <c r="DM78" s="74">
        <f t="shared" si="1200"/>
        <v>0</v>
      </c>
      <c r="DN78" s="74">
        <f t="shared" si="1200"/>
        <v>0</v>
      </c>
      <c r="DO78" s="74">
        <f t="shared" si="1200"/>
        <v>0</v>
      </c>
      <c r="DP78" s="74">
        <f t="shared" si="1200"/>
        <v>0</v>
      </c>
      <c r="DQ78" s="74">
        <f t="shared" si="1200"/>
        <v>0</v>
      </c>
      <c r="DR78" s="74">
        <f t="shared" si="1200"/>
        <v>0</v>
      </c>
      <c r="DS78" s="74">
        <f t="shared" si="1200"/>
        <v>0</v>
      </c>
      <c r="DT78" s="74">
        <f t="shared" si="1200"/>
        <v>0</v>
      </c>
      <c r="DU78" s="74">
        <f t="shared" si="1200"/>
        <v>0</v>
      </c>
      <c r="DV78" s="74">
        <f t="shared" si="1200"/>
        <v>0</v>
      </c>
      <c r="DW78" s="74">
        <f t="shared" si="1200"/>
        <v>0</v>
      </c>
      <c r="DX78" s="74">
        <f t="shared" si="1200"/>
        <v>0</v>
      </c>
      <c r="DY78" s="74">
        <f t="shared" si="1200"/>
        <v>0</v>
      </c>
      <c r="DZ78" s="74">
        <f t="shared" si="1200"/>
        <v>0</v>
      </c>
      <c r="EA78" s="74">
        <f t="shared" si="1200"/>
        <v>0</v>
      </c>
      <c r="EB78" s="74">
        <f t="shared" si="1200"/>
        <v>0</v>
      </c>
      <c r="EC78" s="74">
        <f t="shared" si="1200"/>
        <v>0</v>
      </c>
      <c r="ED78" s="74">
        <f t="shared" si="1200"/>
        <v>0</v>
      </c>
      <c r="EE78" s="74">
        <f t="shared" si="1200"/>
        <v>0</v>
      </c>
      <c r="EF78" s="74">
        <f t="shared" si="1200"/>
        <v>0</v>
      </c>
      <c r="EG78" s="74">
        <f t="shared" si="1200"/>
        <v>0</v>
      </c>
      <c r="EH78" s="74">
        <f t="shared" si="1200"/>
        <v>0</v>
      </c>
      <c r="EI78" s="74">
        <f t="shared" si="1200"/>
        <v>0</v>
      </c>
      <c r="EJ78" s="74">
        <f t="shared" si="1200"/>
        <v>0</v>
      </c>
      <c r="EK78" s="74">
        <f t="shared" si="1200"/>
        <v>0</v>
      </c>
      <c r="EM78" s="109">
        <f t="shared" si="1197"/>
        <v>0</v>
      </c>
      <c r="EN78" s="14">
        <f>EM82</f>
        <v>35700000</v>
      </c>
      <c r="EO78" s="14">
        <f t="shared" ref="EO78:EX78" si="1201">EN82</f>
        <v>35700000</v>
      </c>
      <c r="EP78" s="14">
        <f t="shared" si="1201"/>
        <v>35700000</v>
      </c>
      <c r="EQ78" s="14">
        <f t="shared" si="1201"/>
        <v>35700000</v>
      </c>
      <c r="ER78" s="14">
        <f t="shared" si="1201"/>
        <v>35700000</v>
      </c>
      <c r="ES78" s="14">
        <f t="shared" si="1201"/>
        <v>0</v>
      </c>
      <c r="ET78" s="14">
        <f t="shared" si="1201"/>
        <v>0</v>
      </c>
      <c r="EU78" s="14">
        <f t="shared" si="1201"/>
        <v>0</v>
      </c>
      <c r="EV78" s="14">
        <f t="shared" si="1201"/>
        <v>0</v>
      </c>
      <c r="EW78" s="14">
        <f t="shared" si="1201"/>
        <v>0</v>
      </c>
      <c r="EX78" s="14">
        <f t="shared" si="1201"/>
        <v>0</v>
      </c>
    </row>
    <row r="79" spans="2:154" x14ac:dyDescent="0.3">
      <c r="B79" s="1" t="s">
        <v>138</v>
      </c>
      <c r="I79" s="70">
        <f>'Inputs &amp; Drivers'!$J$22*(I$6='Inputs &amp; Drivers'!$J$19)</f>
        <v>35700000</v>
      </c>
      <c r="J79" s="70">
        <f>'Inputs &amp; Drivers'!$J$22*(J$6='Inputs &amp; Drivers'!$J$19)</f>
        <v>0</v>
      </c>
      <c r="K79" s="70">
        <f>'Inputs &amp; Drivers'!$J$22*(K$6='Inputs &amp; Drivers'!$J$19)</f>
        <v>0</v>
      </c>
      <c r="L79" s="70">
        <f>'Inputs &amp; Drivers'!$J$22*(L$6='Inputs &amp; Drivers'!$J$19)</f>
        <v>0</v>
      </c>
      <c r="M79" s="70">
        <f>'Inputs &amp; Drivers'!$J$22*(M$6='Inputs &amp; Drivers'!$J$19)</f>
        <v>0</v>
      </c>
      <c r="N79" s="70">
        <f>'Inputs &amp; Drivers'!$J$22*(N$6='Inputs &amp; Drivers'!$J$19)</f>
        <v>0</v>
      </c>
      <c r="O79" s="70">
        <f>'Inputs &amp; Drivers'!$J$22*(O$6='Inputs &amp; Drivers'!$J$19)</f>
        <v>0</v>
      </c>
      <c r="P79" s="70">
        <f>'Inputs &amp; Drivers'!$J$22*(P$6='Inputs &amp; Drivers'!$J$19)</f>
        <v>0</v>
      </c>
      <c r="Q79" s="70">
        <f>'Inputs &amp; Drivers'!$J$22*(Q$6='Inputs &amp; Drivers'!$J$19)</f>
        <v>0</v>
      </c>
      <c r="R79" s="70">
        <f>'Inputs &amp; Drivers'!$J$22*(R$6='Inputs &amp; Drivers'!$J$19)</f>
        <v>0</v>
      </c>
      <c r="S79" s="70">
        <f>'Inputs &amp; Drivers'!$J$22*(S$6='Inputs &amp; Drivers'!$J$19)</f>
        <v>0</v>
      </c>
      <c r="T79" s="70">
        <f>'Inputs &amp; Drivers'!$J$22*(T$6='Inputs &amp; Drivers'!$J$19)</f>
        <v>0</v>
      </c>
      <c r="U79" s="70">
        <f>'Inputs &amp; Drivers'!$J$22*(U$6='Inputs &amp; Drivers'!$J$19)</f>
        <v>0</v>
      </c>
      <c r="V79" s="70">
        <f>'Inputs &amp; Drivers'!$J$22*(V$6='Inputs &amp; Drivers'!$J$19)</f>
        <v>0</v>
      </c>
      <c r="W79" s="70">
        <f>'Inputs &amp; Drivers'!$J$22*(W$6='Inputs &amp; Drivers'!$J$19)</f>
        <v>0</v>
      </c>
      <c r="X79" s="70">
        <f>'Inputs &amp; Drivers'!$J$22*(X$6='Inputs &amp; Drivers'!$J$19)</f>
        <v>0</v>
      </c>
      <c r="Y79" s="70">
        <f>'Inputs &amp; Drivers'!$J$22*(Y$6='Inputs &amp; Drivers'!$J$19)</f>
        <v>0</v>
      </c>
      <c r="Z79" s="70">
        <f>'Inputs &amp; Drivers'!$J$22*(Z$6='Inputs &amp; Drivers'!$J$19)</f>
        <v>0</v>
      </c>
      <c r="AA79" s="70">
        <f>'Inputs &amp; Drivers'!$J$22*(AA$6='Inputs &amp; Drivers'!$J$19)</f>
        <v>0</v>
      </c>
      <c r="AB79" s="70">
        <f>'Inputs &amp; Drivers'!$J$22*(AB$6='Inputs &amp; Drivers'!$J$19)</f>
        <v>0</v>
      </c>
      <c r="AC79" s="70">
        <f>'Inputs &amp; Drivers'!$J$22*(AC$6='Inputs &amp; Drivers'!$J$19)</f>
        <v>0</v>
      </c>
      <c r="AD79" s="70">
        <f>'Inputs &amp; Drivers'!$J$22*(AD$6='Inputs &amp; Drivers'!$J$19)</f>
        <v>0</v>
      </c>
      <c r="AE79" s="70">
        <f>'Inputs &amp; Drivers'!$J$22*(AE$6='Inputs &amp; Drivers'!$J$19)</f>
        <v>0</v>
      </c>
      <c r="AF79" s="70">
        <f>'Inputs &amp; Drivers'!$J$22*(AF$6='Inputs &amp; Drivers'!$J$19)</f>
        <v>0</v>
      </c>
      <c r="AG79" s="70">
        <f>'Inputs &amp; Drivers'!$J$22*(AG$6='Inputs &amp; Drivers'!$J$19)</f>
        <v>0</v>
      </c>
      <c r="AH79" s="70">
        <f>'Inputs &amp; Drivers'!$J$22*(AH$6='Inputs &amp; Drivers'!$J$19)</f>
        <v>0</v>
      </c>
      <c r="AI79" s="70">
        <f>'Inputs &amp; Drivers'!$J$22*(AI$6='Inputs &amp; Drivers'!$J$19)</f>
        <v>0</v>
      </c>
      <c r="AJ79" s="70">
        <f>'Inputs &amp; Drivers'!$J$22*(AJ$6='Inputs &amp; Drivers'!$J$19)</f>
        <v>0</v>
      </c>
      <c r="AK79" s="70">
        <f>'Inputs &amp; Drivers'!$J$22*(AK$6='Inputs &amp; Drivers'!$J$19)</f>
        <v>0</v>
      </c>
      <c r="AL79" s="70">
        <f>'Inputs &amp; Drivers'!$J$22*(AL$6='Inputs &amp; Drivers'!$J$19)</f>
        <v>0</v>
      </c>
      <c r="AM79" s="70">
        <f>'Inputs &amp; Drivers'!$J$22*(AM$6='Inputs &amp; Drivers'!$J$19)</f>
        <v>0</v>
      </c>
      <c r="AN79" s="70">
        <f>'Inputs &amp; Drivers'!$J$22*(AN$6='Inputs &amp; Drivers'!$J$19)</f>
        <v>0</v>
      </c>
      <c r="AO79" s="70">
        <f>'Inputs &amp; Drivers'!$J$22*(AO$6='Inputs &amp; Drivers'!$J$19)</f>
        <v>0</v>
      </c>
      <c r="AP79" s="70">
        <f>'Inputs &amp; Drivers'!$J$22*(AP$6='Inputs &amp; Drivers'!$J$19)</f>
        <v>0</v>
      </c>
      <c r="AQ79" s="70">
        <f>'Inputs &amp; Drivers'!$J$22*(AQ$6='Inputs &amp; Drivers'!$J$19)</f>
        <v>0</v>
      </c>
      <c r="AR79" s="70">
        <f>'Inputs &amp; Drivers'!$J$22*(AR$6='Inputs &amp; Drivers'!$J$19)</f>
        <v>0</v>
      </c>
      <c r="AS79" s="70">
        <f>'Inputs &amp; Drivers'!$J$22*(AS$6='Inputs &amp; Drivers'!$J$19)</f>
        <v>0</v>
      </c>
      <c r="AT79" s="70">
        <f>'Inputs &amp; Drivers'!$J$22*(AT$6='Inputs &amp; Drivers'!$J$19)</f>
        <v>0</v>
      </c>
      <c r="AU79" s="70">
        <f>'Inputs &amp; Drivers'!$J$22*(AU$6='Inputs &amp; Drivers'!$J$19)</f>
        <v>0</v>
      </c>
      <c r="AV79" s="70">
        <f>'Inputs &amp; Drivers'!$J$22*(AV$6='Inputs &amp; Drivers'!$J$19)</f>
        <v>0</v>
      </c>
      <c r="AW79" s="70">
        <f>'Inputs &amp; Drivers'!$J$22*(AW$6='Inputs &amp; Drivers'!$J$19)</f>
        <v>0</v>
      </c>
      <c r="AX79" s="70">
        <f>'Inputs &amp; Drivers'!$J$22*(AX$6='Inputs &amp; Drivers'!$J$19)</f>
        <v>0</v>
      </c>
      <c r="AY79" s="70">
        <f>'Inputs &amp; Drivers'!$J$22*(AY$6='Inputs &amp; Drivers'!$J$19)</f>
        <v>0</v>
      </c>
      <c r="AZ79" s="70">
        <f>'Inputs &amp; Drivers'!$J$22*(AZ$6='Inputs &amp; Drivers'!$J$19)</f>
        <v>0</v>
      </c>
      <c r="BA79" s="70">
        <f>'Inputs &amp; Drivers'!$J$22*(BA$6='Inputs &amp; Drivers'!$J$19)</f>
        <v>0</v>
      </c>
      <c r="BB79" s="70">
        <f>'Inputs &amp; Drivers'!$J$22*(BB$6='Inputs &amp; Drivers'!$J$19)</f>
        <v>0</v>
      </c>
      <c r="BC79" s="70">
        <f>'Inputs &amp; Drivers'!$J$22*(BC$6='Inputs &amp; Drivers'!$J$19)</f>
        <v>0</v>
      </c>
      <c r="BD79" s="70">
        <f>'Inputs &amp; Drivers'!$J$22*(BD$6='Inputs &amp; Drivers'!$J$19)</f>
        <v>0</v>
      </c>
      <c r="BE79" s="70">
        <f>'Inputs &amp; Drivers'!$J$22*(BE$6='Inputs &amp; Drivers'!$J$19)</f>
        <v>0</v>
      </c>
      <c r="BF79" s="70">
        <f>'Inputs &amp; Drivers'!$J$22*(BF$6='Inputs &amp; Drivers'!$J$19)</f>
        <v>0</v>
      </c>
      <c r="BG79" s="70">
        <f>'Inputs &amp; Drivers'!$J$22*(BG$6='Inputs &amp; Drivers'!$J$19)</f>
        <v>0</v>
      </c>
      <c r="BH79" s="70">
        <f>'Inputs &amp; Drivers'!$J$22*(BH$6='Inputs &amp; Drivers'!$J$19)</f>
        <v>0</v>
      </c>
      <c r="BI79" s="70">
        <f>'Inputs &amp; Drivers'!$J$22*(BI$6='Inputs &amp; Drivers'!$J$19)</f>
        <v>0</v>
      </c>
      <c r="BJ79" s="70">
        <f>'Inputs &amp; Drivers'!$J$22*(BJ$6='Inputs &amp; Drivers'!$J$19)</f>
        <v>0</v>
      </c>
      <c r="BK79" s="70">
        <f>'Inputs &amp; Drivers'!$J$22*(BK$6='Inputs &amp; Drivers'!$J$19)</f>
        <v>0</v>
      </c>
      <c r="BL79" s="70">
        <f>'Inputs &amp; Drivers'!$J$22*(BL$6='Inputs &amp; Drivers'!$J$19)</f>
        <v>0</v>
      </c>
      <c r="BM79" s="70">
        <f>'Inputs &amp; Drivers'!$J$22*(BM$6='Inputs &amp; Drivers'!$J$19)</f>
        <v>0</v>
      </c>
      <c r="BN79" s="70">
        <f>'Inputs &amp; Drivers'!$J$22*(BN$6='Inputs &amp; Drivers'!$J$19)</f>
        <v>0</v>
      </c>
      <c r="BO79" s="70">
        <f>'Inputs &amp; Drivers'!$J$22*(BO$6='Inputs &amp; Drivers'!$J$19)</f>
        <v>0</v>
      </c>
      <c r="BP79" s="70">
        <f>'Inputs &amp; Drivers'!$J$22*(BP$6='Inputs &amp; Drivers'!$J$19)</f>
        <v>0</v>
      </c>
      <c r="BQ79" s="70">
        <f>'Inputs &amp; Drivers'!$J$22*(BQ$6='Inputs &amp; Drivers'!$J$19)</f>
        <v>0</v>
      </c>
      <c r="BR79" s="70">
        <f>'Inputs &amp; Drivers'!$J$22*(BR$6='Inputs &amp; Drivers'!$J$19)</f>
        <v>0</v>
      </c>
      <c r="BS79" s="70">
        <f>'Inputs &amp; Drivers'!$J$22*(BS$6='Inputs &amp; Drivers'!$J$19)</f>
        <v>0</v>
      </c>
      <c r="BT79" s="70">
        <f>'Inputs &amp; Drivers'!$J$22*(BT$6='Inputs &amp; Drivers'!$J$19)</f>
        <v>0</v>
      </c>
      <c r="BU79" s="70">
        <f>'Inputs &amp; Drivers'!$J$22*(BU$6='Inputs &amp; Drivers'!$J$19)</f>
        <v>0</v>
      </c>
      <c r="BV79" s="70">
        <f>'Inputs &amp; Drivers'!$J$22*(BV$6='Inputs &amp; Drivers'!$J$19)</f>
        <v>0</v>
      </c>
      <c r="BW79" s="70">
        <f>'Inputs &amp; Drivers'!$J$22*(BW$6='Inputs &amp; Drivers'!$J$19)</f>
        <v>0</v>
      </c>
      <c r="BX79" s="70">
        <f>'Inputs &amp; Drivers'!$J$22*(BX$6='Inputs &amp; Drivers'!$J$19)</f>
        <v>0</v>
      </c>
      <c r="BY79" s="70">
        <f>'Inputs &amp; Drivers'!$J$22*(BY$6='Inputs &amp; Drivers'!$J$19)</f>
        <v>0</v>
      </c>
      <c r="BZ79" s="70">
        <f>'Inputs &amp; Drivers'!$J$22*(BZ$6='Inputs &amp; Drivers'!$J$19)</f>
        <v>0</v>
      </c>
      <c r="CA79" s="70">
        <f>'Inputs &amp; Drivers'!$J$22*(CA$6='Inputs &amp; Drivers'!$J$19)</f>
        <v>0</v>
      </c>
      <c r="CB79" s="70">
        <f>'Inputs &amp; Drivers'!$J$22*(CB$6='Inputs &amp; Drivers'!$J$19)</f>
        <v>0</v>
      </c>
      <c r="CC79" s="70">
        <f>'Inputs &amp; Drivers'!$J$22*(CC$6='Inputs &amp; Drivers'!$J$19)</f>
        <v>0</v>
      </c>
      <c r="CD79" s="70">
        <f>'Inputs &amp; Drivers'!$J$22*(CD$6='Inputs &amp; Drivers'!$J$19)</f>
        <v>0</v>
      </c>
      <c r="CE79" s="70">
        <f>'Inputs &amp; Drivers'!$J$22*(CE$6='Inputs &amp; Drivers'!$J$19)</f>
        <v>0</v>
      </c>
      <c r="CF79" s="70">
        <f>'Inputs &amp; Drivers'!$J$22*(CF$6='Inputs &amp; Drivers'!$J$19)</f>
        <v>0</v>
      </c>
      <c r="CG79" s="70">
        <f>'Inputs &amp; Drivers'!$J$22*(CG$6='Inputs &amp; Drivers'!$J$19)</f>
        <v>0</v>
      </c>
      <c r="CH79" s="70">
        <f>'Inputs &amp; Drivers'!$J$22*(CH$6='Inputs &amp; Drivers'!$J$19)</f>
        <v>0</v>
      </c>
      <c r="CI79" s="70">
        <f>'Inputs &amp; Drivers'!$J$22*(CI$6='Inputs &amp; Drivers'!$J$19)</f>
        <v>0</v>
      </c>
      <c r="CJ79" s="70">
        <f>'Inputs &amp; Drivers'!$J$22*(CJ$6='Inputs &amp; Drivers'!$J$19)</f>
        <v>0</v>
      </c>
      <c r="CK79" s="70">
        <f>'Inputs &amp; Drivers'!$J$22*(CK$6='Inputs &amp; Drivers'!$J$19)</f>
        <v>0</v>
      </c>
      <c r="CL79" s="70">
        <f>'Inputs &amp; Drivers'!$J$22*(CL$6='Inputs &amp; Drivers'!$J$19)</f>
        <v>0</v>
      </c>
      <c r="CM79" s="70">
        <f>'Inputs &amp; Drivers'!$J$22*(CM$6='Inputs &amp; Drivers'!$J$19)</f>
        <v>0</v>
      </c>
      <c r="CN79" s="70">
        <f>'Inputs &amp; Drivers'!$J$22*(CN$6='Inputs &amp; Drivers'!$J$19)</f>
        <v>0</v>
      </c>
      <c r="CO79" s="70">
        <f>'Inputs &amp; Drivers'!$J$22*(CO$6='Inputs &amp; Drivers'!$J$19)</f>
        <v>0</v>
      </c>
      <c r="CP79" s="70">
        <f>'Inputs &amp; Drivers'!$J$22*(CP$6='Inputs &amp; Drivers'!$J$19)</f>
        <v>0</v>
      </c>
      <c r="CQ79" s="70">
        <f>'Inputs &amp; Drivers'!$J$22*(CQ$6='Inputs &amp; Drivers'!$J$19)</f>
        <v>0</v>
      </c>
      <c r="CR79" s="70">
        <f>'Inputs &amp; Drivers'!$J$22*(CR$6='Inputs &amp; Drivers'!$J$19)</f>
        <v>0</v>
      </c>
      <c r="CS79" s="70">
        <f>'Inputs &amp; Drivers'!$J$22*(CS$6='Inputs &amp; Drivers'!$J$19)</f>
        <v>0</v>
      </c>
      <c r="CT79" s="70">
        <f>'Inputs &amp; Drivers'!$J$22*(CT$6='Inputs &amp; Drivers'!$J$19)</f>
        <v>0</v>
      </c>
      <c r="CU79" s="70">
        <f>'Inputs &amp; Drivers'!$J$22*(CU$6='Inputs &amp; Drivers'!$J$19)</f>
        <v>0</v>
      </c>
      <c r="CV79" s="70">
        <f>'Inputs &amp; Drivers'!$J$22*(CV$6='Inputs &amp; Drivers'!$J$19)</f>
        <v>0</v>
      </c>
      <c r="CW79" s="70">
        <f>'Inputs &amp; Drivers'!$J$22*(CW$6='Inputs &amp; Drivers'!$J$19)</f>
        <v>0</v>
      </c>
      <c r="CX79" s="70">
        <f>'Inputs &amp; Drivers'!$J$22*(CX$6='Inputs &amp; Drivers'!$J$19)</f>
        <v>0</v>
      </c>
      <c r="CY79" s="70">
        <f>'Inputs &amp; Drivers'!$J$22*(CY$6='Inputs &amp; Drivers'!$J$19)</f>
        <v>0</v>
      </c>
      <c r="CZ79" s="70">
        <f>'Inputs &amp; Drivers'!$J$22*(CZ$6='Inputs &amp; Drivers'!$J$19)</f>
        <v>0</v>
      </c>
      <c r="DA79" s="70">
        <f>'Inputs &amp; Drivers'!$J$22*(DA$6='Inputs &amp; Drivers'!$J$19)</f>
        <v>0</v>
      </c>
      <c r="DB79" s="70">
        <f>'Inputs &amp; Drivers'!$J$22*(DB$6='Inputs &amp; Drivers'!$J$19)</f>
        <v>0</v>
      </c>
      <c r="DC79" s="70">
        <f>'Inputs &amp; Drivers'!$J$22*(DC$6='Inputs &amp; Drivers'!$J$19)</f>
        <v>0</v>
      </c>
      <c r="DD79" s="70">
        <f>'Inputs &amp; Drivers'!$J$22*(DD$6='Inputs &amp; Drivers'!$J$19)</f>
        <v>0</v>
      </c>
      <c r="DE79" s="70">
        <f>'Inputs &amp; Drivers'!$J$22*(DE$6='Inputs &amp; Drivers'!$J$19)</f>
        <v>0</v>
      </c>
      <c r="DF79" s="70">
        <f>'Inputs &amp; Drivers'!$J$22*(DF$6='Inputs &amp; Drivers'!$J$19)</f>
        <v>0</v>
      </c>
      <c r="DG79" s="70">
        <f>'Inputs &amp; Drivers'!$J$22*(DG$6='Inputs &amp; Drivers'!$J$19)</f>
        <v>0</v>
      </c>
      <c r="DH79" s="70">
        <f>'Inputs &amp; Drivers'!$J$22*(DH$6='Inputs &amp; Drivers'!$J$19)</f>
        <v>0</v>
      </c>
      <c r="DI79" s="70">
        <f>'Inputs &amp; Drivers'!$J$22*(DI$6='Inputs &amp; Drivers'!$J$19)</f>
        <v>0</v>
      </c>
      <c r="DJ79" s="70">
        <f>'Inputs &amp; Drivers'!$J$22*(DJ$6='Inputs &amp; Drivers'!$J$19)</f>
        <v>0</v>
      </c>
      <c r="DK79" s="70">
        <f>'Inputs &amp; Drivers'!$J$22*(DK$6='Inputs &amp; Drivers'!$J$19)</f>
        <v>0</v>
      </c>
      <c r="DL79" s="70">
        <f>'Inputs &amp; Drivers'!$J$22*(DL$6='Inputs &amp; Drivers'!$J$19)</f>
        <v>0</v>
      </c>
      <c r="DM79" s="70">
        <f>'Inputs &amp; Drivers'!$J$22*(DM$6='Inputs &amp; Drivers'!$J$19)</f>
        <v>0</v>
      </c>
      <c r="DN79" s="70">
        <f>'Inputs &amp; Drivers'!$J$22*(DN$6='Inputs &amp; Drivers'!$J$19)</f>
        <v>0</v>
      </c>
      <c r="DO79" s="70">
        <f>'Inputs &amp; Drivers'!$J$22*(DO$6='Inputs &amp; Drivers'!$J$19)</f>
        <v>0</v>
      </c>
      <c r="DP79" s="70">
        <f>'Inputs &amp; Drivers'!$J$22*(DP$6='Inputs &amp; Drivers'!$J$19)</f>
        <v>0</v>
      </c>
      <c r="DQ79" s="70">
        <f>'Inputs &amp; Drivers'!$J$22*(DQ$6='Inputs &amp; Drivers'!$J$19)</f>
        <v>0</v>
      </c>
      <c r="DR79" s="70">
        <f>'Inputs &amp; Drivers'!$J$22*(DR$6='Inputs &amp; Drivers'!$J$19)</f>
        <v>0</v>
      </c>
      <c r="DS79" s="70">
        <f>'Inputs &amp; Drivers'!$J$22*(DS$6='Inputs &amp; Drivers'!$J$19)</f>
        <v>0</v>
      </c>
      <c r="DT79" s="70">
        <f>'Inputs &amp; Drivers'!$J$22*(DT$6='Inputs &amp; Drivers'!$J$19)</f>
        <v>0</v>
      </c>
      <c r="DU79" s="70">
        <f>'Inputs &amp; Drivers'!$J$22*(DU$6='Inputs &amp; Drivers'!$J$19)</f>
        <v>0</v>
      </c>
      <c r="DV79" s="70">
        <f>'Inputs &amp; Drivers'!$J$22*(DV$6='Inputs &amp; Drivers'!$J$19)</f>
        <v>0</v>
      </c>
      <c r="DW79" s="70">
        <f>'Inputs &amp; Drivers'!$J$22*(DW$6='Inputs &amp; Drivers'!$J$19)</f>
        <v>0</v>
      </c>
      <c r="DX79" s="70">
        <f>'Inputs &amp; Drivers'!$J$22*(DX$6='Inputs &amp; Drivers'!$J$19)</f>
        <v>0</v>
      </c>
      <c r="DY79" s="70">
        <f>'Inputs &amp; Drivers'!$J$22*(DY$6='Inputs &amp; Drivers'!$J$19)</f>
        <v>0</v>
      </c>
      <c r="DZ79" s="70">
        <f>'Inputs &amp; Drivers'!$J$22*(DZ$6='Inputs &amp; Drivers'!$J$19)</f>
        <v>0</v>
      </c>
      <c r="EA79" s="70">
        <f>'Inputs &amp; Drivers'!$J$22*(EA$6='Inputs &amp; Drivers'!$J$19)</f>
        <v>0</v>
      </c>
      <c r="EB79" s="70">
        <f>'Inputs &amp; Drivers'!$J$22*(EB$6='Inputs &amp; Drivers'!$J$19)</f>
        <v>0</v>
      </c>
      <c r="EC79" s="70">
        <f>'Inputs &amp; Drivers'!$J$22*(EC$6='Inputs &amp; Drivers'!$J$19)</f>
        <v>0</v>
      </c>
      <c r="ED79" s="70">
        <f>'Inputs &amp; Drivers'!$J$22*(ED$6='Inputs &amp; Drivers'!$J$19)</f>
        <v>0</v>
      </c>
      <c r="EE79" s="70">
        <f>'Inputs &amp; Drivers'!$J$22*(EE$6='Inputs &amp; Drivers'!$J$19)</f>
        <v>0</v>
      </c>
      <c r="EF79" s="70">
        <f>'Inputs &amp; Drivers'!$J$22*(EF$6='Inputs &amp; Drivers'!$J$19)</f>
        <v>0</v>
      </c>
      <c r="EG79" s="70">
        <f>'Inputs &amp; Drivers'!$J$22*(EG$6='Inputs &amp; Drivers'!$J$19)</f>
        <v>0</v>
      </c>
      <c r="EH79" s="70">
        <f>'Inputs &amp; Drivers'!$J$22*(EH$6='Inputs &amp; Drivers'!$J$19)</f>
        <v>0</v>
      </c>
      <c r="EI79" s="70">
        <f>'Inputs &amp; Drivers'!$J$22*(EI$6='Inputs &amp; Drivers'!$J$19)</f>
        <v>0</v>
      </c>
      <c r="EJ79" s="70">
        <f>'Inputs &amp; Drivers'!$J$22*(EJ$6='Inputs &amp; Drivers'!$J$19)</f>
        <v>0</v>
      </c>
      <c r="EK79" s="70">
        <f>'Inputs &amp; Drivers'!$J$22*(EK$6='Inputs &amp; Drivers'!$J$19)</f>
        <v>0</v>
      </c>
      <c r="EM79" s="109">
        <f t="shared" si="1197"/>
        <v>35700000</v>
      </c>
      <c r="EN79" s="109">
        <f t="shared" si="1197"/>
        <v>0</v>
      </c>
      <c r="EO79" s="109">
        <f t="shared" si="1197"/>
        <v>0</v>
      </c>
      <c r="EP79" s="109">
        <f t="shared" si="1197"/>
        <v>0</v>
      </c>
      <c r="EQ79" s="109">
        <f t="shared" si="1197"/>
        <v>0</v>
      </c>
      <c r="ER79" s="109">
        <f t="shared" si="1197"/>
        <v>0</v>
      </c>
      <c r="ES79" s="109">
        <f t="shared" si="1197"/>
        <v>0</v>
      </c>
      <c r="ET79" s="109">
        <f t="shared" si="1197"/>
        <v>0</v>
      </c>
      <c r="EU79" s="109">
        <f t="shared" si="1197"/>
        <v>0</v>
      </c>
      <c r="EV79" s="109">
        <f t="shared" si="1197"/>
        <v>0</v>
      </c>
      <c r="EW79" s="109">
        <f t="shared" si="1197"/>
        <v>0</v>
      </c>
      <c r="EX79" s="109">
        <f t="shared" si="1197"/>
        <v>0</v>
      </c>
    </row>
    <row r="80" spans="2:154" x14ac:dyDescent="0.3">
      <c r="B80" s="1" t="s">
        <v>137</v>
      </c>
      <c r="I80" s="7">
        <f>-INDEX('Inputs &amp; Drivers'!$U$5:$U$365,MATCH(Model!I$6,'Inputs &amp; Drivers'!$Q$5:$Q$365,0))*(I$6&lt;=$C$5)</f>
        <v>0</v>
      </c>
      <c r="J80" s="7">
        <f>-INDEX('Inputs &amp; Drivers'!$U$5:$U$365,MATCH(Model!J$6,'Inputs &amp; Drivers'!$Q$5:$Q$365,0))*(J$6&lt;=$C$5)</f>
        <v>0</v>
      </c>
      <c r="K80" s="7">
        <f>-INDEX('Inputs &amp; Drivers'!$U$5:$U$365,MATCH(Model!K$6,'Inputs &amp; Drivers'!$Q$5:$Q$365,0))*(K$6&lt;=$C$5)</f>
        <v>0</v>
      </c>
      <c r="L80" s="7">
        <f>-INDEX('Inputs &amp; Drivers'!$U$5:$U$365,MATCH(Model!L$6,'Inputs &amp; Drivers'!$Q$5:$Q$365,0))*(L$6&lt;=$C$5)</f>
        <v>0</v>
      </c>
      <c r="M80" s="7">
        <f>-INDEX('Inputs &amp; Drivers'!$U$5:$U$365,MATCH(Model!M$6,'Inputs &amp; Drivers'!$Q$5:$Q$365,0))*(M$6&lt;=$C$5)</f>
        <v>0</v>
      </c>
      <c r="N80" s="7">
        <f>-INDEX('Inputs &amp; Drivers'!$U$5:$U$365,MATCH(Model!N$6,'Inputs &amp; Drivers'!$Q$5:$Q$365,0))*(N$6&lt;=$C$5)</f>
        <v>0</v>
      </c>
      <c r="O80" s="7">
        <f>-INDEX('Inputs &amp; Drivers'!$U$5:$U$365,MATCH(Model!O$6,'Inputs &amp; Drivers'!$Q$5:$Q$365,0))*(O$6&lt;=$C$5)</f>
        <v>0</v>
      </c>
      <c r="P80" s="7">
        <f>-INDEX('Inputs &amp; Drivers'!$U$5:$U$365,MATCH(Model!P$6,'Inputs &amp; Drivers'!$Q$5:$Q$365,0))*(P$6&lt;=$C$5)</f>
        <v>0</v>
      </c>
      <c r="Q80" s="7">
        <f>-INDEX('Inputs &amp; Drivers'!$U$5:$U$365,MATCH(Model!Q$6,'Inputs &amp; Drivers'!$Q$5:$Q$365,0))*(Q$6&lt;=$C$5)</f>
        <v>0</v>
      </c>
      <c r="R80" s="7">
        <f>-INDEX('Inputs &amp; Drivers'!$U$5:$U$365,MATCH(Model!R$6,'Inputs &amp; Drivers'!$Q$5:$Q$365,0))*(R$6&lt;=$C$5)</f>
        <v>0</v>
      </c>
      <c r="S80" s="7">
        <f>-INDEX('Inputs &amp; Drivers'!$U$5:$U$365,MATCH(Model!S$6,'Inputs &amp; Drivers'!$Q$5:$Q$365,0))*(S$6&lt;=$C$5)</f>
        <v>0</v>
      </c>
      <c r="T80" s="7">
        <f>-INDEX('Inputs &amp; Drivers'!$U$5:$U$365,MATCH(Model!T$6,'Inputs &amp; Drivers'!$Q$5:$Q$365,0))*(T$6&lt;=$C$5)</f>
        <v>0</v>
      </c>
      <c r="U80" s="7">
        <f>-INDEX('Inputs &amp; Drivers'!$U$5:$U$365,MATCH(Model!U$6,'Inputs &amp; Drivers'!$Q$5:$Q$365,0))*(U$6&lt;=$C$5)</f>
        <v>0</v>
      </c>
      <c r="V80" s="7">
        <f>-INDEX('Inputs &amp; Drivers'!$U$5:$U$365,MATCH(Model!V$6,'Inputs &amp; Drivers'!$Q$5:$Q$365,0))*(V$6&lt;=$C$5)</f>
        <v>0</v>
      </c>
      <c r="W80" s="7">
        <f>-INDEX('Inputs &amp; Drivers'!$U$5:$U$365,MATCH(Model!W$6,'Inputs &amp; Drivers'!$Q$5:$Q$365,0))*(W$6&lt;=$C$5)</f>
        <v>0</v>
      </c>
      <c r="X80" s="7">
        <f>-INDEX('Inputs &amp; Drivers'!$U$5:$U$365,MATCH(Model!X$6,'Inputs &amp; Drivers'!$Q$5:$Q$365,0))*(X$6&lt;=$C$5)</f>
        <v>0</v>
      </c>
      <c r="Y80" s="7">
        <f>-INDEX('Inputs &amp; Drivers'!$U$5:$U$365,MATCH(Model!Y$6,'Inputs &amp; Drivers'!$Q$5:$Q$365,0))*(Y$6&lt;=$C$5)</f>
        <v>0</v>
      </c>
      <c r="Z80" s="7">
        <f>-INDEX('Inputs &amp; Drivers'!$U$5:$U$365,MATCH(Model!Z$6,'Inputs &amp; Drivers'!$Q$5:$Q$365,0))*(Z$6&lt;=$C$5)</f>
        <v>0</v>
      </c>
      <c r="AA80" s="7">
        <f>-INDEX('Inputs &amp; Drivers'!$U$5:$U$365,MATCH(Model!AA$6,'Inputs &amp; Drivers'!$Q$5:$Q$365,0))*(AA$6&lt;=$C$5)</f>
        <v>0</v>
      </c>
      <c r="AB80" s="7">
        <f>-INDEX('Inputs &amp; Drivers'!$U$5:$U$365,MATCH(Model!AB$6,'Inputs &amp; Drivers'!$Q$5:$Q$365,0))*(AB$6&lt;=$C$5)</f>
        <v>0</v>
      </c>
      <c r="AC80" s="7">
        <f>-INDEX('Inputs &amp; Drivers'!$U$5:$U$365,MATCH(Model!AC$6,'Inputs &amp; Drivers'!$Q$5:$Q$365,0))*(AC$6&lt;=$C$5)</f>
        <v>0</v>
      </c>
      <c r="AD80" s="7">
        <f>-INDEX('Inputs &amp; Drivers'!$U$5:$U$365,MATCH(Model!AD$6,'Inputs &amp; Drivers'!$Q$5:$Q$365,0))*(AD$6&lt;=$C$5)</f>
        <v>0</v>
      </c>
      <c r="AE80" s="7">
        <f>-INDEX('Inputs &amp; Drivers'!$U$5:$U$365,MATCH(Model!AE$6,'Inputs &amp; Drivers'!$Q$5:$Q$365,0))*(AE$6&lt;=$C$5)</f>
        <v>0</v>
      </c>
      <c r="AF80" s="7">
        <f>-INDEX('Inputs &amp; Drivers'!$U$5:$U$365,MATCH(Model!AF$6,'Inputs &amp; Drivers'!$Q$5:$Q$365,0))*(AF$6&lt;=$C$5)</f>
        <v>0</v>
      </c>
      <c r="AG80" s="7">
        <f>-INDEX('Inputs &amp; Drivers'!$U$5:$U$365,MATCH(Model!AG$6,'Inputs &amp; Drivers'!$Q$5:$Q$365,0))*(AG$6&lt;=$C$5)</f>
        <v>0</v>
      </c>
      <c r="AH80" s="7">
        <f>-INDEX('Inputs &amp; Drivers'!$U$5:$U$365,MATCH(Model!AH$6,'Inputs &amp; Drivers'!$Q$5:$Q$365,0))*(AH$6&lt;=$C$5)</f>
        <v>0</v>
      </c>
      <c r="AI80" s="7">
        <f>-INDEX('Inputs &amp; Drivers'!$U$5:$U$365,MATCH(Model!AI$6,'Inputs &amp; Drivers'!$Q$5:$Q$365,0))*(AI$6&lt;=$C$5)</f>
        <v>0</v>
      </c>
      <c r="AJ80" s="7">
        <f>-INDEX('Inputs &amp; Drivers'!$U$5:$U$365,MATCH(Model!AJ$6,'Inputs &amp; Drivers'!$Q$5:$Q$365,0))*(AJ$6&lt;=$C$5)</f>
        <v>0</v>
      </c>
      <c r="AK80" s="7">
        <f>-INDEX('Inputs &amp; Drivers'!$U$5:$U$365,MATCH(Model!AK$6,'Inputs &amp; Drivers'!$Q$5:$Q$365,0))*(AK$6&lt;=$C$5)</f>
        <v>0</v>
      </c>
      <c r="AL80" s="7">
        <f>-INDEX('Inputs &amp; Drivers'!$U$5:$U$365,MATCH(Model!AL$6,'Inputs &amp; Drivers'!$Q$5:$Q$365,0))*(AL$6&lt;=$C$5)</f>
        <v>0</v>
      </c>
      <c r="AM80" s="7">
        <f>-INDEX('Inputs &amp; Drivers'!$U$5:$U$365,MATCH(Model!AM$6,'Inputs &amp; Drivers'!$Q$5:$Q$365,0))*(AM$6&lt;=$C$5)</f>
        <v>0</v>
      </c>
      <c r="AN80" s="7">
        <f>-INDEX('Inputs &amp; Drivers'!$U$5:$U$365,MATCH(Model!AN$6,'Inputs &amp; Drivers'!$Q$5:$Q$365,0))*(AN$6&lt;=$C$5)</f>
        <v>0</v>
      </c>
      <c r="AO80" s="7">
        <f>-INDEX('Inputs &amp; Drivers'!$U$5:$U$365,MATCH(Model!AO$6,'Inputs &amp; Drivers'!$Q$5:$Q$365,0))*(AO$6&lt;=$C$5)</f>
        <v>0</v>
      </c>
      <c r="AP80" s="7">
        <f>-INDEX('Inputs &amp; Drivers'!$U$5:$U$365,MATCH(Model!AP$6,'Inputs &amp; Drivers'!$Q$5:$Q$365,0))*(AP$6&lt;=$C$5)</f>
        <v>0</v>
      </c>
      <c r="AQ80" s="7">
        <f>-INDEX('Inputs &amp; Drivers'!$U$5:$U$365,MATCH(Model!AQ$6,'Inputs &amp; Drivers'!$Q$5:$Q$365,0))*(AQ$6&lt;=$C$5)</f>
        <v>0</v>
      </c>
      <c r="AR80" s="7">
        <f>-INDEX('Inputs &amp; Drivers'!$U$5:$U$365,MATCH(Model!AR$6,'Inputs &amp; Drivers'!$Q$5:$Q$365,0))*(AR$6&lt;=$C$5)</f>
        <v>0</v>
      </c>
      <c r="AS80" s="7">
        <f>-INDEX('Inputs &amp; Drivers'!$U$5:$U$365,MATCH(Model!AS$6,'Inputs &amp; Drivers'!$Q$5:$Q$365,0))*(AS$6&lt;=$C$5)</f>
        <v>0</v>
      </c>
      <c r="AT80" s="7">
        <f>-INDEX('Inputs &amp; Drivers'!$U$5:$U$365,MATCH(Model!AT$6,'Inputs &amp; Drivers'!$Q$5:$Q$365,0))*(AT$6&lt;=$C$5)</f>
        <v>0</v>
      </c>
      <c r="AU80" s="7">
        <f>-INDEX('Inputs &amp; Drivers'!$U$5:$U$365,MATCH(Model!AU$6,'Inputs &amp; Drivers'!$Q$5:$Q$365,0))*(AU$6&lt;=$C$5)</f>
        <v>0</v>
      </c>
      <c r="AV80" s="7">
        <f>-INDEX('Inputs &amp; Drivers'!$U$5:$U$365,MATCH(Model!AV$6,'Inputs &amp; Drivers'!$Q$5:$Q$365,0))*(AV$6&lt;=$C$5)</f>
        <v>0</v>
      </c>
      <c r="AW80" s="7">
        <f>-INDEX('Inputs &amp; Drivers'!$U$5:$U$365,MATCH(Model!AW$6,'Inputs &amp; Drivers'!$Q$5:$Q$365,0))*(AW$6&lt;=$C$5)</f>
        <v>0</v>
      </c>
      <c r="AX80" s="7">
        <f>-INDEX('Inputs &amp; Drivers'!$U$5:$U$365,MATCH(Model!AX$6,'Inputs &amp; Drivers'!$Q$5:$Q$365,0))*(AX$6&lt;=$C$5)</f>
        <v>0</v>
      </c>
      <c r="AY80" s="7">
        <f>-INDEX('Inputs &amp; Drivers'!$U$5:$U$365,MATCH(Model!AY$6,'Inputs &amp; Drivers'!$Q$5:$Q$365,0))*(AY$6&lt;=$C$5)</f>
        <v>0</v>
      </c>
      <c r="AZ80" s="7">
        <f>-INDEX('Inputs &amp; Drivers'!$U$5:$U$365,MATCH(Model!AZ$6,'Inputs &amp; Drivers'!$Q$5:$Q$365,0))*(AZ$6&lt;=$C$5)</f>
        <v>0</v>
      </c>
      <c r="BA80" s="7">
        <f>-INDEX('Inputs &amp; Drivers'!$U$5:$U$365,MATCH(Model!BA$6,'Inputs &amp; Drivers'!$Q$5:$Q$365,0))*(BA$6&lt;=$C$5)</f>
        <v>0</v>
      </c>
      <c r="BB80" s="7">
        <f>-INDEX('Inputs &amp; Drivers'!$U$5:$U$365,MATCH(Model!BB$6,'Inputs &amp; Drivers'!$Q$5:$Q$365,0))*(BB$6&lt;=$C$5)</f>
        <v>0</v>
      </c>
      <c r="BC80" s="7">
        <f>-INDEX('Inputs &amp; Drivers'!$U$5:$U$365,MATCH(Model!BC$6,'Inputs &amp; Drivers'!$Q$5:$Q$365,0))*(BC$6&lt;=$C$5)</f>
        <v>0</v>
      </c>
      <c r="BD80" s="7">
        <f>-INDEX('Inputs &amp; Drivers'!$U$5:$U$365,MATCH(Model!BD$6,'Inputs &amp; Drivers'!$Q$5:$Q$365,0))*(BD$6&lt;=$C$5)</f>
        <v>0</v>
      </c>
      <c r="BE80" s="7">
        <f>-INDEX('Inputs &amp; Drivers'!$U$5:$U$365,MATCH(Model!BE$6,'Inputs &amp; Drivers'!$Q$5:$Q$365,0))*(BE$6&lt;=$C$5)</f>
        <v>0</v>
      </c>
      <c r="BF80" s="7">
        <f>-INDEX('Inputs &amp; Drivers'!$U$5:$U$365,MATCH(Model!BF$6,'Inputs &amp; Drivers'!$Q$5:$Q$365,0))*(BF$6&lt;=$C$5)</f>
        <v>-42978.11196993207</v>
      </c>
      <c r="BG80" s="7">
        <f>-INDEX('Inputs &amp; Drivers'!$U$5:$U$365,MATCH(Model!BG$6,'Inputs &amp; Drivers'!$Q$5:$Q$365,0))*(BG$6&lt;=$C$5)</f>
        <v>-56813.498774437772</v>
      </c>
      <c r="BH80" s="7">
        <f>-INDEX('Inputs &amp; Drivers'!$U$5:$U$365,MATCH(Model!BH$6,'Inputs &amp; Drivers'!$Q$5:$Q$365,0))*(BH$6&lt;=$C$5)</f>
        <v>-43373.301102067606</v>
      </c>
      <c r="BI80" s="7">
        <f>-INDEX('Inputs &amp; Drivers'!$U$5:$U$365,MATCH(Model!BI$6,'Inputs &amp; Drivers'!$Q$5:$Q$365,0))*(BI$6&lt;=$C$5)</f>
        <v>-48087.329525585752</v>
      </c>
      <c r="BJ80" s="7">
        <f>-INDEX('Inputs &amp; Drivers'!$U$5:$U$365,MATCH(Model!BJ$6,'Inputs &amp; Drivers'!$Q$5:$Q$365,0))*(BJ$6&lt;=$C$5)</f>
        <v>-43735.498354649288</v>
      </c>
      <c r="BK80" s="7">
        <f>-INDEX('Inputs &amp; Drivers'!$U$5:$U$365,MATCH(Model!BK$6,'Inputs &amp; Drivers'!$Q$5:$Q$365,0))*(BK$6&lt;=$C$5)</f>
        <v>-48439.23107958457</v>
      </c>
      <c r="BL80" s="7">
        <f>-INDEX('Inputs &amp; Drivers'!$U$5:$U$365,MATCH(Model!BL$6,'Inputs &amp; Drivers'!$Q$5:$Q$365,0))*(BL$6&lt;=$C$5)</f>
        <v>-44100.523541217903</v>
      </c>
      <c r="BM80" s="7">
        <f>-INDEX('Inputs &amp; Drivers'!$U$5:$U$365,MATCH(Model!BM$6,'Inputs &amp; Drivers'!$Q$5:$Q$365,0))*(BM$6&lt;=$C$5)</f>
        <v>-44275.167957667116</v>
      </c>
      <c r="BN80" s="7">
        <f>-INDEX('Inputs &amp; Drivers'!$U$5:$U$365,MATCH(Model!BN$6,'Inputs &amp; Drivers'!$Q$5:$Q$365,0))*(BN$6&lt;=$C$5)</f>
        <v>-48963.56021403888</v>
      </c>
      <c r="BO80" s="7">
        <f>-INDEX('Inputs &amp; Drivers'!$U$5:$U$365,MATCH(Model!BO$6,'Inputs &amp; Drivers'!$Q$5:$Q$365,0))*(BO$6&lt;=$C$5)</f>
        <v>-44644.406732276984</v>
      </c>
      <c r="BP80" s="7">
        <f>-INDEX('Inputs &amp; Drivers'!$U$5:$U$365,MATCH(Model!BP$6,'Inputs &amp; Drivers'!$Q$5:$Q$365,0))*(BP$6&lt;=$C$5)</f>
        <v>-49322.303130103741</v>
      </c>
      <c r="BQ80" s="7">
        <f>-INDEX('Inputs &amp; Drivers'!$U$5:$U$365,MATCH(Model!BQ$6,'Inputs &amp; Drivers'!$Q$5:$Q$365,0))*(BQ$6&lt;=$C$5)</f>
        <v>-45016.528419091657</v>
      </c>
      <c r="BR80" s="7">
        <f>-INDEX('Inputs &amp; Drivers'!$U$5:$U$365,MATCH(Model!BR$6,'Inputs &amp; Drivers'!$Q$5:$Q$365,0))*(BR$6&lt;=$C$5)</f>
        <v>0</v>
      </c>
      <c r="BS80" s="7">
        <f>-INDEX('Inputs &amp; Drivers'!$U$5:$U$365,MATCH(Model!BS$6,'Inputs &amp; Drivers'!$Q$5:$Q$365,0))*(BS$6&lt;=$C$5)</f>
        <v>0</v>
      </c>
      <c r="BT80" s="7">
        <f>-INDEX('Inputs &amp; Drivers'!$U$5:$U$365,MATCH(Model!BT$6,'Inputs &amp; Drivers'!$Q$5:$Q$365,0))*(BT$6&lt;=$C$5)</f>
        <v>0</v>
      </c>
      <c r="BU80" s="7">
        <f>-INDEX('Inputs &amp; Drivers'!$U$5:$U$365,MATCH(Model!BU$6,'Inputs &amp; Drivers'!$Q$5:$Q$365,0))*(BU$6&lt;=$C$5)</f>
        <v>0</v>
      </c>
      <c r="BV80" s="7">
        <f>-INDEX('Inputs &amp; Drivers'!$U$5:$U$365,MATCH(Model!BV$6,'Inputs &amp; Drivers'!$Q$5:$Q$365,0))*(BV$6&lt;=$C$5)</f>
        <v>0</v>
      </c>
      <c r="BW80" s="7">
        <f>-INDEX('Inputs &amp; Drivers'!$U$5:$U$365,MATCH(Model!BW$6,'Inputs &amp; Drivers'!$Q$5:$Q$365,0))*(BW$6&lt;=$C$5)</f>
        <v>0</v>
      </c>
      <c r="BX80" s="7">
        <f>-INDEX('Inputs &amp; Drivers'!$U$5:$U$365,MATCH(Model!BX$6,'Inputs &amp; Drivers'!$Q$5:$Q$365,0))*(BX$6&lt;=$C$5)</f>
        <v>0</v>
      </c>
      <c r="BY80" s="7">
        <f>-INDEX('Inputs &amp; Drivers'!$U$5:$U$365,MATCH(Model!BY$6,'Inputs &amp; Drivers'!$Q$5:$Q$365,0))*(BY$6&lt;=$C$5)</f>
        <v>0</v>
      </c>
      <c r="BZ80" s="7">
        <f>-INDEX('Inputs &amp; Drivers'!$U$5:$U$365,MATCH(Model!BZ$6,'Inputs &amp; Drivers'!$Q$5:$Q$365,0))*(BZ$6&lt;=$C$5)</f>
        <v>0</v>
      </c>
      <c r="CA80" s="7">
        <f>-INDEX('Inputs &amp; Drivers'!$U$5:$U$365,MATCH(Model!CA$6,'Inputs &amp; Drivers'!$Q$5:$Q$365,0))*(CA$6&lt;=$C$5)</f>
        <v>0</v>
      </c>
      <c r="CB80" s="7">
        <f>-INDEX('Inputs &amp; Drivers'!$U$5:$U$365,MATCH(Model!CB$6,'Inputs &amp; Drivers'!$Q$5:$Q$365,0))*(CB$6&lt;=$C$5)</f>
        <v>0</v>
      </c>
      <c r="CC80" s="7">
        <f>-INDEX('Inputs &amp; Drivers'!$U$5:$U$365,MATCH(Model!CC$6,'Inputs &amp; Drivers'!$Q$5:$Q$365,0))*(CC$6&lt;=$C$5)</f>
        <v>0</v>
      </c>
      <c r="CD80" s="7">
        <f>-INDEX('Inputs &amp; Drivers'!$U$5:$U$365,MATCH(Model!CD$6,'Inputs &amp; Drivers'!$Q$5:$Q$365,0))*(CD$6&lt;=$C$5)</f>
        <v>0</v>
      </c>
      <c r="CE80" s="7">
        <f>-INDEX('Inputs &amp; Drivers'!$U$5:$U$365,MATCH(Model!CE$6,'Inputs &amp; Drivers'!$Q$5:$Q$365,0))*(CE$6&lt;=$C$5)</f>
        <v>0</v>
      </c>
      <c r="CF80" s="7">
        <f>-INDEX('Inputs &amp; Drivers'!$U$5:$U$365,MATCH(Model!CF$6,'Inputs &amp; Drivers'!$Q$5:$Q$365,0))*(CF$6&lt;=$C$5)</f>
        <v>0</v>
      </c>
      <c r="CG80" s="7">
        <f>-INDEX('Inputs &amp; Drivers'!$U$5:$U$365,MATCH(Model!CG$6,'Inputs &amp; Drivers'!$Q$5:$Q$365,0))*(CG$6&lt;=$C$5)</f>
        <v>0</v>
      </c>
      <c r="CH80" s="7">
        <f>-INDEX('Inputs &amp; Drivers'!$U$5:$U$365,MATCH(Model!CH$6,'Inputs &amp; Drivers'!$Q$5:$Q$365,0))*(CH$6&lt;=$C$5)</f>
        <v>0</v>
      </c>
      <c r="CI80" s="7">
        <f>-INDEX('Inputs &amp; Drivers'!$U$5:$U$365,MATCH(Model!CI$6,'Inputs &amp; Drivers'!$Q$5:$Q$365,0))*(CI$6&lt;=$C$5)</f>
        <v>0</v>
      </c>
      <c r="CJ80" s="7">
        <f>-INDEX('Inputs &amp; Drivers'!$U$5:$U$365,MATCH(Model!CJ$6,'Inputs &amp; Drivers'!$Q$5:$Q$365,0))*(CJ$6&lt;=$C$5)</f>
        <v>0</v>
      </c>
      <c r="CK80" s="7">
        <f>-INDEX('Inputs &amp; Drivers'!$U$5:$U$365,MATCH(Model!CK$6,'Inputs &amp; Drivers'!$Q$5:$Q$365,0))*(CK$6&lt;=$C$5)</f>
        <v>0</v>
      </c>
      <c r="CL80" s="7">
        <f>-INDEX('Inputs &amp; Drivers'!$U$5:$U$365,MATCH(Model!CL$6,'Inputs &amp; Drivers'!$Q$5:$Q$365,0))*(CL$6&lt;=$C$5)</f>
        <v>0</v>
      </c>
      <c r="CM80" s="7">
        <f>-INDEX('Inputs &amp; Drivers'!$U$5:$U$365,MATCH(Model!CM$6,'Inputs &amp; Drivers'!$Q$5:$Q$365,0))*(CM$6&lt;=$C$5)</f>
        <v>0</v>
      </c>
      <c r="CN80" s="7">
        <f>-INDEX('Inputs &amp; Drivers'!$U$5:$U$365,MATCH(Model!CN$6,'Inputs &amp; Drivers'!$Q$5:$Q$365,0))*(CN$6&lt;=$C$5)</f>
        <v>0</v>
      </c>
      <c r="CO80" s="7">
        <f>-INDEX('Inputs &amp; Drivers'!$U$5:$U$365,MATCH(Model!CO$6,'Inputs &amp; Drivers'!$Q$5:$Q$365,0))*(CO$6&lt;=$C$5)</f>
        <v>0</v>
      </c>
      <c r="CP80" s="7">
        <f>-INDEX('Inputs &amp; Drivers'!$U$5:$U$365,MATCH(Model!CP$6,'Inputs &amp; Drivers'!$Q$5:$Q$365,0))*(CP$6&lt;=$C$5)</f>
        <v>0</v>
      </c>
      <c r="CQ80" s="7">
        <f>-INDEX('Inputs &amp; Drivers'!$U$5:$U$365,MATCH(Model!CQ$6,'Inputs &amp; Drivers'!$Q$5:$Q$365,0))*(CQ$6&lt;=$C$5)</f>
        <v>0</v>
      </c>
      <c r="CR80" s="7">
        <f>-INDEX('Inputs &amp; Drivers'!$U$5:$U$365,MATCH(Model!CR$6,'Inputs &amp; Drivers'!$Q$5:$Q$365,0))*(CR$6&lt;=$C$5)</f>
        <v>0</v>
      </c>
      <c r="CS80" s="7">
        <f>-INDEX('Inputs &amp; Drivers'!$U$5:$U$365,MATCH(Model!CS$6,'Inputs &amp; Drivers'!$Q$5:$Q$365,0))*(CS$6&lt;=$C$5)</f>
        <v>0</v>
      </c>
      <c r="CT80" s="7">
        <f>-INDEX('Inputs &amp; Drivers'!$U$5:$U$365,MATCH(Model!CT$6,'Inputs &amp; Drivers'!$Q$5:$Q$365,0))*(CT$6&lt;=$C$5)</f>
        <v>0</v>
      </c>
      <c r="CU80" s="7">
        <f>-INDEX('Inputs &amp; Drivers'!$U$5:$U$365,MATCH(Model!CU$6,'Inputs &amp; Drivers'!$Q$5:$Q$365,0))*(CU$6&lt;=$C$5)</f>
        <v>0</v>
      </c>
      <c r="CV80" s="7">
        <f>-INDEX('Inputs &amp; Drivers'!$U$5:$U$365,MATCH(Model!CV$6,'Inputs &amp; Drivers'!$Q$5:$Q$365,0))*(CV$6&lt;=$C$5)</f>
        <v>0</v>
      </c>
      <c r="CW80" s="7">
        <f>-INDEX('Inputs &amp; Drivers'!$U$5:$U$365,MATCH(Model!CW$6,'Inputs &amp; Drivers'!$Q$5:$Q$365,0))*(CW$6&lt;=$C$5)</f>
        <v>0</v>
      </c>
      <c r="CX80" s="7">
        <f>-INDEX('Inputs &amp; Drivers'!$U$5:$U$365,MATCH(Model!CX$6,'Inputs &amp; Drivers'!$Q$5:$Q$365,0))*(CX$6&lt;=$C$5)</f>
        <v>0</v>
      </c>
      <c r="CY80" s="7">
        <f>-INDEX('Inputs &amp; Drivers'!$U$5:$U$365,MATCH(Model!CY$6,'Inputs &amp; Drivers'!$Q$5:$Q$365,0))*(CY$6&lt;=$C$5)</f>
        <v>0</v>
      </c>
      <c r="CZ80" s="7">
        <f>-INDEX('Inputs &amp; Drivers'!$U$5:$U$365,MATCH(Model!CZ$6,'Inputs &amp; Drivers'!$Q$5:$Q$365,0))*(CZ$6&lt;=$C$5)</f>
        <v>0</v>
      </c>
      <c r="DA80" s="7">
        <f>-INDEX('Inputs &amp; Drivers'!$U$5:$U$365,MATCH(Model!DA$6,'Inputs &amp; Drivers'!$Q$5:$Q$365,0))*(DA$6&lt;=$C$5)</f>
        <v>0</v>
      </c>
      <c r="DB80" s="7">
        <f>-INDEX('Inputs &amp; Drivers'!$U$5:$U$365,MATCH(Model!DB$6,'Inputs &amp; Drivers'!$Q$5:$Q$365,0))*(DB$6&lt;=$C$5)</f>
        <v>0</v>
      </c>
      <c r="DC80" s="7">
        <f>-INDEX('Inputs &amp; Drivers'!$U$5:$U$365,MATCH(Model!DC$6,'Inputs &amp; Drivers'!$Q$5:$Q$365,0))*(DC$6&lt;=$C$5)</f>
        <v>0</v>
      </c>
      <c r="DD80" s="7">
        <f>-INDEX('Inputs &amp; Drivers'!$U$5:$U$365,MATCH(Model!DD$6,'Inputs &amp; Drivers'!$Q$5:$Q$365,0))*(DD$6&lt;=$C$5)</f>
        <v>0</v>
      </c>
      <c r="DE80" s="7">
        <f>-INDEX('Inputs &amp; Drivers'!$U$5:$U$365,MATCH(Model!DE$6,'Inputs &amp; Drivers'!$Q$5:$Q$365,0))*(DE$6&lt;=$C$5)</f>
        <v>0</v>
      </c>
      <c r="DF80" s="7">
        <f>-INDEX('Inputs &amp; Drivers'!$U$5:$U$365,MATCH(Model!DF$6,'Inputs &amp; Drivers'!$Q$5:$Q$365,0))*(DF$6&lt;=$C$5)</f>
        <v>0</v>
      </c>
      <c r="DG80" s="7">
        <f>-INDEX('Inputs &amp; Drivers'!$U$5:$U$365,MATCH(Model!DG$6,'Inputs &amp; Drivers'!$Q$5:$Q$365,0))*(DG$6&lt;=$C$5)</f>
        <v>0</v>
      </c>
      <c r="DH80" s="7">
        <f>-INDEX('Inputs &amp; Drivers'!$U$5:$U$365,MATCH(Model!DH$6,'Inputs &amp; Drivers'!$Q$5:$Q$365,0))*(DH$6&lt;=$C$5)</f>
        <v>0</v>
      </c>
      <c r="DI80" s="7">
        <f>-INDEX('Inputs &amp; Drivers'!$U$5:$U$365,MATCH(Model!DI$6,'Inputs &amp; Drivers'!$Q$5:$Q$365,0))*(DI$6&lt;=$C$5)</f>
        <v>0</v>
      </c>
      <c r="DJ80" s="7">
        <f>-INDEX('Inputs &amp; Drivers'!$U$5:$U$365,MATCH(Model!DJ$6,'Inputs &amp; Drivers'!$Q$5:$Q$365,0))*(DJ$6&lt;=$C$5)</f>
        <v>0</v>
      </c>
      <c r="DK80" s="7">
        <f>-INDEX('Inputs &amp; Drivers'!$U$5:$U$365,MATCH(Model!DK$6,'Inputs &amp; Drivers'!$Q$5:$Q$365,0))*(DK$6&lt;=$C$5)</f>
        <v>0</v>
      </c>
      <c r="DL80" s="7">
        <f>-INDEX('Inputs &amp; Drivers'!$U$5:$U$365,MATCH(Model!DL$6,'Inputs &amp; Drivers'!$Q$5:$Q$365,0))*(DL$6&lt;=$C$5)</f>
        <v>0</v>
      </c>
      <c r="DM80" s="7">
        <f>-INDEX('Inputs &amp; Drivers'!$U$5:$U$365,MATCH(Model!DM$6,'Inputs &amp; Drivers'!$Q$5:$Q$365,0))*(DM$6&lt;=$C$5)</f>
        <v>0</v>
      </c>
      <c r="DN80" s="7">
        <f>-INDEX('Inputs &amp; Drivers'!$U$5:$U$365,MATCH(Model!DN$6,'Inputs &amp; Drivers'!$Q$5:$Q$365,0))*(DN$6&lt;=$C$5)</f>
        <v>0</v>
      </c>
      <c r="DO80" s="7">
        <f>-INDEX('Inputs &amp; Drivers'!$U$5:$U$365,MATCH(Model!DO$6,'Inputs &amp; Drivers'!$Q$5:$Q$365,0))*(DO$6&lt;=$C$5)</f>
        <v>0</v>
      </c>
      <c r="DP80" s="7">
        <f>-INDEX('Inputs &amp; Drivers'!$U$5:$U$365,MATCH(Model!DP$6,'Inputs &amp; Drivers'!$Q$5:$Q$365,0))*(DP$6&lt;=$C$5)</f>
        <v>0</v>
      </c>
      <c r="DQ80" s="7">
        <f>-INDEX('Inputs &amp; Drivers'!$U$5:$U$365,MATCH(Model!DQ$6,'Inputs &amp; Drivers'!$Q$5:$Q$365,0))*(DQ$6&lt;=$C$5)</f>
        <v>0</v>
      </c>
      <c r="DR80" s="7">
        <f>-INDEX('Inputs &amp; Drivers'!$U$5:$U$365,MATCH(Model!DR$6,'Inputs &amp; Drivers'!$Q$5:$Q$365,0))*(DR$6&lt;=$C$5)</f>
        <v>0</v>
      </c>
      <c r="DS80" s="7">
        <f>-INDEX('Inputs &amp; Drivers'!$U$5:$U$365,MATCH(Model!DS$6,'Inputs &amp; Drivers'!$Q$5:$Q$365,0))*(DS$6&lt;=$C$5)</f>
        <v>0</v>
      </c>
      <c r="DT80" s="7">
        <f>-INDEX('Inputs &amp; Drivers'!$U$5:$U$365,MATCH(Model!DT$6,'Inputs &amp; Drivers'!$Q$5:$Q$365,0))*(DT$6&lt;=$C$5)</f>
        <v>0</v>
      </c>
      <c r="DU80" s="7">
        <f>-INDEX('Inputs &amp; Drivers'!$U$5:$U$365,MATCH(Model!DU$6,'Inputs &amp; Drivers'!$Q$5:$Q$365,0))*(DU$6&lt;=$C$5)</f>
        <v>0</v>
      </c>
      <c r="DV80" s="7">
        <f>-INDEX('Inputs &amp; Drivers'!$U$5:$U$365,MATCH(Model!DV$6,'Inputs &amp; Drivers'!$Q$5:$Q$365,0))*(DV$6&lt;=$C$5)</f>
        <v>0</v>
      </c>
      <c r="DW80" s="7">
        <f>-INDEX('Inputs &amp; Drivers'!$U$5:$U$365,MATCH(Model!DW$6,'Inputs &amp; Drivers'!$Q$5:$Q$365,0))*(DW$6&lt;=$C$5)</f>
        <v>0</v>
      </c>
      <c r="DX80" s="7">
        <f>-INDEX('Inputs &amp; Drivers'!$U$5:$U$365,MATCH(Model!DX$6,'Inputs &amp; Drivers'!$Q$5:$Q$365,0))*(DX$6&lt;=$C$5)</f>
        <v>0</v>
      </c>
      <c r="DY80" s="7">
        <f>-INDEX('Inputs &amp; Drivers'!$U$5:$U$365,MATCH(Model!DY$6,'Inputs &amp; Drivers'!$Q$5:$Q$365,0))*(DY$6&lt;=$C$5)</f>
        <v>0</v>
      </c>
      <c r="DZ80" s="7">
        <f>-INDEX('Inputs &amp; Drivers'!$U$5:$U$365,MATCH(Model!DZ$6,'Inputs &amp; Drivers'!$Q$5:$Q$365,0))*(DZ$6&lt;=$C$5)</f>
        <v>0</v>
      </c>
      <c r="EA80" s="7">
        <f>-INDEX('Inputs &amp; Drivers'!$U$5:$U$365,MATCH(Model!EA$6,'Inputs &amp; Drivers'!$Q$5:$Q$365,0))*(EA$6&lt;=$C$5)</f>
        <v>0</v>
      </c>
      <c r="EB80" s="7">
        <f>-INDEX('Inputs &amp; Drivers'!$U$5:$U$365,MATCH(Model!EB$6,'Inputs &amp; Drivers'!$Q$5:$Q$365,0))*(EB$6&lt;=$C$5)</f>
        <v>0</v>
      </c>
      <c r="EC80" s="7">
        <f>-INDEX('Inputs &amp; Drivers'!$U$5:$U$365,MATCH(Model!EC$6,'Inputs &amp; Drivers'!$Q$5:$Q$365,0))*(EC$6&lt;=$C$5)</f>
        <v>0</v>
      </c>
      <c r="ED80" s="7">
        <f>-INDEX('Inputs &amp; Drivers'!$U$5:$U$365,MATCH(Model!ED$6,'Inputs &amp; Drivers'!$Q$5:$Q$365,0))*(ED$6&lt;=$C$5)</f>
        <v>0</v>
      </c>
      <c r="EE80" s="7">
        <f>-INDEX('Inputs &amp; Drivers'!$U$5:$U$365,MATCH(Model!EE$6,'Inputs &amp; Drivers'!$Q$5:$Q$365,0))*(EE$6&lt;=$C$5)</f>
        <v>0</v>
      </c>
      <c r="EF80" s="7">
        <f>-INDEX('Inputs &amp; Drivers'!$U$5:$U$365,MATCH(Model!EF$6,'Inputs &amp; Drivers'!$Q$5:$Q$365,0))*(EF$6&lt;=$C$5)</f>
        <v>0</v>
      </c>
      <c r="EG80" s="7">
        <f>-INDEX('Inputs &amp; Drivers'!$U$5:$U$365,MATCH(Model!EG$6,'Inputs &amp; Drivers'!$Q$5:$Q$365,0))*(EG$6&lt;=$C$5)</f>
        <v>0</v>
      </c>
      <c r="EH80" s="7">
        <f>-INDEX('Inputs &amp; Drivers'!$U$5:$U$365,MATCH(Model!EH$6,'Inputs &amp; Drivers'!$Q$5:$Q$365,0))*(EH$6&lt;=$C$5)</f>
        <v>0</v>
      </c>
      <c r="EI80" s="7">
        <f>-INDEX('Inputs &amp; Drivers'!$U$5:$U$365,MATCH(Model!EI$6,'Inputs &amp; Drivers'!$Q$5:$Q$365,0))*(EI$6&lt;=$C$5)</f>
        <v>0</v>
      </c>
      <c r="EJ80" s="7">
        <f>-INDEX('Inputs &amp; Drivers'!$U$5:$U$365,MATCH(Model!EJ$6,'Inputs &amp; Drivers'!$Q$5:$Q$365,0))*(EJ$6&lt;=$C$5)</f>
        <v>0</v>
      </c>
      <c r="EK80" s="7">
        <f>-INDEX('Inputs &amp; Drivers'!$U$5:$U$365,MATCH(Model!EK$6,'Inputs &amp; Drivers'!$Q$5:$Q$365,0))*(EK$6&lt;=$C$5)</f>
        <v>0</v>
      </c>
      <c r="EM80" s="109">
        <f t="shared" si="1197"/>
        <v>0</v>
      </c>
      <c r="EN80" s="109">
        <f t="shared" si="1197"/>
        <v>0</v>
      </c>
      <c r="EO80" s="109">
        <f t="shared" si="1197"/>
        <v>0</v>
      </c>
      <c r="EP80" s="109">
        <f t="shared" si="1197"/>
        <v>0</v>
      </c>
      <c r="EQ80" s="109">
        <f t="shared" si="1197"/>
        <v>0</v>
      </c>
      <c r="ER80" s="109">
        <f t="shared" si="1197"/>
        <v>-559749.46080065332</v>
      </c>
      <c r="ES80" s="109">
        <f t="shared" si="1197"/>
        <v>0</v>
      </c>
      <c r="ET80" s="109">
        <f t="shared" si="1197"/>
        <v>0</v>
      </c>
      <c r="EU80" s="109">
        <f t="shared" si="1197"/>
        <v>0</v>
      </c>
      <c r="EV80" s="109">
        <f t="shared" si="1197"/>
        <v>0</v>
      </c>
      <c r="EW80" s="109">
        <f t="shared" si="1197"/>
        <v>0</v>
      </c>
      <c r="EX80" s="109">
        <f t="shared" si="1197"/>
        <v>0</v>
      </c>
    </row>
    <row r="81" spans="2:154" x14ac:dyDescent="0.3">
      <c r="B81" s="1" t="s">
        <v>139</v>
      </c>
      <c r="I81" s="82">
        <f>-SUM(I78:I80)*(I$6='Inputs &amp; Drivers'!$J$21)</f>
        <v>0</v>
      </c>
      <c r="J81" s="82">
        <f>-SUM(J78:J80)*(J$6='Inputs &amp; Drivers'!$J$21)</f>
        <v>0</v>
      </c>
      <c r="K81" s="82">
        <f>-SUM(K78:K80)*(K$6='Inputs &amp; Drivers'!$J$21)</f>
        <v>0</v>
      </c>
      <c r="L81" s="82">
        <f>-SUM(L78:L80)*(L$6='Inputs &amp; Drivers'!$J$21)</f>
        <v>0</v>
      </c>
      <c r="M81" s="82">
        <f>-SUM(M78:M80)*(M$6='Inputs &amp; Drivers'!$J$21)</f>
        <v>0</v>
      </c>
      <c r="N81" s="82">
        <f>-SUM(N78:N80)*(N$6='Inputs &amp; Drivers'!$J$21)</f>
        <v>0</v>
      </c>
      <c r="O81" s="82">
        <f>-SUM(O78:O80)*(O$6='Inputs &amp; Drivers'!$J$21)</f>
        <v>0</v>
      </c>
      <c r="P81" s="82">
        <f>-SUM(P78:P80)*(P$6='Inputs &amp; Drivers'!$J$21)</f>
        <v>0</v>
      </c>
      <c r="Q81" s="82">
        <f>-SUM(Q78:Q80)*(Q$6='Inputs &amp; Drivers'!$J$21)</f>
        <v>0</v>
      </c>
      <c r="R81" s="82">
        <f>-SUM(R78:R80)*(R$6='Inputs &amp; Drivers'!$J$21)</f>
        <v>0</v>
      </c>
      <c r="S81" s="82">
        <f>-SUM(S78:S80)*(S$6='Inputs &amp; Drivers'!$J$21)</f>
        <v>0</v>
      </c>
      <c r="T81" s="82">
        <f>-SUM(T78:T80)*(T$6='Inputs &amp; Drivers'!$J$21)</f>
        <v>0</v>
      </c>
      <c r="U81" s="82">
        <f>-SUM(U78:U80)*(U$6='Inputs &amp; Drivers'!$J$21)</f>
        <v>0</v>
      </c>
      <c r="V81" s="82">
        <f>-SUM(V78:V80)*(V$6='Inputs &amp; Drivers'!$J$21)</f>
        <v>0</v>
      </c>
      <c r="W81" s="82">
        <f>-SUM(W78:W80)*(W$6='Inputs &amp; Drivers'!$J$21)</f>
        <v>0</v>
      </c>
      <c r="X81" s="82">
        <f>-SUM(X78:X80)*(X$6='Inputs &amp; Drivers'!$J$21)</f>
        <v>0</v>
      </c>
      <c r="Y81" s="82">
        <f>-SUM(Y78:Y80)*(Y$6='Inputs &amp; Drivers'!$J$21)</f>
        <v>0</v>
      </c>
      <c r="Z81" s="82">
        <f>-SUM(Z78:Z80)*(Z$6='Inputs &amp; Drivers'!$J$21)</f>
        <v>0</v>
      </c>
      <c r="AA81" s="82">
        <f>-SUM(AA78:AA80)*(AA$6='Inputs &amp; Drivers'!$J$21)</f>
        <v>0</v>
      </c>
      <c r="AB81" s="82">
        <f>-SUM(AB78:AB80)*(AB$6='Inputs &amp; Drivers'!$J$21)</f>
        <v>0</v>
      </c>
      <c r="AC81" s="82">
        <f>-SUM(AC78:AC80)*(AC$6='Inputs &amp; Drivers'!$J$21)</f>
        <v>0</v>
      </c>
      <c r="AD81" s="82">
        <f>-SUM(AD78:AD80)*(AD$6='Inputs &amp; Drivers'!$J$21)</f>
        <v>0</v>
      </c>
      <c r="AE81" s="82">
        <f>-SUM(AE78:AE80)*(AE$6='Inputs &amp; Drivers'!$J$21)</f>
        <v>0</v>
      </c>
      <c r="AF81" s="82">
        <f>-SUM(AF78:AF80)*(AF$6='Inputs &amp; Drivers'!$J$21)</f>
        <v>0</v>
      </c>
      <c r="AG81" s="82">
        <f>-SUM(AG78:AG80)*(AG$6='Inputs &amp; Drivers'!$J$21)</f>
        <v>0</v>
      </c>
      <c r="AH81" s="82">
        <f>-SUM(AH78:AH80)*(AH$6='Inputs &amp; Drivers'!$J$21)</f>
        <v>0</v>
      </c>
      <c r="AI81" s="82">
        <f>-SUM(AI78:AI80)*(AI$6='Inputs &amp; Drivers'!$J$21)</f>
        <v>0</v>
      </c>
      <c r="AJ81" s="82">
        <f>-SUM(AJ78:AJ80)*(AJ$6='Inputs &amp; Drivers'!$J$21)</f>
        <v>0</v>
      </c>
      <c r="AK81" s="82">
        <f>-SUM(AK78:AK80)*(AK$6='Inputs &amp; Drivers'!$J$21)</f>
        <v>0</v>
      </c>
      <c r="AL81" s="82">
        <f>-SUM(AL78:AL80)*(AL$6='Inputs &amp; Drivers'!$J$21)</f>
        <v>0</v>
      </c>
      <c r="AM81" s="82">
        <f>-SUM(AM78:AM80)*(AM$6='Inputs &amp; Drivers'!$J$21)</f>
        <v>0</v>
      </c>
      <c r="AN81" s="82">
        <f>-SUM(AN78:AN80)*(AN$6='Inputs &amp; Drivers'!$J$21)</f>
        <v>0</v>
      </c>
      <c r="AO81" s="82">
        <f>-SUM(AO78:AO80)*(AO$6='Inputs &amp; Drivers'!$J$21)</f>
        <v>0</v>
      </c>
      <c r="AP81" s="82">
        <f>-SUM(AP78:AP80)*(AP$6='Inputs &amp; Drivers'!$J$21)</f>
        <v>0</v>
      </c>
      <c r="AQ81" s="82">
        <f>-SUM(AQ78:AQ80)*(AQ$6='Inputs &amp; Drivers'!$J$21)</f>
        <v>0</v>
      </c>
      <c r="AR81" s="82">
        <f>-SUM(AR78:AR80)*(AR$6='Inputs &amp; Drivers'!$J$21)</f>
        <v>0</v>
      </c>
      <c r="AS81" s="82">
        <f>-SUM(AS78:AS80)*(AS$6='Inputs &amp; Drivers'!$J$21)</f>
        <v>0</v>
      </c>
      <c r="AT81" s="82">
        <f>-SUM(AT78:AT80)*(AT$6='Inputs &amp; Drivers'!$J$21)</f>
        <v>0</v>
      </c>
      <c r="AU81" s="82">
        <f>-SUM(AU78:AU80)*(AU$6='Inputs &amp; Drivers'!$J$21)</f>
        <v>0</v>
      </c>
      <c r="AV81" s="82">
        <f>-SUM(AV78:AV80)*(AV$6='Inputs &amp; Drivers'!$J$21)</f>
        <v>0</v>
      </c>
      <c r="AW81" s="82">
        <f>-SUM(AW78:AW80)*(AW$6='Inputs &amp; Drivers'!$J$21)</f>
        <v>0</v>
      </c>
      <c r="AX81" s="82">
        <f>-SUM(AX78:AX80)*(AX$6='Inputs &amp; Drivers'!$J$21)</f>
        <v>0</v>
      </c>
      <c r="AY81" s="82">
        <f>-SUM(AY78:AY80)*(AY$6='Inputs &amp; Drivers'!$J$21)</f>
        <v>0</v>
      </c>
      <c r="AZ81" s="82">
        <f>-SUM(AZ78:AZ80)*(AZ$6='Inputs &amp; Drivers'!$J$21)</f>
        <v>0</v>
      </c>
      <c r="BA81" s="82">
        <f>-SUM(BA78:BA80)*(BA$6='Inputs &amp; Drivers'!$J$21)</f>
        <v>0</v>
      </c>
      <c r="BB81" s="82">
        <f>-SUM(BB78:BB80)*(BB$6='Inputs &amp; Drivers'!$J$21)</f>
        <v>0</v>
      </c>
      <c r="BC81" s="82">
        <f>-SUM(BC78:BC80)*(BC$6='Inputs &amp; Drivers'!$J$21)</f>
        <v>0</v>
      </c>
      <c r="BD81" s="82">
        <f>-SUM(BD78:BD80)*(BD$6='Inputs &amp; Drivers'!$J$21)</f>
        <v>0</v>
      </c>
      <c r="BE81" s="82">
        <f>-SUM(BE78:BE80)*(BE$6='Inputs &amp; Drivers'!$J$21)</f>
        <v>0</v>
      </c>
      <c r="BF81" s="82">
        <f>-SUM(BF78:BF80)*(BF$6='Inputs &amp; Drivers'!$J$21)</f>
        <v>0</v>
      </c>
      <c r="BG81" s="82">
        <f>-SUM(BG78:BG80)*(BG$6='Inputs &amp; Drivers'!$J$21)</f>
        <v>0</v>
      </c>
      <c r="BH81" s="82">
        <f>-SUM(BH78:BH80)*(BH$6='Inputs &amp; Drivers'!$J$21)</f>
        <v>0</v>
      </c>
      <c r="BI81" s="82">
        <f>-SUM(BI78:BI80)*(BI$6='Inputs &amp; Drivers'!$J$21)</f>
        <v>0</v>
      </c>
      <c r="BJ81" s="82">
        <f>-SUM(BJ78:BJ80)*(BJ$6='Inputs &amp; Drivers'!$J$21)</f>
        <v>0</v>
      </c>
      <c r="BK81" s="82">
        <f>-SUM(BK78:BK80)*(BK$6='Inputs &amp; Drivers'!$J$21)</f>
        <v>0</v>
      </c>
      <c r="BL81" s="82">
        <f>-SUM(BL78:BL80)*(BL$6='Inputs &amp; Drivers'!$J$21)</f>
        <v>0</v>
      </c>
      <c r="BM81" s="82">
        <f>-SUM(BM78:BM80)*(BM$6='Inputs &amp; Drivers'!$J$21)</f>
        <v>0</v>
      </c>
      <c r="BN81" s="82">
        <f>-SUM(BN78:BN80)*(BN$6='Inputs &amp; Drivers'!$J$21)</f>
        <v>0</v>
      </c>
      <c r="BO81" s="82">
        <f>-SUM(BO78:BO80)*(BO$6='Inputs &amp; Drivers'!$J$21)</f>
        <v>0</v>
      </c>
      <c r="BP81" s="82">
        <f>-SUM(BP78:BP80)*(BP$6='Inputs &amp; Drivers'!$J$21)</f>
        <v>0</v>
      </c>
      <c r="BQ81" s="82">
        <f>-SUM(BQ78:BQ80)*(BQ$6='Inputs &amp; Drivers'!$J$21)</f>
        <v>-35140250.539199352</v>
      </c>
      <c r="BR81" s="82">
        <f>-SUM(BR78:BR80)*(BR$6='Inputs &amp; Drivers'!$J$21)</f>
        <v>0</v>
      </c>
      <c r="BS81" s="82">
        <f>-SUM(BS78:BS80)*(BS$6='Inputs &amp; Drivers'!$J$21)</f>
        <v>0</v>
      </c>
      <c r="BT81" s="82">
        <f>-SUM(BT78:BT80)*(BT$6='Inputs &amp; Drivers'!$J$21)</f>
        <v>0</v>
      </c>
      <c r="BU81" s="82">
        <f>-SUM(BU78:BU80)*(BU$6='Inputs &amp; Drivers'!$J$21)</f>
        <v>0</v>
      </c>
      <c r="BV81" s="82">
        <f>-SUM(BV78:BV80)*(BV$6='Inputs &amp; Drivers'!$J$21)</f>
        <v>0</v>
      </c>
      <c r="BW81" s="82">
        <f>-SUM(BW78:BW80)*(BW$6='Inputs &amp; Drivers'!$J$21)</f>
        <v>0</v>
      </c>
      <c r="BX81" s="82">
        <f>-SUM(BX78:BX80)*(BX$6='Inputs &amp; Drivers'!$J$21)</f>
        <v>0</v>
      </c>
      <c r="BY81" s="82">
        <f>-SUM(BY78:BY80)*(BY$6='Inputs &amp; Drivers'!$J$21)</f>
        <v>0</v>
      </c>
      <c r="BZ81" s="82">
        <f>-SUM(BZ78:BZ80)*(BZ$6='Inputs &amp; Drivers'!$J$21)</f>
        <v>0</v>
      </c>
      <c r="CA81" s="82">
        <f>-SUM(CA78:CA80)*(CA$6='Inputs &amp; Drivers'!$J$21)</f>
        <v>0</v>
      </c>
      <c r="CB81" s="82">
        <f>-SUM(CB78:CB80)*(CB$6='Inputs &amp; Drivers'!$J$21)</f>
        <v>0</v>
      </c>
      <c r="CC81" s="82">
        <f>-SUM(CC78:CC80)*(CC$6='Inputs &amp; Drivers'!$J$21)</f>
        <v>0</v>
      </c>
      <c r="CD81" s="82">
        <f>-SUM(CD78:CD80)*(CD$6='Inputs &amp; Drivers'!$J$21)</f>
        <v>0</v>
      </c>
      <c r="CE81" s="82">
        <f>-SUM(CE78:CE80)*(CE$6='Inputs &amp; Drivers'!$J$21)</f>
        <v>0</v>
      </c>
      <c r="CF81" s="82">
        <f>-SUM(CF78:CF80)*(CF$6='Inputs &amp; Drivers'!$J$21)</f>
        <v>0</v>
      </c>
      <c r="CG81" s="82">
        <f>-SUM(CG78:CG80)*(CG$6='Inputs &amp; Drivers'!$J$21)</f>
        <v>0</v>
      </c>
      <c r="CH81" s="82">
        <f>-SUM(CH78:CH80)*(CH$6='Inputs &amp; Drivers'!$J$21)</f>
        <v>0</v>
      </c>
      <c r="CI81" s="82">
        <f>-SUM(CI78:CI80)*(CI$6='Inputs &amp; Drivers'!$J$21)</f>
        <v>0</v>
      </c>
      <c r="CJ81" s="82">
        <f>-SUM(CJ78:CJ80)*(CJ$6='Inputs &amp; Drivers'!$J$21)</f>
        <v>0</v>
      </c>
      <c r="CK81" s="82">
        <f>-SUM(CK78:CK80)*(CK$6='Inputs &amp; Drivers'!$J$21)</f>
        <v>0</v>
      </c>
      <c r="CL81" s="82">
        <f>-SUM(CL78:CL80)*(CL$6='Inputs &amp; Drivers'!$J$21)</f>
        <v>0</v>
      </c>
      <c r="CM81" s="82">
        <f>-SUM(CM78:CM80)*(CM$6='Inputs &amp; Drivers'!$J$21)</f>
        <v>0</v>
      </c>
      <c r="CN81" s="82">
        <f>-SUM(CN78:CN80)*(CN$6='Inputs &amp; Drivers'!$J$21)</f>
        <v>0</v>
      </c>
      <c r="CO81" s="82">
        <f>-SUM(CO78:CO80)*(CO$6='Inputs &amp; Drivers'!$J$21)</f>
        <v>0</v>
      </c>
      <c r="CP81" s="82">
        <f>-SUM(CP78:CP80)*(CP$6='Inputs &amp; Drivers'!$J$21)</f>
        <v>0</v>
      </c>
      <c r="CQ81" s="82">
        <f>-SUM(CQ78:CQ80)*(CQ$6='Inputs &amp; Drivers'!$J$21)</f>
        <v>0</v>
      </c>
      <c r="CR81" s="82">
        <f>-SUM(CR78:CR80)*(CR$6='Inputs &amp; Drivers'!$J$21)</f>
        <v>0</v>
      </c>
      <c r="CS81" s="82">
        <f>-SUM(CS78:CS80)*(CS$6='Inputs &amp; Drivers'!$J$21)</f>
        <v>0</v>
      </c>
      <c r="CT81" s="82">
        <f>-SUM(CT78:CT80)*(CT$6='Inputs &amp; Drivers'!$J$21)</f>
        <v>0</v>
      </c>
      <c r="CU81" s="82">
        <f>-SUM(CU78:CU80)*(CU$6='Inputs &amp; Drivers'!$J$21)</f>
        <v>0</v>
      </c>
      <c r="CV81" s="82">
        <f>-SUM(CV78:CV80)*(CV$6='Inputs &amp; Drivers'!$J$21)</f>
        <v>0</v>
      </c>
      <c r="CW81" s="82">
        <f>-SUM(CW78:CW80)*(CW$6='Inputs &amp; Drivers'!$J$21)</f>
        <v>0</v>
      </c>
      <c r="CX81" s="82">
        <f>-SUM(CX78:CX80)*(CX$6='Inputs &amp; Drivers'!$J$21)</f>
        <v>0</v>
      </c>
      <c r="CY81" s="82">
        <f>-SUM(CY78:CY80)*(CY$6='Inputs &amp; Drivers'!$J$21)</f>
        <v>0</v>
      </c>
      <c r="CZ81" s="82">
        <f>-SUM(CZ78:CZ80)*(CZ$6='Inputs &amp; Drivers'!$J$21)</f>
        <v>0</v>
      </c>
      <c r="DA81" s="82">
        <f>-SUM(DA78:DA80)*(DA$6='Inputs &amp; Drivers'!$J$21)</f>
        <v>0</v>
      </c>
      <c r="DB81" s="82">
        <f>-SUM(DB78:DB80)*(DB$6='Inputs &amp; Drivers'!$J$21)</f>
        <v>0</v>
      </c>
      <c r="DC81" s="82">
        <f>-SUM(DC78:DC80)*(DC$6='Inputs &amp; Drivers'!$J$21)</f>
        <v>0</v>
      </c>
      <c r="DD81" s="82">
        <f>-SUM(DD78:DD80)*(DD$6='Inputs &amp; Drivers'!$J$21)</f>
        <v>0</v>
      </c>
      <c r="DE81" s="82">
        <f>-SUM(DE78:DE80)*(DE$6='Inputs &amp; Drivers'!$J$21)</f>
        <v>0</v>
      </c>
      <c r="DF81" s="82">
        <f>-SUM(DF78:DF80)*(DF$6='Inputs &amp; Drivers'!$J$21)</f>
        <v>0</v>
      </c>
      <c r="DG81" s="82">
        <f>-SUM(DG78:DG80)*(DG$6='Inputs &amp; Drivers'!$J$21)</f>
        <v>0</v>
      </c>
      <c r="DH81" s="82">
        <f>-SUM(DH78:DH80)*(DH$6='Inputs &amp; Drivers'!$J$21)</f>
        <v>0</v>
      </c>
      <c r="DI81" s="82">
        <f>-SUM(DI78:DI80)*(DI$6='Inputs &amp; Drivers'!$J$21)</f>
        <v>0</v>
      </c>
      <c r="DJ81" s="82">
        <f>-SUM(DJ78:DJ80)*(DJ$6='Inputs &amp; Drivers'!$J$21)</f>
        <v>0</v>
      </c>
      <c r="DK81" s="82">
        <f>-SUM(DK78:DK80)*(DK$6='Inputs &amp; Drivers'!$J$21)</f>
        <v>0</v>
      </c>
      <c r="DL81" s="82">
        <f>-SUM(DL78:DL80)*(DL$6='Inputs &amp; Drivers'!$J$21)</f>
        <v>0</v>
      </c>
      <c r="DM81" s="82">
        <f>-SUM(DM78:DM80)*(DM$6='Inputs &amp; Drivers'!$J$21)</f>
        <v>0</v>
      </c>
      <c r="DN81" s="82">
        <f>-SUM(DN78:DN80)*(DN$6='Inputs &amp; Drivers'!$J$21)</f>
        <v>0</v>
      </c>
      <c r="DO81" s="82">
        <f>-SUM(DO78:DO80)*(DO$6='Inputs &amp; Drivers'!$J$21)</f>
        <v>0</v>
      </c>
      <c r="DP81" s="82">
        <f>-SUM(DP78:DP80)*(DP$6='Inputs &amp; Drivers'!$J$21)</f>
        <v>0</v>
      </c>
      <c r="DQ81" s="82">
        <f>-SUM(DQ78:DQ80)*(DQ$6='Inputs &amp; Drivers'!$J$21)</f>
        <v>0</v>
      </c>
      <c r="DR81" s="82">
        <f>-SUM(DR78:DR80)*(DR$6='Inputs &amp; Drivers'!$J$21)</f>
        <v>0</v>
      </c>
      <c r="DS81" s="82">
        <f>-SUM(DS78:DS80)*(DS$6='Inputs &amp; Drivers'!$J$21)</f>
        <v>0</v>
      </c>
      <c r="DT81" s="82">
        <f>-SUM(DT78:DT80)*(DT$6='Inputs &amp; Drivers'!$J$21)</f>
        <v>0</v>
      </c>
      <c r="DU81" s="82">
        <f>-SUM(DU78:DU80)*(DU$6='Inputs &amp; Drivers'!$J$21)</f>
        <v>0</v>
      </c>
      <c r="DV81" s="82">
        <f>-SUM(DV78:DV80)*(DV$6='Inputs &amp; Drivers'!$J$21)</f>
        <v>0</v>
      </c>
      <c r="DW81" s="82">
        <f>-SUM(DW78:DW80)*(DW$6='Inputs &amp; Drivers'!$J$21)</f>
        <v>0</v>
      </c>
      <c r="DX81" s="82">
        <f>-SUM(DX78:DX80)*(DX$6='Inputs &amp; Drivers'!$J$21)</f>
        <v>0</v>
      </c>
      <c r="DY81" s="82">
        <f>-SUM(DY78:DY80)*(DY$6='Inputs &amp; Drivers'!$J$21)</f>
        <v>0</v>
      </c>
      <c r="DZ81" s="82">
        <f>-SUM(DZ78:DZ80)*(DZ$6='Inputs &amp; Drivers'!$J$21)</f>
        <v>0</v>
      </c>
      <c r="EA81" s="82">
        <f>-SUM(EA78:EA80)*(EA$6='Inputs &amp; Drivers'!$J$21)</f>
        <v>0</v>
      </c>
      <c r="EB81" s="82">
        <f>-SUM(EB78:EB80)*(EB$6='Inputs &amp; Drivers'!$J$21)</f>
        <v>0</v>
      </c>
      <c r="EC81" s="82">
        <f>-SUM(EC78:EC80)*(EC$6='Inputs &amp; Drivers'!$J$21)</f>
        <v>0</v>
      </c>
      <c r="ED81" s="82">
        <f>-SUM(ED78:ED80)*(ED$6='Inputs &amp; Drivers'!$J$21)</f>
        <v>0</v>
      </c>
      <c r="EE81" s="82">
        <f>-SUM(EE78:EE80)*(EE$6='Inputs &amp; Drivers'!$J$21)</f>
        <v>0</v>
      </c>
      <c r="EF81" s="82">
        <f>-SUM(EF78:EF80)*(EF$6='Inputs &amp; Drivers'!$J$21)</f>
        <v>0</v>
      </c>
      <c r="EG81" s="82">
        <f>-SUM(EG78:EG80)*(EG$6='Inputs &amp; Drivers'!$J$21)</f>
        <v>0</v>
      </c>
      <c r="EH81" s="82">
        <f>-SUM(EH78:EH80)*(EH$6='Inputs &amp; Drivers'!$J$21)</f>
        <v>0</v>
      </c>
      <c r="EI81" s="82">
        <f>-SUM(EI78:EI80)*(EI$6='Inputs &amp; Drivers'!$J$21)</f>
        <v>0</v>
      </c>
      <c r="EJ81" s="82">
        <f>-SUM(EJ78:EJ80)*(EJ$6='Inputs &amp; Drivers'!$J$21)</f>
        <v>0</v>
      </c>
      <c r="EK81" s="82">
        <f>-SUM(EK78:EK80)*(EK$6='Inputs &amp; Drivers'!$J$21)</f>
        <v>0</v>
      </c>
      <c r="EM81" s="109">
        <f t="shared" si="1197"/>
        <v>0</v>
      </c>
      <c r="EN81" s="109">
        <f t="shared" si="1197"/>
        <v>0</v>
      </c>
      <c r="EO81" s="109">
        <f t="shared" si="1197"/>
        <v>0</v>
      </c>
      <c r="EP81" s="109">
        <f t="shared" si="1197"/>
        <v>0</v>
      </c>
      <c r="EQ81" s="109">
        <f t="shared" si="1197"/>
        <v>0</v>
      </c>
      <c r="ER81" s="109">
        <f t="shared" si="1197"/>
        <v>-35140250.539199352</v>
      </c>
      <c r="ES81" s="109">
        <f t="shared" si="1197"/>
        <v>0</v>
      </c>
      <c r="ET81" s="109">
        <f t="shared" si="1197"/>
        <v>0</v>
      </c>
      <c r="EU81" s="109">
        <f t="shared" si="1197"/>
        <v>0</v>
      </c>
      <c r="EV81" s="109">
        <f t="shared" si="1197"/>
        <v>0</v>
      </c>
      <c r="EW81" s="109">
        <f t="shared" si="1197"/>
        <v>0</v>
      </c>
      <c r="EX81" s="109">
        <f t="shared" si="1197"/>
        <v>0</v>
      </c>
    </row>
    <row r="82" spans="2:154" x14ac:dyDescent="0.3">
      <c r="B82" s="8" t="s">
        <v>140</v>
      </c>
      <c r="C82" s="8"/>
      <c r="D82" s="8"/>
      <c r="E82" s="8"/>
      <c r="F82" s="8"/>
      <c r="G82" s="8"/>
      <c r="H82" s="8"/>
      <c r="I82" s="98">
        <f>SUM(I78:I81)</f>
        <v>35700000</v>
      </c>
      <c r="J82" s="98">
        <f t="shared" ref="J82:K82" si="1202">SUM(J78:J81)</f>
        <v>35700000</v>
      </c>
      <c r="K82" s="98">
        <f t="shared" si="1202"/>
        <v>35700000</v>
      </c>
      <c r="L82" s="98">
        <f t="shared" ref="L82" si="1203">SUM(L78:L81)</f>
        <v>35700000</v>
      </c>
      <c r="M82" s="98">
        <f t="shared" ref="M82" si="1204">SUM(M78:M81)</f>
        <v>35700000</v>
      </c>
      <c r="N82" s="98">
        <f t="shared" ref="N82" si="1205">SUM(N78:N81)</f>
        <v>35700000</v>
      </c>
      <c r="O82" s="98">
        <f t="shared" ref="O82" si="1206">SUM(O78:O81)</f>
        <v>35700000</v>
      </c>
      <c r="P82" s="98">
        <f t="shared" ref="P82" si="1207">SUM(P78:P81)</f>
        <v>35700000</v>
      </c>
      <c r="Q82" s="98">
        <f t="shared" ref="Q82" si="1208">SUM(Q78:Q81)</f>
        <v>35700000</v>
      </c>
      <c r="R82" s="98">
        <f t="shared" ref="R82" si="1209">SUM(R78:R81)</f>
        <v>35700000</v>
      </c>
      <c r="S82" s="98">
        <f t="shared" ref="S82" si="1210">SUM(S78:S81)</f>
        <v>35700000</v>
      </c>
      <c r="T82" s="98">
        <f t="shared" ref="T82" si="1211">SUM(T78:T81)</f>
        <v>35700000</v>
      </c>
      <c r="U82" s="98">
        <f t="shared" ref="U82" si="1212">SUM(U78:U81)</f>
        <v>35700000</v>
      </c>
      <c r="V82" s="98">
        <f t="shared" ref="V82" si="1213">SUM(V78:V81)</f>
        <v>35700000</v>
      </c>
      <c r="W82" s="98">
        <f t="shared" ref="W82" si="1214">SUM(W78:W81)</f>
        <v>35700000</v>
      </c>
      <c r="X82" s="98">
        <f t="shared" ref="X82" si="1215">SUM(X78:X81)</f>
        <v>35700000</v>
      </c>
      <c r="Y82" s="98">
        <f t="shared" ref="Y82" si="1216">SUM(Y78:Y81)</f>
        <v>35700000</v>
      </c>
      <c r="Z82" s="98">
        <f t="shared" ref="Z82" si="1217">SUM(Z78:Z81)</f>
        <v>35700000</v>
      </c>
      <c r="AA82" s="98">
        <f t="shared" ref="AA82" si="1218">SUM(AA78:AA81)</f>
        <v>35700000</v>
      </c>
      <c r="AB82" s="98">
        <f t="shared" ref="AB82" si="1219">SUM(AB78:AB81)</f>
        <v>35700000</v>
      </c>
      <c r="AC82" s="98">
        <f t="shared" ref="AC82" si="1220">SUM(AC78:AC81)</f>
        <v>35700000</v>
      </c>
      <c r="AD82" s="98">
        <f t="shared" ref="AD82" si="1221">SUM(AD78:AD81)</f>
        <v>35700000</v>
      </c>
      <c r="AE82" s="98">
        <f t="shared" ref="AE82" si="1222">SUM(AE78:AE81)</f>
        <v>35700000</v>
      </c>
      <c r="AF82" s="98">
        <f t="shared" ref="AF82" si="1223">SUM(AF78:AF81)</f>
        <v>35700000</v>
      </c>
      <c r="AG82" s="98">
        <f t="shared" ref="AG82" si="1224">SUM(AG78:AG81)</f>
        <v>35700000</v>
      </c>
      <c r="AH82" s="98">
        <f t="shared" ref="AH82" si="1225">SUM(AH78:AH81)</f>
        <v>35700000</v>
      </c>
      <c r="AI82" s="98">
        <f t="shared" ref="AI82" si="1226">SUM(AI78:AI81)</f>
        <v>35700000</v>
      </c>
      <c r="AJ82" s="98">
        <f t="shared" ref="AJ82" si="1227">SUM(AJ78:AJ81)</f>
        <v>35700000</v>
      </c>
      <c r="AK82" s="98">
        <f t="shared" ref="AK82" si="1228">SUM(AK78:AK81)</f>
        <v>35700000</v>
      </c>
      <c r="AL82" s="98">
        <f t="shared" ref="AL82" si="1229">SUM(AL78:AL81)</f>
        <v>35700000</v>
      </c>
      <c r="AM82" s="98">
        <f t="shared" ref="AM82" si="1230">SUM(AM78:AM81)</f>
        <v>35700000</v>
      </c>
      <c r="AN82" s="98">
        <f t="shared" ref="AN82" si="1231">SUM(AN78:AN81)</f>
        <v>35700000</v>
      </c>
      <c r="AO82" s="98">
        <f t="shared" ref="AO82" si="1232">SUM(AO78:AO81)</f>
        <v>35700000</v>
      </c>
      <c r="AP82" s="98">
        <f t="shared" ref="AP82" si="1233">SUM(AP78:AP81)</f>
        <v>35700000</v>
      </c>
      <c r="AQ82" s="98">
        <f t="shared" ref="AQ82" si="1234">SUM(AQ78:AQ81)</f>
        <v>35700000</v>
      </c>
      <c r="AR82" s="98">
        <f t="shared" ref="AR82" si="1235">SUM(AR78:AR81)</f>
        <v>35700000</v>
      </c>
      <c r="AS82" s="98">
        <f t="shared" ref="AS82" si="1236">SUM(AS78:AS81)</f>
        <v>35700000</v>
      </c>
      <c r="AT82" s="98">
        <f t="shared" ref="AT82" si="1237">SUM(AT78:AT81)</f>
        <v>35700000</v>
      </c>
      <c r="AU82" s="98">
        <f t="shared" ref="AU82" si="1238">SUM(AU78:AU81)</f>
        <v>35700000</v>
      </c>
      <c r="AV82" s="98">
        <f t="shared" ref="AV82" si="1239">SUM(AV78:AV81)</f>
        <v>35700000</v>
      </c>
      <c r="AW82" s="98">
        <f t="shared" ref="AW82" si="1240">SUM(AW78:AW81)</f>
        <v>35700000</v>
      </c>
      <c r="AX82" s="98">
        <f t="shared" ref="AX82" si="1241">SUM(AX78:AX81)</f>
        <v>35700000</v>
      </c>
      <c r="AY82" s="98">
        <f t="shared" ref="AY82" si="1242">SUM(AY78:AY81)</f>
        <v>35700000</v>
      </c>
      <c r="AZ82" s="98">
        <f t="shared" ref="AZ82" si="1243">SUM(AZ78:AZ81)</f>
        <v>35700000</v>
      </c>
      <c r="BA82" s="98">
        <f t="shared" ref="BA82" si="1244">SUM(BA78:BA81)</f>
        <v>35700000</v>
      </c>
      <c r="BB82" s="98">
        <f t="shared" ref="BB82" si="1245">SUM(BB78:BB81)</f>
        <v>35700000</v>
      </c>
      <c r="BC82" s="98">
        <f t="shared" ref="BC82" si="1246">SUM(BC78:BC81)</f>
        <v>35700000</v>
      </c>
      <c r="BD82" s="98">
        <f t="shared" ref="BD82" si="1247">SUM(BD78:BD81)</f>
        <v>35700000</v>
      </c>
      <c r="BE82" s="98">
        <f t="shared" ref="BE82" si="1248">SUM(BE78:BE81)</f>
        <v>35700000</v>
      </c>
      <c r="BF82" s="98">
        <f t="shared" ref="BF82" si="1249">SUM(BF78:BF81)</f>
        <v>35657021.888030067</v>
      </c>
      <c r="BG82" s="98">
        <f t="shared" ref="BG82" si="1250">SUM(BG78:BG81)</f>
        <v>35600208.389255628</v>
      </c>
      <c r="BH82" s="98">
        <f t="shared" ref="BH82" si="1251">SUM(BH78:BH81)</f>
        <v>35556835.088153563</v>
      </c>
      <c r="BI82" s="98">
        <f t="shared" ref="BI82" si="1252">SUM(BI78:BI81)</f>
        <v>35508747.758627981</v>
      </c>
      <c r="BJ82" s="98">
        <f t="shared" ref="BJ82" si="1253">SUM(BJ78:BJ81)</f>
        <v>35465012.26027333</v>
      </c>
      <c r="BK82" s="98">
        <f t="shared" ref="BK82" si="1254">SUM(BK78:BK81)</f>
        <v>35416573.029193744</v>
      </c>
      <c r="BL82" s="98">
        <f t="shared" ref="BL82" si="1255">SUM(BL78:BL81)</f>
        <v>35372472.505652525</v>
      </c>
      <c r="BM82" s="98">
        <f t="shared" ref="BM82" si="1256">SUM(BM78:BM81)</f>
        <v>35328197.337694861</v>
      </c>
      <c r="BN82" s="98">
        <f t="shared" ref="BN82" si="1257">SUM(BN78:BN81)</f>
        <v>35279233.777480826</v>
      </c>
      <c r="BO82" s="98">
        <f t="shared" ref="BO82" si="1258">SUM(BO78:BO81)</f>
        <v>35234589.37074855</v>
      </c>
      <c r="BP82" s="98">
        <f t="shared" ref="BP82" si="1259">SUM(BP78:BP81)</f>
        <v>35185267.067618445</v>
      </c>
      <c r="BQ82" s="98">
        <f t="shared" ref="BQ82" si="1260">SUM(BQ78:BQ81)</f>
        <v>0</v>
      </c>
      <c r="BR82" s="98">
        <f t="shared" ref="BR82" si="1261">SUM(BR78:BR81)</f>
        <v>0</v>
      </c>
      <c r="BS82" s="98">
        <f t="shared" ref="BS82" si="1262">SUM(BS78:BS81)</f>
        <v>0</v>
      </c>
      <c r="BT82" s="98">
        <f t="shared" ref="BT82" si="1263">SUM(BT78:BT81)</f>
        <v>0</v>
      </c>
      <c r="BU82" s="98">
        <f t="shared" ref="BU82" si="1264">SUM(BU78:BU81)</f>
        <v>0</v>
      </c>
      <c r="BV82" s="98">
        <f t="shared" ref="BV82" si="1265">SUM(BV78:BV81)</f>
        <v>0</v>
      </c>
      <c r="BW82" s="98">
        <f t="shared" ref="BW82" si="1266">SUM(BW78:BW81)</f>
        <v>0</v>
      </c>
      <c r="BX82" s="98">
        <f t="shared" ref="BX82" si="1267">SUM(BX78:BX81)</f>
        <v>0</v>
      </c>
      <c r="BY82" s="98">
        <f t="shared" ref="BY82" si="1268">SUM(BY78:BY81)</f>
        <v>0</v>
      </c>
      <c r="BZ82" s="98">
        <f t="shared" ref="BZ82" si="1269">SUM(BZ78:BZ81)</f>
        <v>0</v>
      </c>
      <c r="CA82" s="98">
        <f t="shared" ref="CA82" si="1270">SUM(CA78:CA81)</f>
        <v>0</v>
      </c>
      <c r="CB82" s="98">
        <f t="shared" ref="CB82" si="1271">SUM(CB78:CB81)</f>
        <v>0</v>
      </c>
      <c r="CC82" s="98">
        <f t="shared" ref="CC82" si="1272">SUM(CC78:CC81)</f>
        <v>0</v>
      </c>
      <c r="CD82" s="98">
        <f t="shared" ref="CD82" si="1273">SUM(CD78:CD81)</f>
        <v>0</v>
      </c>
      <c r="CE82" s="98">
        <f t="shared" ref="CE82" si="1274">SUM(CE78:CE81)</f>
        <v>0</v>
      </c>
      <c r="CF82" s="98">
        <f t="shared" ref="CF82" si="1275">SUM(CF78:CF81)</f>
        <v>0</v>
      </c>
      <c r="CG82" s="98">
        <f t="shared" ref="CG82" si="1276">SUM(CG78:CG81)</f>
        <v>0</v>
      </c>
      <c r="CH82" s="98">
        <f t="shared" ref="CH82" si="1277">SUM(CH78:CH81)</f>
        <v>0</v>
      </c>
      <c r="CI82" s="98">
        <f t="shared" ref="CI82" si="1278">SUM(CI78:CI81)</f>
        <v>0</v>
      </c>
      <c r="CJ82" s="98">
        <f t="shared" ref="CJ82" si="1279">SUM(CJ78:CJ81)</f>
        <v>0</v>
      </c>
      <c r="CK82" s="98">
        <f t="shared" ref="CK82" si="1280">SUM(CK78:CK81)</f>
        <v>0</v>
      </c>
      <c r="CL82" s="98">
        <f t="shared" ref="CL82" si="1281">SUM(CL78:CL81)</f>
        <v>0</v>
      </c>
      <c r="CM82" s="98">
        <f t="shared" ref="CM82" si="1282">SUM(CM78:CM81)</f>
        <v>0</v>
      </c>
      <c r="CN82" s="98">
        <f t="shared" ref="CN82" si="1283">SUM(CN78:CN81)</f>
        <v>0</v>
      </c>
      <c r="CO82" s="98">
        <f t="shared" ref="CO82" si="1284">SUM(CO78:CO81)</f>
        <v>0</v>
      </c>
      <c r="CP82" s="98">
        <f t="shared" ref="CP82" si="1285">SUM(CP78:CP81)</f>
        <v>0</v>
      </c>
      <c r="CQ82" s="98">
        <f t="shared" ref="CQ82" si="1286">SUM(CQ78:CQ81)</f>
        <v>0</v>
      </c>
      <c r="CR82" s="98">
        <f t="shared" ref="CR82" si="1287">SUM(CR78:CR81)</f>
        <v>0</v>
      </c>
      <c r="CS82" s="98">
        <f t="shared" ref="CS82" si="1288">SUM(CS78:CS81)</f>
        <v>0</v>
      </c>
      <c r="CT82" s="98">
        <f t="shared" ref="CT82" si="1289">SUM(CT78:CT81)</f>
        <v>0</v>
      </c>
      <c r="CU82" s="98">
        <f t="shared" ref="CU82" si="1290">SUM(CU78:CU81)</f>
        <v>0</v>
      </c>
      <c r="CV82" s="98">
        <f t="shared" ref="CV82" si="1291">SUM(CV78:CV81)</f>
        <v>0</v>
      </c>
      <c r="CW82" s="98">
        <f t="shared" ref="CW82" si="1292">SUM(CW78:CW81)</f>
        <v>0</v>
      </c>
      <c r="CX82" s="98">
        <f t="shared" ref="CX82" si="1293">SUM(CX78:CX81)</f>
        <v>0</v>
      </c>
      <c r="CY82" s="98">
        <f t="shared" ref="CY82" si="1294">SUM(CY78:CY81)</f>
        <v>0</v>
      </c>
      <c r="CZ82" s="98">
        <f t="shared" ref="CZ82" si="1295">SUM(CZ78:CZ81)</f>
        <v>0</v>
      </c>
      <c r="DA82" s="98">
        <f t="shared" ref="DA82" si="1296">SUM(DA78:DA81)</f>
        <v>0</v>
      </c>
      <c r="DB82" s="98">
        <f t="shared" ref="DB82" si="1297">SUM(DB78:DB81)</f>
        <v>0</v>
      </c>
      <c r="DC82" s="98">
        <f t="shared" ref="DC82" si="1298">SUM(DC78:DC81)</f>
        <v>0</v>
      </c>
      <c r="DD82" s="98">
        <f t="shared" ref="DD82" si="1299">SUM(DD78:DD81)</f>
        <v>0</v>
      </c>
      <c r="DE82" s="98">
        <f t="shared" ref="DE82" si="1300">SUM(DE78:DE81)</f>
        <v>0</v>
      </c>
      <c r="DF82" s="98">
        <f t="shared" ref="DF82" si="1301">SUM(DF78:DF81)</f>
        <v>0</v>
      </c>
      <c r="DG82" s="98">
        <f t="shared" ref="DG82" si="1302">SUM(DG78:DG81)</f>
        <v>0</v>
      </c>
      <c r="DH82" s="98">
        <f t="shared" ref="DH82" si="1303">SUM(DH78:DH81)</f>
        <v>0</v>
      </c>
      <c r="DI82" s="98">
        <f t="shared" ref="DI82" si="1304">SUM(DI78:DI81)</f>
        <v>0</v>
      </c>
      <c r="DJ82" s="98">
        <f t="shared" ref="DJ82" si="1305">SUM(DJ78:DJ81)</f>
        <v>0</v>
      </c>
      <c r="DK82" s="98">
        <f t="shared" ref="DK82" si="1306">SUM(DK78:DK81)</f>
        <v>0</v>
      </c>
      <c r="DL82" s="98">
        <f t="shared" ref="DL82" si="1307">SUM(DL78:DL81)</f>
        <v>0</v>
      </c>
      <c r="DM82" s="98">
        <f t="shared" ref="DM82" si="1308">SUM(DM78:DM81)</f>
        <v>0</v>
      </c>
      <c r="DN82" s="98">
        <f t="shared" ref="DN82" si="1309">SUM(DN78:DN81)</f>
        <v>0</v>
      </c>
      <c r="DO82" s="98">
        <f t="shared" ref="DO82" si="1310">SUM(DO78:DO81)</f>
        <v>0</v>
      </c>
      <c r="DP82" s="98">
        <f t="shared" ref="DP82" si="1311">SUM(DP78:DP81)</f>
        <v>0</v>
      </c>
      <c r="DQ82" s="98">
        <f t="shared" ref="DQ82" si="1312">SUM(DQ78:DQ81)</f>
        <v>0</v>
      </c>
      <c r="DR82" s="98">
        <f t="shared" ref="DR82" si="1313">SUM(DR78:DR81)</f>
        <v>0</v>
      </c>
      <c r="DS82" s="98">
        <f t="shared" ref="DS82" si="1314">SUM(DS78:DS81)</f>
        <v>0</v>
      </c>
      <c r="DT82" s="98">
        <f t="shared" ref="DT82" si="1315">SUM(DT78:DT81)</f>
        <v>0</v>
      </c>
      <c r="DU82" s="98">
        <f t="shared" ref="DU82" si="1316">SUM(DU78:DU81)</f>
        <v>0</v>
      </c>
      <c r="DV82" s="98">
        <f t="shared" ref="DV82" si="1317">SUM(DV78:DV81)</f>
        <v>0</v>
      </c>
      <c r="DW82" s="98">
        <f t="shared" ref="DW82" si="1318">SUM(DW78:DW81)</f>
        <v>0</v>
      </c>
      <c r="DX82" s="98">
        <f t="shared" ref="DX82" si="1319">SUM(DX78:DX81)</f>
        <v>0</v>
      </c>
      <c r="DY82" s="98">
        <f t="shared" ref="DY82" si="1320">SUM(DY78:DY81)</f>
        <v>0</v>
      </c>
      <c r="DZ82" s="98">
        <f t="shared" ref="DZ82" si="1321">SUM(DZ78:DZ81)</f>
        <v>0</v>
      </c>
      <c r="EA82" s="98">
        <f t="shared" ref="EA82" si="1322">SUM(EA78:EA81)</f>
        <v>0</v>
      </c>
      <c r="EB82" s="98">
        <f t="shared" ref="EB82" si="1323">SUM(EB78:EB81)</f>
        <v>0</v>
      </c>
      <c r="EC82" s="98">
        <f t="shared" ref="EC82" si="1324">SUM(EC78:EC81)</f>
        <v>0</v>
      </c>
      <c r="ED82" s="98">
        <f t="shared" ref="ED82" si="1325">SUM(ED78:ED81)</f>
        <v>0</v>
      </c>
      <c r="EE82" s="98">
        <f t="shared" ref="EE82" si="1326">SUM(EE78:EE81)</f>
        <v>0</v>
      </c>
      <c r="EF82" s="98">
        <f t="shared" ref="EF82" si="1327">SUM(EF78:EF81)</f>
        <v>0</v>
      </c>
      <c r="EG82" s="98">
        <f t="shared" ref="EG82" si="1328">SUM(EG78:EG81)</f>
        <v>0</v>
      </c>
      <c r="EH82" s="98">
        <f t="shared" ref="EH82" si="1329">SUM(EH78:EH81)</f>
        <v>0</v>
      </c>
      <c r="EI82" s="98">
        <f t="shared" ref="EI82" si="1330">SUM(EI78:EI81)</f>
        <v>0</v>
      </c>
      <c r="EJ82" s="98">
        <f t="shared" ref="EJ82" si="1331">SUM(EJ78:EJ81)</f>
        <v>0</v>
      </c>
      <c r="EK82" s="98">
        <f t="shared" ref="EK82:EN82" si="1332">SUM(EK78:EK81)</f>
        <v>0</v>
      </c>
      <c r="EM82" s="46">
        <f t="shared" si="1332"/>
        <v>35700000</v>
      </c>
      <c r="EN82" s="46">
        <f t="shared" si="1332"/>
        <v>35700000</v>
      </c>
      <c r="EO82" s="46">
        <f t="shared" ref="EO82:EX82" si="1333">SUM(EO78:EO81)</f>
        <v>35700000</v>
      </c>
      <c r="EP82" s="46">
        <f t="shared" si="1333"/>
        <v>35700000</v>
      </c>
      <c r="EQ82" s="46">
        <f t="shared" si="1333"/>
        <v>35700000</v>
      </c>
      <c r="ER82" s="46">
        <f t="shared" si="1333"/>
        <v>0</v>
      </c>
      <c r="ES82" s="46">
        <f t="shared" si="1333"/>
        <v>0</v>
      </c>
      <c r="ET82" s="46">
        <f t="shared" si="1333"/>
        <v>0</v>
      </c>
      <c r="EU82" s="46">
        <f t="shared" si="1333"/>
        <v>0</v>
      </c>
      <c r="EV82" s="46">
        <f t="shared" si="1333"/>
        <v>0</v>
      </c>
      <c r="EW82" s="46">
        <f t="shared" si="1333"/>
        <v>0</v>
      </c>
      <c r="EX82" s="46">
        <f t="shared" si="1333"/>
        <v>0</v>
      </c>
    </row>
    <row r="83" spans="2:154" x14ac:dyDescent="0.3">
      <c r="B83" s="113" t="s">
        <v>156</v>
      </c>
      <c r="I83" s="120" t="str">
        <f>IFERROR(-I44/(I75+I80),"n/a")</f>
        <v>n/a</v>
      </c>
      <c r="J83" s="120">
        <f t="shared" ref="J83:M83" si="1334">IFERROR(-J44/(J75+J80),"n/a")</f>
        <v>1.5770239681358609</v>
      </c>
      <c r="K83" s="120">
        <f t="shared" si="1334"/>
        <v>1.7487211183080644</v>
      </c>
      <c r="L83" s="120">
        <f t="shared" si="1334"/>
        <v>1.5907373806134144</v>
      </c>
      <c r="M83" s="120">
        <f t="shared" si="1334"/>
        <v>1.6527288049285207</v>
      </c>
      <c r="N83" s="120">
        <f t="shared" ref="N83:BY83" si="1335">IFERROR(-N44/(N75+N80),"n/a")</f>
        <v>1.60717795915551</v>
      </c>
      <c r="O83" s="120">
        <f t="shared" si="1335"/>
        <v>1.6705376495399114</v>
      </c>
      <c r="P83" s="120">
        <f t="shared" si="1335"/>
        <v>1.6269926708298441</v>
      </c>
      <c r="Q83" s="120">
        <f t="shared" si="1335"/>
        <v>1.6383624783957769</v>
      </c>
      <c r="R83" s="120">
        <f t="shared" si="1335"/>
        <v>1.7070179565266452</v>
      </c>
      <c r="S83" s="120">
        <f t="shared" si="1335"/>
        <v>1.6665436489109369</v>
      </c>
      <c r="T83" s="120">
        <f t="shared" si="1335"/>
        <v>1.7379236331217176</v>
      </c>
      <c r="U83" s="120">
        <f t="shared" si="1335"/>
        <v>1.698921732883073</v>
      </c>
      <c r="V83" s="120">
        <f t="shared" si="1335"/>
        <v>1.723592380175119</v>
      </c>
      <c r="W83" s="120">
        <f t="shared" si="1335"/>
        <v>1.8713013016136564</v>
      </c>
      <c r="X83" s="120">
        <f t="shared" si="1335"/>
        <v>1.7798664986895776</v>
      </c>
      <c r="Y83" s="120">
        <f t="shared" si="1335"/>
        <v>1.8700309678558034</v>
      </c>
      <c r="Z83" s="120">
        <f t="shared" si="1335"/>
        <v>1.8394229517219289</v>
      </c>
      <c r="AA83" s="120">
        <f t="shared" si="1335"/>
        <v>1.9319574036849148</v>
      </c>
      <c r="AB83" s="120">
        <f t="shared" si="1335"/>
        <v>1.8984858826824529</v>
      </c>
      <c r="AC83" s="120">
        <f t="shared" si="1335"/>
        <v>1.9253169282181299</v>
      </c>
      <c r="AD83" s="120">
        <f t="shared" si="1335"/>
        <v>2.0163043905330444</v>
      </c>
      <c r="AE83" s="120">
        <f t="shared" si="1335"/>
        <v>1.9745162244754531</v>
      </c>
      <c r="AF83" s="120">
        <f t="shared" si="1335"/>
        <v>2.0614796586414008</v>
      </c>
      <c r="AG83" s="120">
        <f t="shared" si="1335"/>
        <v>2.0145997360261836</v>
      </c>
      <c r="AH83" s="120">
        <f t="shared" si="1335"/>
        <v>2.0353050705233811</v>
      </c>
      <c r="AI83" s="120">
        <f t="shared" si="1335"/>
        <v>2.2752486190107142</v>
      </c>
      <c r="AJ83" s="120">
        <f t="shared" si="1335"/>
        <v>2.0666454566197072</v>
      </c>
      <c r="AK83" s="120">
        <f t="shared" si="1335"/>
        <v>2.1472463903976085</v>
      </c>
      <c r="AL83" s="120">
        <f t="shared" si="1335"/>
        <v>2.0890639129782604</v>
      </c>
      <c r="AM83" s="120">
        <f t="shared" si="1335"/>
        <v>2.1709841653763213</v>
      </c>
      <c r="AN83" s="120">
        <f t="shared" si="1335"/>
        <v>2.1124444605566293</v>
      </c>
      <c r="AO83" s="120">
        <f t="shared" si="1335"/>
        <v>2.123375690551216</v>
      </c>
      <c r="AP83" s="120">
        <f t="shared" si="1335"/>
        <v>2.205938511240308</v>
      </c>
      <c r="AQ83" s="120">
        <f t="shared" si="1335"/>
        <v>2.1455305102402811</v>
      </c>
      <c r="AR83" s="120">
        <f t="shared" si="1335"/>
        <v>2.2274338000609002</v>
      </c>
      <c r="AS83" s="120">
        <f t="shared" si="1335"/>
        <v>2.1660416308847323</v>
      </c>
      <c r="AT83" s="120">
        <f t="shared" si="1335"/>
        <v>2.1301541788422829</v>
      </c>
      <c r="AU83" s="120">
        <f t="shared" si="1335"/>
        <v>2.3650200516871132</v>
      </c>
      <c r="AV83" s="120">
        <f t="shared" si="1335"/>
        <v>2.1426729988387474</v>
      </c>
      <c r="AW83" s="120">
        <f t="shared" si="1335"/>
        <v>2.2201851371694241</v>
      </c>
      <c r="AX83" s="120">
        <f t="shared" si="1335"/>
        <v>2.1538595384069432</v>
      </c>
      <c r="AY83" s="120">
        <f t="shared" si="1335"/>
        <v>2.2318137763316019</v>
      </c>
      <c r="AZ83" s="120">
        <f t="shared" si="1335"/>
        <v>2.1652833475059836</v>
      </c>
      <c r="BA83" s="120">
        <f t="shared" si="1335"/>
        <v>2.1702492607124317</v>
      </c>
      <c r="BB83" s="120">
        <f t="shared" si="1335"/>
        <v>2.2484792721562141</v>
      </c>
      <c r="BC83" s="120">
        <f t="shared" si="1335"/>
        <v>2.1812078346624264</v>
      </c>
      <c r="BD83" s="120">
        <f t="shared" si="1335"/>
        <v>2.2588865023996512</v>
      </c>
      <c r="BE83" s="120">
        <f t="shared" si="1335"/>
        <v>2.1915541209654186</v>
      </c>
      <c r="BF83" s="120">
        <f t="shared" si="1335"/>
        <v>1.6307843767911014</v>
      </c>
      <c r="BG83" s="120">
        <f t="shared" si="1335"/>
        <v>1.6288417477496717</v>
      </c>
      <c r="BH83" s="120">
        <f t="shared" si="1335"/>
        <v>1.6399607270455869</v>
      </c>
      <c r="BI83" s="120">
        <f t="shared" si="1335"/>
        <v>1.6428511403137125</v>
      </c>
      <c r="BJ83" s="120">
        <f t="shared" si="1335"/>
        <v>1.6488796825228063</v>
      </c>
      <c r="BK83" s="120">
        <f t="shared" si="1335"/>
        <v>1.6519004017293624</v>
      </c>
      <c r="BL83" s="120">
        <f t="shared" si="1335"/>
        <v>1.6582842344620294</v>
      </c>
      <c r="BM83" s="120">
        <f t="shared" si="1335"/>
        <v>1.6626597044224141</v>
      </c>
      <c r="BN83" s="120">
        <f t="shared" si="1335"/>
        <v>1.6659176943843506</v>
      </c>
      <c r="BO83" s="120">
        <f t="shared" si="1335"/>
        <v>1.6720285436803812</v>
      </c>
      <c r="BP83" s="120">
        <f t="shared" si="1335"/>
        <v>1.6750551851117959</v>
      </c>
      <c r="BQ83" s="120">
        <f t="shared" si="1335"/>
        <v>1.6812788822156095</v>
      </c>
      <c r="BR83" s="120" t="str">
        <f t="shared" si="1335"/>
        <v>n/a</v>
      </c>
      <c r="BS83" s="120" t="str">
        <f t="shared" si="1335"/>
        <v>n/a</v>
      </c>
      <c r="BT83" s="120" t="str">
        <f t="shared" si="1335"/>
        <v>n/a</v>
      </c>
      <c r="BU83" s="120" t="str">
        <f t="shared" si="1335"/>
        <v>n/a</v>
      </c>
      <c r="BV83" s="120" t="str">
        <f t="shared" si="1335"/>
        <v>n/a</v>
      </c>
      <c r="BW83" s="120" t="str">
        <f t="shared" si="1335"/>
        <v>n/a</v>
      </c>
      <c r="BX83" s="120" t="str">
        <f t="shared" si="1335"/>
        <v>n/a</v>
      </c>
      <c r="BY83" s="120" t="str">
        <f t="shared" si="1335"/>
        <v>n/a</v>
      </c>
      <c r="BZ83" s="120" t="str">
        <f t="shared" ref="BZ83:EK83" si="1336">IFERROR(-BZ44/(BZ75+BZ80),"n/a")</f>
        <v>n/a</v>
      </c>
      <c r="CA83" s="120" t="str">
        <f t="shared" si="1336"/>
        <v>n/a</v>
      </c>
      <c r="CB83" s="120" t="str">
        <f t="shared" si="1336"/>
        <v>n/a</v>
      </c>
      <c r="CC83" s="120" t="str">
        <f t="shared" si="1336"/>
        <v>n/a</v>
      </c>
      <c r="CD83" s="120" t="str">
        <f t="shared" si="1336"/>
        <v>n/a</v>
      </c>
      <c r="CE83" s="120" t="str">
        <f t="shared" si="1336"/>
        <v>n/a</v>
      </c>
      <c r="CF83" s="120" t="str">
        <f t="shared" si="1336"/>
        <v>n/a</v>
      </c>
      <c r="CG83" s="120" t="str">
        <f t="shared" si="1336"/>
        <v>n/a</v>
      </c>
      <c r="CH83" s="120" t="str">
        <f t="shared" si="1336"/>
        <v>n/a</v>
      </c>
      <c r="CI83" s="120" t="str">
        <f t="shared" si="1336"/>
        <v>n/a</v>
      </c>
      <c r="CJ83" s="120" t="str">
        <f t="shared" si="1336"/>
        <v>n/a</v>
      </c>
      <c r="CK83" s="120" t="str">
        <f t="shared" si="1336"/>
        <v>n/a</v>
      </c>
      <c r="CL83" s="120" t="str">
        <f t="shared" si="1336"/>
        <v>n/a</v>
      </c>
      <c r="CM83" s="120" t="str">
        <f t="shared" si="1336"/>
        <v>n/a</v>
      </c>
      <c r="CN83" s="120" t="str">
        <f t="shared" si="1336"/>
        <v>n/a</v>
      </c>
      <c r="CO83" s="120" t="str">
        <f t="shared" si="1336"/>
        <v>n/a</v>
      </c>
      <c r="CP83" s="120" t="str">
        <f t="shared" si="1336"/>
        <v>n/a</v>
      </c>
      <c r="CQ83" s="120" t="str">
        <f t="shared" si="1336"/>
        <v>n/a</v>
      </c>
      <c r="CR83" s="120" t="str">
        <f t="shared" si="1336"/>
        <v>n/a</v>
      </c>
      <c r="CS83" s="120" t="str">
        <f t="shared" si="1336"/>
        <v>n/a</v>
      </c>
      <c r="CT83" s="120" t="str">
        <f t="shared" si="1336"/>
        <v>n/a</v>
      </c>
      <c r="CU83" s="120" t="str">
        <f t="shared" si="1336"/>
        <v>n/a</v>
      </c>
      <c r="CV83" s="120" t="str">
        <f t="shared" si="1336"/>
        <v>n/a</v>
      </c>
      <c r="CW83" s="120" t="str">
        <f t="shared" si="1336"/>
        <v>n/a</v>
      </c>
      <c r="CX83" s="120" t="str">
        <f t="shared" si="1336"/>
        <v>n/a</v>
      </c>
      <c r="CY83" s="120" t="str">
        <f t="shared" si="1336"/>
        <v>n/a</v>
      </c>
      <c r="CZ83" s="120" t="str">
        <f t="shared" si="1336"/>
        <v>n/a</v>
      </c>
      <c r="DA83" s="120" t="str">
        <f t="shared" si="1336"/>
        <v>n/a</v>
      </c>
      <c r="DB83" s="120" t="str">
        <f t="shared" si="1336"/>
        <v>n/a</v>
      </c>
      <c r="DC83" s="120" t="str">
        <f t="shared" si="1336"/>
        <v>n/a</v>
      </c>
      <c r="DD83" s="120" t="str">
        <f t="shared" si="1336"/>
        <v>n/a</v>
      </c>
      <c r="DE83" s="120" t="str">
        <f t="shared" si="1336"/>
        <v>n/a</v>
      </c>
      <c r="DF83" s="120" t="str">
        <f t="shared" si="1336"/>
        <v>n/a</v>
      </c>
      <c r="DG83" s="120" t="str">
        <f t="shared" si="1336"/>
        <v>n/a</v>
      </c>
      <c r="DH83" s="120" t="str">
        <f t="shared" si="1336"/>
        <v>n/a</v>
      </c>
      <c r="DI83" s="120" t="str">
        <f t="shared" si="1336"/>
        <v>n/a</v>
      </c>
      <c r="DJ83" s="120" t="str">
        <f t="shared" si="1336"/>
        <v>n/a</v>
      </c>
      <c r="DK83" s="120" t="str">
        <f t="shared" si="1336"/>
        <v>n/a</v>
      </c>
      <c r="DL83" s="120" t="str">
        <f t="shared" si="1336"/>
        <v>n/a</v>
      </c>
      <c r="DM83" s="120" t="str">
        <f t="shared" si="1336"/>
        <v>n/a</v>
      </c>
      <c r="DN83" s="120" t="str">
        <f t="shared" si="1336"/>
        <v>n/a</v>
      </c>
      <c r="DO83" s="120" t="str">
        <f t="shared" si="1336"/>
        <v>n/a</v>
      </c>
      <c r="DP83" s="120" t="str">
        <f t="shared" si="1336"/>
        <v>n/a</v>
      </c>
      <c r="DQ83" s="120" t="str">
        <f t="shared" si="1336"/>
        <v>n/a</v>
      </c>
      <c r="DR83" s="120" t="str">
        <f t="shared" si="1336"/>
        <v>n/a</v>
      </c>
      <c r="DS83" s="120" t="str">
        <f t="shared" si="1336"/>
        <v>n/a</v>
      </c>
      <c r="DT83" s="120" t="str">
        <f t="shared" si="1336"/>
        <v>n/a</v>
      </c>
      <c r="DU83" s="120" t="str">
        <f t="shared" si="1336"/>
        <v>n/a</v>
      </c>
      <c r="DV83" s="120" t="str">
        <f t="shared" si="1336"/>
        <v>n/a</v>
      </c>
      <c r="DW83" s="120" t="str">
        <f t="shared" si="1336"/>
        <v>n/a</v>
      </c>
      <c r="DX83" s="120" t="str">
        <f t="shared" si="1336"/>
        <v>n/a</v>
      </c>
      <c r="DY83" s="120" t="str">
        <f t="shared" si="1336"/>
        <v>n/a</v>
      </c>
      <c r="DZ83" s="120" t="str">
        <f t="shared" si="1336"/>
        <v>n/a</v>
      </c>
      <c r="EA83" s="120" t="str">
        <f t="shared" si="1336"/>
        <v>n/a</v>
      </c>
      <c r="EB83" s="120" t="str">
        <f t="shared" si="1336"/>
        <v>n/a</v>
      </c>
      <c r="EC83" s="120" t="str">
        <f t="shared" si="1336"/>
        <v>n/a</v>
      </c>
      <c r="ED83" s="120" t="str">
        <f t="shared" si="1336"/>
        <v>n/a</v>
      </c>
      <c r="EE83" s="120" t="str">
        <f t="shared" si="1336"/>
        <v>n/a</v>
      </c>
      <c r="EF83" s="120" t="str">
        <f t="shared" si="1336"/>
        <v>n/a</v>
      </c>
      <c r="EG83" s="120" t="str">
        <f t="shared" si="1336"/>
        <v>n/a</v>
      </c>
      <c r="EH83" s="120" t="str">
        <f t="shared" si="1336"/>
        <v>n/a</v>
      </c>
      <c r="EI83" s="120" t="str">
        <f t="shared" si="1336"/>
        <v>n/a</v>
      </c>
      <c r="EJ83" s="120" t="str">
        <f t="shared" si="1336"/>
        <v>n/a</v>
      </c>
      <c r="EK83" s="120" t="str">
        <f t="shared" si="1336"/>
        <v>n/a</v>
      </c>
      <c r="EM83" s="120" t="str">
        <f t="shared" ref="EM83:EX83" si="1337">IFERROR(-EM44/(EM75+EM80),"n/a")</f>
        <v>n/a</v>
      </c>
      <c r="EN83" s="120">
        <f t="shared" si="1337"/>
        <v>1.6589415659949565</v>
      </c>
      <c r="EO83" s="120">
        <f t="shared" si="1337"/>
        <v>1.9068498807886456</v>
      </c>
      <c r="EP83" s="120">
        <f t="shared" si="1337"/>
        <v>2.1456559887917912</v>
      </c>
      <c r="EQ83" s="120">
        <f t="shared" si="1337"/>
        <v>2.2032700843772082</v>
      </c>
      <c r="ER83" s="120">
        <f t="shared" si="1337"/>
        <v>1.6549531883078157</v>
      </c>
      <c r="ES83" s="120" t="str">
        <f t="shared" si="1337"/>
        <v>n/a</v>
      </c>
      <c r="ET83" s="120" t="str">
        <f t="shared" si="1337"/>
        <v>n/a</v>
      </c>
      <c r="EU83" s="120" t="str">
        <f t="shared" si="1337"/>
        <v>n/a</v>
      </c>
      <c r="EV83" s="120" t="str">
        <f t="shared" si="1337"/>
        <v>n/a</v>
      </c>
      <c r="EW83" s="120" t="str">
        <f t="shared" si="1337"/>
        <v>n/a</v>
      </c>
      <c r="EX83" s="120" t="str">
        <f t="shared" si="1337"/>
        <v>n/a</v>
      </c>
    </row>
    <row r="84" spans="2:154" x14ac:dyDescent="0.3">
      <c r="B84" s="113" t="s">
        <v>228</v>
      </c>
      <c r="I84" s="161">
        <f>IFERROR(I44*12/I82,"n/a")</f>
        <v>0</v>
      </c>
      <c r="J84" s="161">
        <f t="shared" ref="J84:M84" si="1338">IFERROR(J44*12/J82,"n/a")</f>
        <v>7.4942900952391242E-2</v>
      </c>
      <c r="K84" s="161">
        <f t="shared" si="1338"/>
        <v>7.4942900952391242E-2</v>
      </c>
      <c r="L84" s="161">
        <f t="shared" si="1338"/>
        <v>7.5326918487563649E-2</v>
      </c>
      <c r="M84" s="161">
        <f t="shared" si="1338"/>
        <v>7.5710936022736014E-2</v>
      </c>
      <c r="N84" s="161">
        <f t="shared" ref="N84:BY84" si="1339">IFERROR(N44*12/N82,"n/a")</f>
        <v>7.6094953557908365E-2</v>
      </c>
      <c r="O84" s="161">
        <f t="shared" si="1339"/>
        <v>7.6478971093080772E-2</v>
      </c>
      <c r="P84" s="161">
        <f t="shared" si="1339"/>
        <v>7.6862988628253165E-2</v>
      </c>
      <c r="Q84" s="161">
        <f t="shared" si="1339"/>
        <v>7.7247006163425516E-2</v>
      </c>
      <c r="R84" s="161">
        <f t="shared" si="1339"/>
        <v>7.7631023698597867E-2</v>
      </c>
      <c r="S84" s="161">
        <f t="shared" si="1339"/>
        <v>7.8015041233770246E-2</v>
      </c>
      <c r="T84" s="161">
        <f t="shared" si="1339"/>
        <v>7.8399058768942598E-2</v>
      </c>
      <c r="U84" s="161">
        <f t="shared" si="1339"/>
        <v>7.8783076304114977E-2</v>
      </c>
      <c r="V84" s="161">
        <f t="shared" si="1339"/>
        <v>7.948795150743751E-2</v>
      </c>
      <c r="W84" s="161">
        <f t="shared" si="1339"/>
        <v>8.0259932360988329E-2</v>
      </c>
      <c r="X84" s="161">
        <f t="shared" si="1339"/>
        <v>8.103287250672439E-2</v>
      </c>
      <c r="Y84" s="161">
        <f t="shared" si="1339"/>
        <v>8.1806774342876101E-2</v>
      </c>
      <c r="Z84" s="161">
        <f t="shared" si="1339"/>
        <v>8.2581640273669543E-2</v>
      </c>
      <c r="AA84" s="161">
        <f t="shared" si="1339"/>
        <v>8.3357472709341268E-2</v>
      </c>
      <c r="AB84" s="161">
        <f t="shared" si="1339"/>
        <v>8.413427406615348E-2</v>
      </c>
      <c r="AC84" s="161">
        <f t="shared" si="1339"/>
        <v>8.4912046766409108E-2</v>
      </c>
      <c r="AD84" s="161">
        <f t="shared" si="1339"/>
        <v>8.5690793238466623E-2</v>
      </c>
      <c r="AE84" s="161">
        <f t="shared" si="1339"/>
        <v>8.64705159167556E-2</v>
      </c>
      <c r="AF84" s="161">
        <f t="shared" si="1339"/>
        <v>8.7251217241791718E-2</v>
      </c>
      <c r="AG84" s="161">
        <f t="shared" si="1339"/>
        <v>8.8032899660191719E-2</v>
      </c>
      <c r="AH84" s="161">
        <f t="shared" si="1339"/>
        <v>8.8948456830515985E-2</v>
      </c>
      <c r="AI84" s="161">
        <f t="shared" si="1339"/>
        <v>8.9874360071055107E-2</v>
      </c>
      <c r="AJ84" s="161">
        <f t="shared" si="1339"/>
        <v>9.040953086388305E-2</v>
      </c>
      <c r="AK84" s="161">
        <f t="shared" si="1339"/>
        <v>9.0946485559353765E-2</v>
      </c>
      <c r="AL84" s="161">
        <f t="shared" si="1339"/>
        <v>9.1485230103809337E-2</v>
      </c>
      <c r="AM84" s="161">
        <f t="shared" si="1339"/>
        <v>9.2025770463413148E-2</v>
      </c>
      <c r="AN84" s="161">
        <f t="shared" si="1339"/>
        <v>9.2568112624215521E-2</v>
      </c>
      <c r="AO84" s="161">
        <f t="shared" si="1339"/>
        <v>9.3112262592220746E-2</v>
      </c>
      <c r="AP84" s="161">
        <f t="shared" si="1339"/>
        <v>9.365822639345249E-2</v>
      </c>
      <c r="AQ84" s="161">
        <f t="shared" si="1339"/>
        <v>9.4206010074021754E-2</v>
      </c>
      <c r="AR84" s="161">
        <f t="shared" si="1339"/>
        <v>9.4755619700192903E-2</v>
      </c>
      <c r="AS84" s="161">
        <f t="shared" si="1339"/>
        <v>9.5307061358451281E-2</v>
      </c>
      <c r="AT84" s="161">
        <f t="shared" si="1339"/>
        <v>9.3849135256262081E-2</v>
      </c>
      <c r="AU84" s="161">
        <f t="shared" si="1339"/>
        <v>9.4265132503721122E-2</v>
      </c>
      <c r="AV84" s="161">
        <f t="shared" si="1339"/>
        <v>9.4682169744298772E-2</v>
      </c>
      <c r="AW84" s="161">
        <f t="shared" si="1339"/>
        <v>9.5100249577977927E-2</v>
      </c>
      <c r="AX84" s="161">
        <f t="shared" si="1339"/>
        <v>9.5519374611241187E-2</v>
      </c>
      <c r="AY84" s="161">
        <f t="shared" si="1339"/>
        <v>9.5939547457087646E-2</v>
      </c>
      <c r="AZ84" s="161">
        <f t="shared" si="1339"/>
        <v>9.636077073504877E-2</v>
      </c>
      <c r="BA84" s="161">
        <f t="shared" si="1339"/>
        <v>9.6783047071204734E-2</v>
      </c>
      <c r="BB84" s="161">
        <f t="shared" si="1339"/>
        <v>9.7206379098201109E-2</v>
      </c>
      <c r="BC84" s="161">
        <f t="shared" si="1339"/>
        <v>9.7630769455264943E-2</v>
      </c>
      <c r="BD84" s="161">
        <f t="shared" si="1339"/>
        <v>9.8056220788221474E-2</v>
      </c>
      <c r="BE84" s="161">
        <f t="shared" si="1339"/>
        <v>9.8482735749510386E-2</v>
      </c>
      <c r="BF84" s="161">
        <f t="shared" si="1339"/>
        <v>9.7107699525574243E-2</v>
      </c>
      <c r="BG84" s="161">
        <f t="shared" si="1339"/>
        <v>9.769252307899548E-2</v>
      </c>
      <c r="BH84" s="161">
        <f t="shared" si="1339"/>
        <v>9.8243143414175879E-2</v>
      </c>
      <c r="BI84" s="161">
        <f t="shared" si="1339"/>
        <v>9.8809304531881234E-2</v>
      </c>
      <c r="BJ84" s="161">
        <f t="shared" si="1339"/>
        <v>9.9365890963997408E-2</v>
      </c>
      <c r="BK84" s="161">
        <f t="shared" si="1339"/>
        <v>9.9938211229891299E-2</v>
      </c>
      <c r="BL84" s="161">
        <f t="shared" si="1339"/>
        <v>0.10050086298150313</v>
      </c>
      <c r="BM84" s="161">
        <f t="shared" si="1339"/>
        <v>0.10106651557382051</v>
      </c>
      <c r="BN84" s="161">
        <f t="shared" si="1339"/>
        <v>0.10164819500746343</v>
      </c>
      <c r="BO84" s="161">
        <f t="shared" si="1339"/>
        <v>0.10222006440041621</v>
      </c>
      <c r="BP84" s="161">
        <f t="shared" si="1339"/>
        <v>0.10280816048435741</v>
      </c>
      <c r="BQ84" s="161" t="str">
        <f t="shared" si="1339"/>
        <v>n/a</v>
      </c>
      <c r="BR84" s="161" t="str">
        <f t="shared" si="1339"/>
        <v>n/a</v>
      </c>
      <c r="BS84" s="161" t="str">
        <f t="shared" si="1339"/>
        <v>n/a</v>
      </c>
      <c r="BT84" s="161" t="str">
        <f t="shared" si="1339"/>
        <v>n/a</v>
      </c>
      <c r="BU84" s="161" t="str">
        <f t="shared" si="1339"/>
        <v>n/a</v>
      </c>
      <c r="BV84" s="161" t="str">
        <f t="shared" si="1339"/>
        <v>n/a</v>
      </c>
      <c r="BW84" s="161" t="str">
        <f t="shared" si="1339"/>
        <v>n/a</v>
      </c>
      <c r="BX84" s="161" t="str">
        <f t="shared" si="1339"/>
        <v>n/a</v>
      </c>
      <c r="BY84" s="161" t="str">
        <f t="shared" si="1339"/>
        <v>n/a</v>
      </c>
      <c r="BZ84" s="161" t="str">
        <f t="shared" ref="BZ84:EK84" si="1340">IFERROR(BZ44*12/BZ82,"n/a")</f>
        <v>n/a</v>
      </c>
      <c r="CA84" s="161" t="str">
        <f t="shared" si="1340"/>
        <v>n/a</v>
      </c>
      <c r="CB84" s="161" t="str">
        <f t="shared" si="1340"/>
        <v>n/a</v>
      </c>
      <c r="CC84" s="161" t="str">
        <f t="shared" si="1340"/>
        <v>n/a</v>
      </c>
      <c r="CD84" s="161" t="str">
        <f t="shared" si="1340"/>
        <v>n/a</v>
      </c>
      <c r="CE84" s="161" t="str">
        <f t="shared" si="1340"/>
        <v>n/a</v>
      </c>
      <c r="CF84" s="161" t="str">
        <f t="shared" si="1340"/>
        <v>n/a</v>
      </c>
      <c r="CG84" s="161" t="str">
        <f t="shared" si="1340"/>
        <v>n/a</v>
      </c>
      <c r="CH84" s="161" t="str">
        <f t="shared" si="1340"/>
        <v>n/a</v>
      </c>
      <c r="CI84" s="161" t="str">
        <f t="shared" si="1340"/>
        <v>n/a</v>
      </c>
      <c r="CJ84" s="161" t="str">
        <f t="shared" si="1340"/>
        <v>n/a</v>
      </c>
      <c r="CK84" s="161" t="str">
        <f t="shared" si="1340"/>
        <v>n/a</v>
      </c>
      <c r="CL84" s="161" t="str">
        <f t="shared" si="1340"/>
        <v>n/a</v>
      </c>
      <c r="CM84" s="161" t="str">
        <f t="shared" si="1340"/>
        <v>n/a</v>
      </c>
      <c r="CN84" s="161" t="str">
        <f t="shared" si="1340"/>
        <v>n/a</v>
      </c>
      <c r="CO84" s="161" t="str">
        <f t="shared" si="1340"/>
        <v>n/a</v>
      </c>
      <c r="CP84" s="161" t="str">
        <f t="shared" si="1340"/>
        <v>n/a</v>
      </c>
      <c r="CQ84" s="161" t="str">
        <f t="shared" si="1340"/>
        <v>n/a</v>
      </c>
      <c r="CR84" s="161" t="str">
        <f t="shared" si="1340"/>
        <v>n/a</v>
      </c>
      <c r="CS84" s="161" t="str">
        <f t="shared" si="1340"/>
        <v>n/a</v>
      </c>
      <c r="CT84" s="161" t="str">
        <f t="shared" si="1340"/>
        <v>n/a</v>
      </c>
      <c r="CU84" s="161" t="str">
        <f t="shared" si="1340"/>
        <v>n/a</v>
      </c>
      <c r="CV84" s="161" t="str">
        <f t="shared" si="1340"/>
        <v>n/a</v>
      </c>
      <c r="CW84" s="161" t="str">
        <f t="shared" si="1340"/>
        <v>n/a</v>
      </c>
      <c r="CX84" s="161" t="str">
        <f t="shared" si="1340"/>
        <v>n/a</v>
      </c>
      <c r="CY84" s="161" t="str">
        <f t="shared" si="1340"/>
        <v>n/a</v>
      </c>
      <c r="CZ84" s="161" t="str">
        <f t="shared" si="1340"/>
        <v>n/a</v>
      </c>
      <c r="DA84" s="161" t="str">
        <f t="shared" si="1340"/>
        <v>n/a</v>
      </c>
      <c r="DB84" s="161" t="str">
        <f t="shared" si="1340"/>
        <v>n/a</v>
      </c>
      <c r="DC84" s="161" t="str">
        <f t="shared" si="1340"/>
        <v>n/a</v>
      </c>
      <c r="DD84" s="161" t="str">
        <f t="shared" si="1340"/>
        <v>n/a</v>
      </c>
      <c r="DE84" s="161" t="str">
        <f t="shared" si="1340"/>
        <v>n/a</v>
      </c>
      <c r="DF84" s="161" t="str">
        <f t="shared" si="1340"/>
        <v>n/a</v>
      </c>
      <c r="DG84" s="161" t="str">
        <f t="shared" si="1340"/>
        <v>n/a</v>
      </c>
      <c r="DH84" s="161" t="str">
        <f t="shared" si="1340"/>
        <v>n/a</v>
      </c>
      <c r="DI84" s="161" t="str">
        <f t="shared" si="1340"/>
        <v>n/a</v>
      </c>
      <c r="DJ84" s="161" t="str">
        <f t="shared" si="1340"/>
        <v>n/a</v>
      </c>
      <c r="DK84" s="161" t="str">
        <f t="shared" si="1340"/>
        <v>n/a</v>
      </c>
      <c r="DL84" s="161" t="str">
        <f t="shared" si="1340"/>
        <v>n/a</v>
      </c>
      <c r="DM84" s="161" t="str">
        <f t="shared" si="1340"/>
        <v>n/a</v>
      </c>
      <c r="DN84" s="161" t="str">
        <f t="shared" si="1340"/>
        <v>n/a</v>
      </c>
      <c r="DO84" s="161" t="str">
        <f t="shared" si="1340"/>
        <v>n/a</v>
      </c>
      <c r="DP84" s="161" t="str">
        <f t="shared" si="1340"/>
        <v>n/a</v>
      </c>
      <c r="DQ84" s="161" t="str">
        <f t="shared" si="1340"/>
        <v>n/a</v>
      </c>
      <c r="DR84" s="161" t="str">
        <f t="shared" si="1340"/>
        <v>n/a</v>
      </c>
      <c r="DS84" s="161" t="str">
        <f t="shared" si="1340"/>
        <v>n/a</v>
      </c>
      <c r="DT84" s="161" t="str">
        <f t="shared" si="1340"/>
        <v>n/a</v>
      </c>
      <c r="DU84" s="161" t="str">
        <f t="shared" si="1340"/>
        <v>n/a</v>
      </c>
      <c r="DV84" s="161" t="str">
        <f t="shared" si="1340"/>
        <v>n/a</v>
      </c>
      <c r="DW84" s="161" t="str">
        <f t="shared" si="1340"/>
        <v>n/a</v>
      </c>
      <c r="DX84" s="161" t="str">
        <f t="shared" si="1340"/>
        <v>n/a</v>
      </c>
      <c r="DY84" s="161" t="str">
        <f t="shared" si="1340"/>
        <v>n/a</v>
      </c>
      <c r="DZ84" s="161" t="str">
        <f t="shared" si="1340"/>
        <v>n/a</v>
      </c>
      <c r="EA84" s="161" t="str">
        <f t="shared" si="1340"/>
        <v>n/a</v>
      </c>
      <c r="EB84" s="161" t="str">
        <f t="shared" si="1340"/>
        <v>n/a</v>
      </c>
      <c r="EC84" s="161" t="str">
        <f t="shared" si="1340"/>
        <v>n/a</v>
      </c>
      <c r="ED84" s="161" t="str">
        <f t="shared" si="1340"/>
        <v>n/a</v>
      </c>
      <c r="EE84" s="161" t="str">
        <f t="shared" si="1340"/>
        <v>n/a</v>
      </c>
      <c r="EF84" s="161" t="str">
        <f t="shared" si="1340"/>
        <v>n/a</v>
      </c>
      <c r="EG84" s="161" t="str">
        <f t="shared" si="1340"/>
        <v>n/a</v>
      </c>
      <c r="EH84" s="161" t="str">
        <f t="shared" si="1340"/>
        <v>n/a</v>
      </c>
      <c r="EI84" s="161" t="str">
        <f t="shared" si="1340"/>
        <v>n/a</v>
      </c>
      <c r="EJ84" s="161" t="str">
        <f t="shared" si="1340"/>
        <v>n/a</v>
      </c>
      <c r="EK84" s="161" t="str">
        <f t="shared" si="1340"/>
        <v>n/a</v>
      </c>
      <c r="EM84" s="161">
        <f>IFERROR(EM44/EM82,"n/a")</f>
        <v>0</v>
      </c>
      <c r="EN84" s="161">
        <f t="shared" ref="EN84:EX84" si="1341">IFERROR(EN44/EN82,"n/a")</f>
        <v>7.6702981321931318E-2</v>
      </c>
      <c r="EO84" s="161">
        <f t="shared" si="1341"/>
        <v>8.3751532549233787E-2</v>
      </c>
      <c r="EP84" s="161">
        <f t="shared" si="1341"/>
        <v>9.2274760552882015E-2</v>
      </c>
      <c r="EQ84" s="161">
        <f t="shared" si="1341"/>
        <v>9.615629433733669E-2</v>
      </c>
      <c r="ER84" s="161" t="str">
        <f t="shared" si="1341"/>
        <v>n/a</v>
      </c>
      <c r="ES84" s="161" t="str">
        <f t="shared" si="1341"/>
        <v>n/a</v>
      </c>
      <c r="ET84" s="161" t="str">
        <f t="shared" si="1341"/>
        <v>n/a</v>
      </c>
      <c r="EU84" s="161" t="str">
        <f t="shared" si="1341"/>
        <v>n/a</v>
      </c>
      <c r="EV84" s="161" t="str">
        <f t="shared" si="1341"/>
        <v>n/a</v>
      </c>
      <c r="EW84" s="161" t="str">
        <f t="shared" si="1341"/>
        <v>n/a</v>
      </c>
      <c r="EX84" s="161" t="str">
        <f t="shared" si="1341"/>
        <v>n/a</v>
      </c>
    </row>
    <row r="86" spans="2:154" x14ac:dyDescent="0.3">
      <c r="B86" s="2" t="s">
        <v>148</v>
      </c>
      <c r="C86" s="2"/>
      <c r="D86" s="2"/>
      <c r="E86" s="2"/>
      <c r="F86" s="2"/>
      <c r="G86" s="2"/>
      <c r="H86" s="2"/>
      <c r="I86" s="99">
        <f>SUM(I63,I75,I77,I79:I81)</f>
        <v>-16116000</v>
      </c>
      <c r="J86" s="99">
        <f t="shared" ref="J86:O86" si="1342">SUM(J63,J75,J77,J79:J81)</f>
        <v>37827.995401857101</v>
      </c>
      <c r="K86" s="99">
        <f t="shared" si="1342"/>
        <v>51709.025895007799</v>
      </c>
      <c r="L86" s="99">
        <f t="shared" si="1342"/>
        <v>-26153.960184429685</v>
      </c>
      <c r="M86" s="99">
        <f t="shared" si="1342"/>
        <v>-20418.688346058974</v>
      </c>
      <c r="N86" s="99">
        <f t="shared" si="1342"/>
        <v>-23849.650699469174</v>
      </c>
      <c r="O86" s="99">
        <f t="shared" si="1342"/>
        <v>-18048.69086109841</v>
      </c>
      <c r="P86" s="99">
        <f t="shared" ref="P86:CA86" si="1343">SUM(P63,P75,P77,P79:P81)</f>
        <v>22496.342456724378</v>
      </c>
      <c r="Q86" s="99">
        <f t="shared" si="1343"/>
        <v>23916.834048519668</v>
      </c>
      <c r="R86" s="99">
        <f t="shared" si="1343"/>
        <v>30031.533311547828</v>
      </c>
      <c r="S86" s="99">
        <f t="shared" si="1343"/>
        <v>27202.619670466491</v>
      </c>
      <c r="T86" s="99">
        <f t="shared" si="1343"/>
        <v>33407.68394719332</v>
      </c>
      <c r="U86" s="99">
        <f t="shared" si="1343"/>
        <v>30796.765265016031</v>
      </c>
      <c r="V86" s="99">
        <f t="shared" si="1343"/>
        <v>33651.782693530695</v>
      </c>
      <c r="W86" s="99">
        <f t="shared" si="1343"/>
        <v>45550.835678049814</v>
      </c>
      <c r="X86" s="99">
        <f t="shared" si="1343"/>
        <v>40003.482392436592</v>
      </c>
      <c r="Y86" s="99">
        <f t="shared" si="1343"/>
        <v>47605.167916631792</v>
      </c>
      <c r="Z86" s="99">
        <f t="shared" si="1343"/>
        <v>46491.546882660041</v>
      </c>
      <c r="AA86" s="99">
        <f t="shared" si="1343"/>
        <v>54002.224050016332</v>
      </c>
      <c r="AB86" s="99">
        <f t="shared" si="1343"/>
        <v>52832.839538587461</v>
      </c>
      <c r="AC86" s="99">
        <f t="shared" si="1343"/>
        <v>55782.232006779435</v>
      </c>
      <c r="AD86" s="99">
        <f t="shared" si="1343"/>
        <v>62870.772350191677</v>
      </c>
      <c r="AE86" s="99">
        <f t="shared" si="1343"/>
        <v>61339.815975635604</v>
      </c>
      <c r="AF86" s="99">
        <f t="shared" si="1343"/>
        <v>68031.8085546043</v>
      </c>
      <c r="AG86" s="99">
        <f t="shared" si="1343"/>
        <v>66272.920763042959</v>
      </c>
      <c r="AH86" s="99">
        <f t="shared" si="1343"/>
        <v>68980.93665982614</v>
      </c>
      <c r="AI86" s="99">
        <f t="shared" si="1343"/>
        <v>84236.054307279352</v>
      </c>
      <c r="AJ86" s="99">
        <f t="shared" si="1343"/>
        <v>138821.04073101099</v>
      </c>
      <c r="AK86" s="99">
        <f t="shared" si="1343"/>
        <v>144559.85700483088</v>
      </c>
      <c r="AL86" s="99">
        <f t="shared" si="1343"/>
        <v>141886.01632595609</v>
      </c>
      <c r="AM86" s="99">
        <f t="shared" si="1343"/>
        <v>147669.49808755828</v>
      </c>
      <c r="AN86" s="99">
        <f t="shared" si="1343"/>
        <v>145024.51352279462</v>
      </c>
      <c r="AO86" s="99">
        <f t="shared" si="1343"/>
        <v>146552.09482829506</v>
      </c>
      <c r="AP86" s="99">
        <f t="shared" si="1343"/>
        <v>152322.711191754</v>
      </c>
      <c r="AQ86" s="99">
        <f t="shared" si="1343"/>
        <v>149636.50172363938</v>
      </c>
      <c r="AR86" s="99">
        <f t="shared" si="1343"/>
        <v>155340.68614232045</v>
      </c>
      <c r="AS86" s="99">
        <f t="shared" si="1343"/>
        <v>152636.81871947477</v>
      </c>
      <c r="AT86" s="99">
        <f t="shared" si="1343"/>
        <v>148130.29990792763</v>
      </c>
      <c r="AU86" s="99">
        <f t="shared" si="1343"/>
        <v>161861.0138013101</v>
      </c>
      <c r="AV86" s="99">
        <f t="shared" si="1343"/>
        <v>150217.74564682311</v>
      </c>
      <c r="AW86" s="99">
        <f t="shared" si="1343"/>
        <v>155490.9676999638</v>
      </c>
      <c r="AX86" s="99">
        <f t="shared" si="1343"/>
        <v>152234.82316707267</v>
      </c>
      <c r="AY86" s="99">
        <f t="shared" si="1343"/>
        <v>157533.07067113713</v>
      </c>
      <c r="AZ86" s="99">
        <f t="shared" si="1343"/>
        <v>154278.01392307144</v>
      </c>
      <c r="BA86" s="99">
        <f t="shared" si="1343"/>
        <v>155258.3690368341</v>
      </c>
      <c r="BB86" s="99">
        <f t="shared" si="1343"/>
        <v>160573.61480344972</v>
      </c>
      <c r="BC86" s="99">
        <f t="shared" si="1343"/>
        <v>157290.66628009814</v>
      </c>
      <c r="BD86" s="99">
        <f t="shared" si="1343"/>
        <v>162575.1965709863</v>
      </c>
      <c r="BE86" s="99">
        <f t="shared" si="1343"/>
        <v>159297.38526575229</v>
      </c>
      <c r="BF86" s="99">
        <f t="shared" si="1343"/>
        <v>111609.68269903405</v>
      </c>
      <c r="BG86" s="99">
        <f t="shared" si="1343"/>
        <v>111890.98432611667</v>
      </c>
      <c r="BH86" s="99">
        <f t="shared" si="1343"/>
        <v>113596.24520057291</v>
      </c>
      <c r="BI86" s="99">
        <f t="shared" si="1343"/>
        <v>114410.04552456032</v>
      </c>
      <c r="BJ86" s="99">
        <f t="shared" si="1343"/>
        <v>115566.35308388964</v>
      </c>
      <c r="BK86" s="99">
        <f t="shared" si="1343"/>
        <v>116400.34069195029</v>
      </c>
      <c r="BL86" s="99">
        <f t="shared" si="1343"/>
        <v>117600.30412491504</v>
      </c>
      <c r="BM86" s="99">
        <f t="shared" si="1343"/>
        <v>118586.3536774496</v>
      </c>
      <c r="BN86" s="99">
        <f t="shared" si="1343"/>
        <v>119455.06891103109</v>
      </c>
      <c r="BO86" s="99">
        <f t="shared" si="1343"/>
        <v>120633.56188800716</v>
      </c>
      <c r="BP86" s="99">
        <f t="shared" si="1343"/>
        <v>121483.51580610799</v>
      </c>
      <c r="BQ86" s="99">
        <f t="shared" si="1343"/>
        <v>27941452.732148729</v>
      </c>
      <c r="BR86" s="99">
        <f t="shared" si="1343"/>
        <v>0</v>
      </c>
      <c r="BS86" s="99">
        <f t="shared" si="1343"/>
        <v>0</v>
      </c>
      <c r="BT86" s="99">
        <f t="shared" si="1343"/>
        <v>0</v>
      </c>
      <c r="BU86" s="99">
        <f t="shared" si="1343"/>
        <v>0</v>
      </c>
      <c r="BV86" s="99">
        <f t="shared" si="1343"/>
        <v>0</v>
      </c>
      <c r="BW86" s="99">
        <f t="shared" si="1343"/>
        <v>0</v>
      </c>
      <c r="BX86" s="99">
        <f t="shared" si="1343"/>
        <v>0</v>
      </c>
      <c r="BY86" s="99">
        <f t="shared" si="1343"/>
        <v>0</v>
      </c>
      <c r="BZ86" s="99">
        <f t="shared" si="1343"/>
        <v>0</v>
      </c>
      <c r="CA86" s="99">
        <f t="shared" si="1343"/>
        <v>0</v>
      </c>
      <c r="CB86" s="99">
        <f t="shared" ref="CB86:EN86" si="1344">SUM(CB63,CB75,CB77,CB79:CB81)</f>
        <v>0</v>
      </c>
      <c r="CC86" s="99">
        <f t="shared" si="1344"/>
        <v>0</v>
      </c>
      <c r="CD86" s="99">
        <f t="shared" si="1344"/>
        <v>0</v>
      </c>
      <c r="CE86" s="99">
        <f t="shared" si="1344"/>
        <v>0</v>
      </c>
      <c r="CF86" s="99">
        <f t="shared" si="1344"/>
        <v>0</v>
      </c>
      <c r="CG86" s="99">
        <f t="shared" si="1344"/>
        <v>0</v>
      </c>
      <c r="CH86" s="99">
        <f t="shared" si="1344"/>
        <v>0</v>
      </c>
      <c r="CI86" s="99">
        <f t="shared" si="1344"/>
        <v>0</v>
      </c>
      <c r="CJ86" s="99">
        <f t="shared" si="1344"/>
        <v>0</v>
      </c>
      <c r="CK86" s="99">
        <f t="shared" si="1344"/>
        <v>0</v>
      </c>
      <c r="CL86" s="99">
        <f t="shared" si="1344"/>
        <v>0</v>
      </c>
      <c r="CM86" s="99">
        <f t="shared" si="1344"/>
        <v>0</v>
      </c>
      <c r="CN86" s="99">
        <f t="shared" si="1344"/>
        <v>0</v>
      </c>
      <c r="CO86" s="99">
        <f t="shared" si="1344"/>
        <v>0</v>
      </c>
      <c r="CP86" s="99">
        <f t="shared" si="1344"/>
        <v>0</v>
      </c>
      <c r="CQ86" s="99">
        <f t="shared" si="1344"/>
        <v>0</v>
      </c>
      <c r="CR86" s="99">
        <f t="shared" si="1344"/>
        <v>0</v>
      </c>
      <c r="CS86" s="99">
        <f t="shared" si="1344"/>
        <v>0</v>
      </c>
      <c r="CT86" s="99">
        <f t="shared" si="1344"/>
        <v>0</v>
      </c>
      <c r="CU86" s="99">
        <f t="shared" si="1344"/>
        <v>0</v>
      </c>
      <c r="CV86" s="99">
        <f t="shared" si="1344"/>
        <v>0</v>
      </c>
      <c r="CW86" s="99">
        <f t="shared" si="1344"/>
        <v>0</v>
      </c>
      <c r="CX86" s="99">
        <f t="shared" si="1344"/>
        <v>0</v>
      </c>
      <c r="CY86" s="99">
        <f t="shared" si="1344"/>
        <v>0</v>
      </c>
      <c r="CZ86" s="99">
        <f t="shared" si="1344"/>
        <v>0</v>
      </c>
      <c r="DA86" s="99">
        <f t="shared" si="1344"/>
        <v>0</v>
      </c>
      <c r="DB86" s="99">
        <f t="shared" si="1344"/>
        <v>0</v>
      </c>
      <c r="DC86" s="99">
        <f t="shared" si="1344"/>
        <v>0</v>
      </c>
      <c r="DD86" s="99">
        <f t="shared" si="1344"/>
        <v>0</v>
      </c>
      <c r="DE86" s="99">
        <f t="shared" si="1344"/>
        <v>0</v>
      </c>
      <c r="DF86" s="99">
        <f t="shared" si="1344"/>
        <v>0</v>
      </c>
      <c r="DG86" s="99">
        <f t="shared" si="1344"/>
        <v>0</v>
      </c>
      <c r="DH86" s="99">
        <f t="shared" si="1344"/>
        <v>0</v>
      </c>
      <c r="DI86" s="99">
        <f t="shared" si="1344"/>
        <v>0</v>
      </c>
      <c r="DJ86" s="99">
        <f t="shared" si="1344"/>
        <v>0</v>
      </c>
      <c r="DK86" s="99">
        <f t="shared" si="1344"/>
        <v>0</v>
      </c>
      <c r="DL86" s="99">
        <f t="shared" si="1344"/>
        <v>0</v>
      </c>
      <c r="DM86" s="99">
        <f t="shared" si="1344"/>
        <v>0</v>
      </c>
      <c r="DN86" s="99">
        <f t="shared" si="1344"/>
        <v>0</v>
      </c>
      <c r="DO86" s="99">
        <f t="shared" si="1344"/>
        <v>0</v>
      </c>
      <c r="DP86" s="99">
        <f t="shared" si="1344"/>
        <v>0</v>
      </c>
      <c r="DQ86" s="99">
        <f t="shared" si="1344"/>
        <v>0</v>
      </c>
      <c r="DR86" s="99">
        <f t="shared" si="1344"/>
        <v>0</v>
      </c>
      <c r="DS86" s="99">
        <f t="shared" si="1344"/>
        <v>0</v>
      </c>
      <c r="DT86" s="99">
        <f t="shared" si="1344"/>
        <v>0</v>
      </c>
      <c r="DU86" s="99">
        <f t="shared" si="1344"/>
        <v>0</v>
      </c>
      <c r="DV86" s="99">
        <f t="shared" si="1344"/>
        <v>0</v>
      </c>
      <c r="DW86" s="99">
        <f t="shared" si="1344"/>
        <v>0</v>
      </c>
      <c r="DX86" s="99">
        <f t="shared" si="1344"/>
        <v>0</v>
      </c>
      <c r="DY86" s="99">
        <f t="shared" si="1344"/>
        <v>0</v>
      </c>
      <c r="DZ86" s="99">
        <f t="shared" si="1344"/>
        <v>0</v>
      </c>
      <c r="EA86" s="99">
        <f t="shared" si="1344"/>
        <v>0</v>
      </c>
      <c r="EB86" s="99">
        <f t="shared" si="1344"/>
        <v>0</v>
      </c>
      <c r="EC86" s="99">
        <f t="shared" si="1344"/>
        <v>0</v>
      </c>
      <c r="ED86" s="99">
        <f t="shared" si="1344"/>
        <v>0</v>
      </c>
      <c r="EE86" s="99">
        <f t="shared" si="1344"/>
        <v>0</v>
      </c>
      <c r="EF86" s="99">
        <f t="shared" si="1344"/>
        <v>0</v>
      </c>
      <c r="EG86" s="99">
        <f t="shared" si="1344"/>
        <v>0</v>
      </c>
      <c r="EH86" s="99">
        <f t="shared" si="1344"/>
        <v>0</v>
      </c>
      <c r="EI86" s="99">
        <f t="shared" si="1344"/>
        <v>0</v>
      </c>
      <c r="EJ86" s="99">
        <f t="shared" si="1344"/>
        <v>0</v>
      </c>
      <c r="EK86" s="99">
        <f t="shared" si="1344"/>
        <v>0</v>
      </c>
      <c r="EM86" s="119">
        <f t="shared" si="1344"/>
        <v>-16116000</v>
      </c>
      <c r="EN86" s="119">
        <f t="shared" si="1344"/>
        <v>168917.80990527687</v>
      </c>
      <c r="EO86" s="119">
        <f t="shared" ref="EO86:EX86" si="1345">SUM(EO63,EO75,EO77,EO79:EO81)</f>
        <v>634435.4288021666</v>
      </c>
      <c r="EP86" s="119">
        <f t="shared" si="1345"/>
        <v>1627666.7292447374</v>
      </c>
      <c r="EQ86" s="119">
        <f t="shared" si="1345"/>
        <v>1874741.1667744273</v>
      </c>
      <c r="ER86" s="119">
        <f t="shared" si="1345"/>
        <v>29222685.188082367</v>
      </c>
      <c r="ES86" s="119">
        <f t="shared" si="1345"/>
        <v>0</v>
      </c>
      <c r="ET86" s="119">
        <f t="shared" si="1345"/>
        <v>0</v>
      </c>
      <c r="EU86" s="119">
        <f t="shared" si="1345"/>
        <v>0</v>
      </c>
      <c r="EV86" s="119">
        <f t="shared" si="1345"/>
        <v>0</v>
      </c>
      <c r="EW86" s="119">
        <f t="shared" si="1345"/>
        <v>0</v>
      </c>
      <c r="EX86" s="119">
        <f t="shared" si="1345"/>
        <v>0</v>
      </c>
    </row>
    <row r="88" spans="2:154" x14ac:dyDescent="0.3">
      <c r="B88" s="93" t="s">
        <v>117</v>
      </c>
      <c r="C88" s="89">
        <f>-SUMIF(I86:EK86,"&lt;"&amp;0)</f>
        <v>16204470.990091054</v>
      </c>
    </row>
    <row r="89" spans="2:154" x14ac:dyDescent="0.3">
      <c r="B89" s="94" t="s">
        <v>118</v>
      </c>
      <c r="C89" s="90">
        <f>XIRR(I86:EK86,$I$6:$EK$6)</f>
        <v>0.17098429799079892</v>
      </c>
    </row>
    <row r="90" spans="2:154" x14ac:dyDescent="0.3">
      <c r="B90" s="94" t="s">
        <v>119</v>
      </c>
      <c r="C90" s="91">
        <f>SUM(I86:EK86)</f>
        <v>17412446.322808977</v>
      </c>
    </row>
    <row r="91" spans="2:154" x14ac:dyDescent="0.3">
      <c r="B91" s="95" t="s">
        <v>120</v>
      </c>
      <c r="C91" s="92">
        <f>-SUMIF(I86:EK86,"&gt;"&amp;0)/SUMIF(I86:EK86,"&lt;"&amp;0)</f>
        <v>2.0745458048866015</v>
      </c>
    </row>
    <row r="94" spans="2:154" x14ac:dyDescent="0.3">
      <c r="B94" s="132" t="s">
        <v>161</v>
      </c>
      <c r="E94" s="134" t="s">
        <v>158</v>
      </c>
      <c r="F94" s="134" t="s">
        <v>159</v>
      </c>
    </row>
    <row r="95" spans="2:154" x14ac:dyDescent="0.3">
      <c r="B95" s="112" t="s">
        <v>49</v>
      </c>
      <c r="E95" s="110">
        <f>I95</f>
        <v>51000000</v>
      </c>
      <c r="F95" s="110">
        <f>_xlfn.MAXIFS(I95:EK95,$I$6:$EK$6,"&lt;="&amp;$C$5)</f>
        <v>51000000</v>
      </c>
      <c r="I95" s="110">
        <f>-SUM($I$57:I57)</f>
        <v>51000000</v>
      </c>
      <c r="J95" s="110">
        <f>-SUM($I$57:J57)</f>
        <v>51000000</v>
      </c>
      <c r="K95" s="110">
        <f>-SUM($I$57:K57)</f>
        <v>51000000</v>
      </c>
      <c r="L95" s="110">
        <f>-SUM($I$57:L57)</f>
        <v>51000000</v>
      </c>
      <c r="M95" s="110">
        <f>-SUM($I$57:M57)</f>
        <v>51000000</v>
      </c>
      <c r="N95" s="110">
        <f>-SUM($I$57:N57)</f>
        <v>51000000</v>
      </c>
      <c r="O95" s="110">
        <f>-SUM($I$57:O57)</f>
        <v>51000000</v>
      </c>
      <c r="P95" s="110">
        <f>-SUM($I$57:P57)</f>
        <v>51000000</v>
      </c>
      <c r="Q95" s="110">
        <f>-SUM($I$57:Q57)</f>
        <v>51000000</v>
      </c>
      <c r="R95" s="110">
        <f>-SUM($I$57:R57)</f>
        <v>51000000</v>
      </c>
      <c r="S95" s="110">
        <f>-SUM($I$57:S57)</f>
        <v>51000000</v>
      </c>
      <c r="T95" s="110">
        <f>-SUM($I$57:T57)</f>
        <v>51000000</v>
      </c>
      <c r="U95" s="110">
        <f>-SUM($I$57:U57)</f>
        <v>51000000</v>
      </c>
      <c r="V95" s="110">
        <f>-SUM($I$57:V57)</f>
        <v>51000000</v>
      </c>
      <c r="W95" s="110">
        <f>-SUM($I$57:W57)</f>
        <v>51000000</v>
      </c>
      <c r="X95" s="110">
        <f>-SUM($I$57:X57)</f>
        <v>51000000</v>
      </c>
      <c r="Y95" s="110">
        <f>-SUM($I$57:Y57)</f>
        <v>51000000</v>
      </c>
      <c r="Z95" s="110">
        <f>-SUM($I$57:Z57)</f>
        <v>51000000</v>
      </c>
      <c r="AA95" s="110">
        <f>-SUM($I$57:AA57)</f>
        <v>51000000</v>
      </c>
      <c r="AB95" s="110">
        <f>-SUM($I$57:AB57)</f>
        <v>51000000</v>
      </c>
      <c r="AC95" s="110">
        <f>-SUM($I$57:AC57)</f>
        <v>51000000</v>
      </c>
      <c r="AD95" s="110">
        <f>-SUM($I$57:AD57)</f>
        <v>51000000</v>
      </c>
      <c r="AE95" s="110">
        <f>-SUM($I$57:AE57)</f>
        <v>51000000</v>
      </c>
      <c r="AF95" s="110">
        <f>-SUM($I$57:AF57)</f>
        <v>51000000</v>
      </c>
      <c r="AG95" s="110">
        <f>-SUM($I$57:AG57)</f>
        <v>51000000</v>
      </c>
      <c r="AH95" s="110">
        <f>-SUM($I$57:AH57)</f>
        <v>51000000</v>
      </c>
      <c r="AI95" s="110">
        <f>-SUM($I$57:AI57)</f>
        <v>51000000</v>
      </c>
      <c r="AJ95" s="110">
        <f>-SUM($I$57:AJ57)</f>
        <v>51000000</v>
      </c>
      <c r="AK95" s="110">
        <f>-SUM($I$57:AK57)</f>
        <v>51000000</v>
      </c>
      <c r="AL95" s="110">
        <f>-SUM($I$57:AL57)</f>
        <v>51000000</v>
      </c>
      <c r="AM95" s="110">
        <f>-SUM($I$57:AM57)</f>
        <v>51000000</v>
      </c>
      <c r="AN95" s="110">
        <f>-SUM($I$57:AN57)</f>
        <v>51000000</v>
      </c>
      <c r="AO95" s="110">
        <f>-SUM($I$57:AO57)</f>
        <v>51000000</v>
      </c>
      <c r="AP95" s="110">
        <f>-SUM($I$57:AP57)</f>
        <v>51000000</v>
      </c>
      <c r="AQ95" s="110">
        <f>-SUM($I$57:AQ57)</f>
        <v>51000000</v>
      </c>
      <c r="AR95" s="110">
        <f>-SUM($I$57:AR57)</f>
        <v>51000000</v>
      </c>
      <c r="AS95" s="110">
        <f>-SUM($I$57:AS57)</f>
        <v>51000000</v>
      </c>
      <c r="AT95" s="110">
        <f>-SUM($I$57:AT57)</f>
        <v>51000000</v>
      </c>
      <c r="AU95" s="110">
        <f>-SUM($I$57:AU57)</f>
        <v>51000000</v>
      </c>
      <c r="AV95" s="110">
        <f>-SUM($I$57:AV57)</f>
        <v>51000000</v>
      </c>
      <c r="AW95" s="110">
        <f>-SUM($I$57:AW57)</f>
        <v>51000000</v>
      </c>
      <c r="AX95" s="110">
        <f>-SUM($I$57:AX57)</f>
        <v>51000000</v>
      </c>
      <c r="AY95" s="110">
        <f>-SUM($I$57:AY57)</f>
        <v>51000000</v>
      </c>
      <c r="AZ95" s="110">
        <f>-SUM($I$57:AZ57)</f>
        <v>51000000</v>
      </c>
      <c r="BA95" s="110">
        <f>-SUM($I$57:BA57)</f>
        <v>51000000</v>
      </c>
      <c r="BB95" s="110">
        <f>-SUM($I$57:BB57)</f>
        <v>51000000</v>
      </c>
      <c r="BC95" s="110">
        <f>-SUM($I$57:BC57)</f>
        <v>51000000</v>
      </c>
      <c r="BD95" s="110">
        <f>-SUM($I$57:BD57)</f>
        <v>51000000</v>
      </c>
      <c r="BE95" s="110">
        <f>-SUM($I$57:BE57)</f>
        <v>51000000</v>
      </c>
      <c r="BF95" s="110">
        <f>-SUM($I$57:BF57)</f>
        <v>51000000</v>
      </c>
      <c r="BG95" s="110">
        <f>-SUM($I$57:BG57)</f>
        <v>51000000</v>
      </c>
      <c r="BH95" s="110">
        <f>-SUM($I$57:BH57)</f>
        <v>51000000</v>
      </c>
      <c r="BI95" s="110">
        <f>-SUM($I$57:BI57)</f>
        <v>51000000</v>
      </c>
      <c r="BJ95" s="110">
        <f>-SUM($I$57:BJ57)</f>
        <v>51000000</v>
      </c>
      <c r="BK95" s="110">
        <f>-SUM($I$57:BK57)</f>
        <v>51000000</v>
      </c>
      <c r="BL95" s="110">
        <f>-SUM($I$57:BL57)</f>
        <v>51000000</v>
      </c>
      <c r="BM95" s="110">
        <f>-SUM($I$57:BM57)</f>
        <v>51000000</v>
      </c>
      <c r="BN95" s="110">
        <f>-SUM($I$57:BN57)</f>
        <v>51000000</v>
      </c>
      <c r="BO95" s="110">
        <f>-SUM($I$57:BO57)</f>
        <v>51000000</v>
      </c>
      <c r="BP95" s="110">
        <f>-SUM($I$57:BP57)</f>
        <v>51000000</v>
      </c>
      <c r="BQ95" s="110">
        <f>-SUM($I$57:BQ57)</f>
        <v>51000000</v>
      </c>
      <c r="BR95" s="110">
        <f>-SUM($I$57:BR57)</f>
        <v>51000000</v>
      </c>
      <c r="BS95" s="110">
        <f>-SUM($I$57:BS57)</f>
        <v>51000000</v>
      </c>
      <c r="BT95" s="110">
        <f>-SUM($I$57:BT57)</f>
        <v>51000000</v>
      </c>
      <c r="BU95" s="110">
        <f>-SUM($I$57:BU57)</f>
        <v>51000000</v>
      </c>
      <c r="BV95" s="110">
        <f>-SUM($I$57:BV57)</f>
        <v>51000000</v>
      </c>
      <c r="BW95" s="110">
        <f>-SUM($I$57:BW57)</f>
        <v>51000000</v>
      </c>
      <c r="BX95" s="110">
        <f>-SUM($I$57:BX57)</f>
        <v>51000000</v>
      </c>
      <c r="BY95" s="110">
        <f>-SUM($I$57:BY57)</f>
        <v>51000000</v>
      </c>
      <c r="BZ95" s="110">
        <f>-SUM($I$57:BZ57)</f>
        <v>51000000</v>
      </c>
      <c r="CA95" s="110">
        <f>-SUM($I$57:CA57)</f>
        <v>51000000</v>
      </c>
      <c r="CB95" s="110">
        <f>-SUM($I$57:CB57)</f>
        <v>51000000</v>
      </c>
      <c r="CC95" s="110">
        <f>-SUM($I$57:CC57)</f>
        <v>51000000</v>
      </c>
      <c r="CD95" s="110">
        <f>-SUM($I$57:CD57)</f>
        <v>51000000</v>
      </c>
      <c r="CE95" s="110">
        <f>-SUM($I$57:CE57)</f>
        <v>51000000</v>
      </c>
      <c r="CF95" s="110">
        <f>-SUM($I$57:CF57)</f>
        <v>51000000</v>
      </c>
      <c r="CG95" s="110">
        <f>-SUM($I$57:CG57)</f>
        <v>51000000</v>
      </c>
      <c r="CH95" s="110">
        <f>-SUM($I$57:CH57)</f>
        <v>51000000</v>
      </c>
      <c r="CI95" s="110">
        <f>-SUM($I$57:CI57)</f>
        <v>51000000</v>
      </c>
      <c r="CJ95" s="110">
        <f>-SUM($I$57:CJ57)</f>
        <v>51000000</v>
      </c>
      <c r="CK95" s="110">
        <f>-SUM($I$57:CK57)</f>
        <v>51000000</v>
      </c>
      <c r="CL95" s="110">
        <f>-SUM($I$57:CL57)</f>
        <v>51000000</v>
      </c>
      <c r="CM95" s="110">
        <f>-SUM($I$57:CM57)</f>
        <v>51000000</v>
      </c>
      <c r="CN95" s="110">
        <f>-SUM($I$57:CN57)</f>
        <v>51000000</v>
      </c>
      <c r="CO95" s="110">
        <f>-SUM($I$57:CO57)</f>
        <v>51000000</v>
      </c>
      <c r="CP95" s="110">
        <f>-SUM($I$57:CP57)</f>
        <v>51000000</v>
      </c>
      <c r="CQ95" s="110">
        <f>-SUM($I$57:CQ57)</f>
        <v>51000000</v>
      </c>
      <c r="CR95" s="110">
        <f>-SUM($I$57:CR57)</f>
        <v>51000000</v>
      </c>
      <c r="CS95" s="110">
        <f>-SUM($I$57:CS57)</f>
        <v>51000000</v>
      </c>
      <c r="CT95" s="110">
        <f>-SUM($I$57:CT57)</f>
        <v>51000000</v>
      </c>
      <c r="CU95" s="110">
        <f>-SUM($I$57:CU57)</f>
        <v>51000000</v>
      </c>
      <c r="CV95" s="110">
        <f>-SUM($I$57:CV57)</f>
        <v>51000000</v>
      </c>
      <c r="CW95" s="110">
        <f>-SUM($I$57:CW57)</f>
        <v>51000000</v>
      </c>
      <c r="CX95" s="110">
        <f>-SUM($I$57:CX57)</f>
        <v>51000000</v>
      </c>
      <c r="CY95" s="110">
        <f>-SUM($I$57:CY57)</f>
        <v>51000000</v>
      </c>
      <c r="CZ95" s="110">
        <f>-SUM($I$57:CZ57)</f>
        <v>51000000</v>
      </c>
      <c r="DA95" s="110">
        <f>-SUM($I$57:DA57)</f>
        <v>51000000</v>
      </c>
      <c r="DB95" s="110">
        <f>-SUM($I$57:DB57)</f>
        <v>51000000</v>
      </c>
      <c r="DC95" s="110">
        <f>-SUM($I$57:DC57)</f>
        <v>51000000</v>
      </c>
      <c r="DD95" s="110">
        <f>-SUM($I$57:DD57)</f>
        <v>51000000</v>
      </c>
      <c r="DE95" s="110">
        <f>-SUM($I$57:DE57)</f>
        <v>51000000</v>
      </c>
      <c r="DF95" s="110">
        <f>-SUM($I$57:DF57)</f>
        <v>51000000</v>
      </c>
      <c r="DG95" s="110">
        <f>-SUM($I$57:DG57)</f>
        <v>51000000</v>
      </c>
      <c r="DH95" s="110">
        <f>-SUM($I$57:DH57)</f>
        <v>51000000</v>
      </c>
      <c r="DI95" s="110">
        <f>-SUM($I$57:DI57)</f>
        <v>51000000</v>
      </c>
      <c r="DJ95" s="110">
        <f>-SUM($I$57:DJ57)</f>
        <v>51000000</v>
      </c>
      <c r="DK95" s="110">
        <f>-SUM($I$57:DK57)</f>
        <v>51000000</v>
      </c>
      <c r="DL95" s="110">
        <f>-SUM($I$57:DL57)</f>
        <v>51000000</v>
      </c>
      <c r="DM95" s="110">
        <f>-SUM($I$57:DM57)</f>
        <v>51000000</v>
      </c>
      <c r="DN95" s="110">
        <f>-SUM($I$57:DN57)</f>
        <v>51000000</v>
      </c>
      <c r="DO95" s="110">
        <f>-SUM($I$57:DO57)</f>
        <v>51000000</v>
      </c>
      <c r="DP95" s="110">
        <f>-SUM($I$57:DP57)</f>
        <v>51000000</v>
      </c>
      <c r="DQ95" s="110">
        <f>-SUM($I$57:DQ57)</f>
        <v>51000000</v>
      </c>
      <c r="DR95" s="110">
        <f>-SUM($I$57:DR57)</f>
        <v>51000000</v>
      </c>
      <c r="DS95" s="110">
        <f>-SUM($I$57:DS57)</f>
        <v>51000000</v>
      </c>
      <c r="DT95" s="110">
        <f>-SUM($I$57:DT57)</f>
        <v>51000000</v>
      </c>
      <c r="DU95" s="110">
        <f>-SUM($I$57:DU57)</f>
        <v>51000000</v>
      </c>
      <c r="DV95" s="110">
        <f>-SUM($I$57:DV57)</f>
        <v>51000000</v>
      </c>
      <c r="DW95" s="110">
        <f>-SUM($I$57:DW57)</f>
        <v>51000000</v>
      </c>
      <c r="DX95" s="110">
        <f>-SUM($I$57:DX57)</f>
        <v>51000000</v>
      </c>
      <c r="DY95" s="110">
        <f>-SUM($I$57:DY57)</f>
        <v>51000000</v>
      </c>
      <c r="DZ95" s="110">
        <f>-SUM($I$57:DZ57)</f>
        <v>51000000</v>
      </c>
      <c r="EA95" s="110">
        <f>-SUM($I$57:EA57)</f>
        <v>51000000</v>
      </c>
      <c r="EB95" s="110">
        <f>-SUM($I$57:EB57)</f>
        <v>51000000</v>
      </c>
      <c r="EC95" s="110">
        <f>-SUM($I$57:EC57)</f>
        <v>51000000</v>
      </c>
      <c r="ED95" s="110">
        <f>-SUM($I$57:ED57)</f>
        <v>51000000</v>
      </c>
      <c r="EE95" s="110">
        <f>-SUM($I$57:EE57)</f>
        <v>51000000</v>
      </c>
      <c r="EF95" s="110">
        <f>-SUM($I$57:EF57)</f>
        <v>51000000</v>
      </c>
      <c r="EG95" s="110">
        <f>-SUM($I$57:EG57)</f>
        <v>51000000</v>
      </c>
      <c r="EH95" s="110">
        <f>-SUM($I$57:EH57)</f>
        <v>51000000</v>
      </c>
      <c r="EI95" s="110">
        <f>-SUM($I$57:EI57)</f>
        <v>51000000</v>
      </c>
      <c r="EJ95" s="110">
        <f>-SUM($I$57:EJ57)</f>
        <v>51000000</v>
      </c>
      <c r="EK95" s="110">
        <f>-SUM($I$57:EK57)</f>
        <v>51000000</v>
      </c>
      <c r="EM95" s="110">
        <f>SUMIF($I$6:$EK$6,EM$6,$I95:$EK95)</f>
        <v>51000000</v>
      </c>
      <c r="EN95" s="110">
        <f t="shared" ref="EN95:EX95" si="1346">SUMIF($I$6:$EK$6,EN$6,$I95:$EK95)</f>
        <v>51000000</v>
      </c>
      <c r="EO95" s="110">
        <f t="shared" si="1346"/>
        <v>51000000</v>
      </c>
      <c r="EP95" s="110">
        <f t="shared" si="1346"/>
        <v>51000000</v>
      </c>
      <c r="EQ95" s="110">
        <f t="shared" si="1346"/>
        <v>51000000</v>
      </c>
      <c r="ER95" s="110">
        <f t="shared" si="1346"/>
        <v>51000000</v>
      </c>
      <c r="ES95" s="110">
        <f t="shared" si="1346"/>
        <v>51000000</v>
      </c>
      <c r="ET95" s="110">
        <f t="shared" si="1346"/>
        <v>51000000</v>
      </c>
      <c r="EU95" s="110">
        <f t="shared" si="1346"/>
        <v>51000000</v>
      </c>
      <c r="EV95" s="110">
        <f t="shared" si="1346"/>
        <v>51000000</v>
      </c>
      <c r="EW95" s="110">
        <f t="shared" si="1346"/>
        <v>51000000</v>
      </c>
      <c r="EX95" s="110">
        <f t="shared" si="1346"/>
        <v>51000000</v>
      </c>
    </row>
    <row r="96" spans="2:154" x14ac:dyDescent="0.3">
      <c r="B96" s="112" t="s">
        <v>160</v>
      </c>
      <c r="E96" s="110">
        <f t="shared" ref="E96:E98" si="1347">I96</f>
        <v>637500</v>
      </c>
      <c r="F96" s="110">
        <f t="shared" ref="F96:F98" si="1348">_xlfn.MAXIFS(I96:EK96,$I$6:$EK$6,"&lt;="&amp;$C$5)</f>
        <v>637500</v>
      </c>
      <c r="I96" s="110">
        <f>-SUM($I$58:I58)</f>
        <v>637500</v>
      </c>
      <c r="J96" s="110">
        <f>-SUM($I$58:J58)</f>
        <v>637500</v>
      </c>
      <c r="K96" s="110">
        <f>-SUM($I$58:K58)</f>
        <v>637500</v>
      </c>
      <c r="L96" s="110">
        <f>-SUM($I$58:L58)</f>
        <v>637500</v>
      </c>
      <c r="M96" s="110">
        <f>-SUM($I$58:M58)</f>
        <v>637500</v>
      </c>
      <c r="N96" s="110">
        <f>-SUM($I$58:N58)</f>
        <v>637500</v>
      </c>
      <c r="O96" s="110">
        <f>-SUM($I$58:O58)</f>
        <v>637500</v>
      </c>
      <c r="P96" s="110">
        <f>-SUM($I$58:P58)</f>
        <v>637500</v>
      </c>
      <c r="Q96" s="110">
        <f>-SUM($I$58:Q58)</f>
        <v>637500</v>
      </c>
      <c r="R96" s="110">
        <f>-SUM($I$58:R58)</f>
        <v>637500</v>
      </c>
      <c r="S96" s="110">
        <f>-SUM($I$58:S58)</f>
        <v>637500</v>
      </c>
      <c r="T96" s="110">
        <f>-SUM($I$58:T58)</f>
        <v>637500</v>
      </c>
      <c r="U96" s="110">
        <f>-SUM($I$58:U58)</f>
        <v>637500</v>
      </c>
      <c r="V96" s="110">
        <f>-SUM($I$58:V58)</f>
        <v>637500</v>
      </c>
      <c r="W96" s="110">
        <f>-SUM($I$58:W58)</f>
        <v>637500</v>
      </c>
      <c r="X96" s="110">
        <f>-SUM($I$58:X58)</f>
        <v>637500</v>
      </c>
      <c r="Y96" s="110">
        <f>-SUM($I$58:Y58)</f>
        <v>637500</v>
      </c>
      <c r="Z96" s="110">
        <f>-SUM($I$58:Z58)</f>
        <v>637500</v>
      </c>
      <c r="AA96" s="110">
        <f>-SUM($I$58:AA58)</f>
        <v>637500</v>
      </c>
      <c r="AB96" s="110">
        <f>-SUM($I$58:AB58)</f>
        <v>637500</v>
      </c>
      <c r="AC96" s="110">
        <f>-SUM($I$58:AC58)</f>
        <v>637500</v>
      </c>
      <c r="AD96" s="110">
        <f>-SUM($I$58:AD58)</f>
        <v>637500</v>
      </c>
      <c r="AE96" s="110">
        <f>-SUM($I$58:AE58)</f>
        <v>637500</v>
      </c>
      <c r="AF96" s="110">
        <f>-SUM($I$58:AF58)</f>
        <v>637500</v>
      </c>
      <c r="AG96" s="110">
        <f>-SUM($I$58:AG58)</f>
        <v>637500</v>
      </c>
      <c r="AH96" s="110">
        <f>-SUM($I$58:AH58)</f>
        <v>637500</v>
      </c>
      <c r="AI96" s="110">
        <f>-SUM($I$58:AI58)</f>
        <v>637500</v>
      </c>
      <c r="AJ96" s="110">
        <f>-SUM($I$58:AJ58)</f>
        <v>637500</v>
      </c>
      <c r="AK96" s="110">
        <f>-SUM($I$58:AK58)</f>
        <v>637500</v>
      </c>
      <c r="AL96" s="110">
        <f>-SUM($I$58:AL58)</f>
        <v>637500</v>
      </c>
      <c r="AM96" s="110">
        <f>-SUM($I$58:AM58)</f>
        <v>637500</v>
      </c>
      <c r="AN96" s="110">
        <f>-SUM($I$58:AN58)</f>
        <v>637500</v>
      </c>
      <c r="AO96" s="110">
        <f>-SUM($I$58:AO58)</f>
        <v>637500</v>
      </c>
      <c r="AP96" s="110">
        <f>-SUM($I$58:AP58)</f>
        <v>637500</v>
      </c>
      <c r="AQ96" s="110">
        <f>-SUM($I$58:AQ58)</f>
        <v>637500</v>
      </c>
      <c r="AR96" s="110">
        <f>-SUM($I$58:AR58)</f>
        <v>637500</v>
      </c>
      <c r="AS96" s="110">
        <f>-SUM($I$58:AS58)</f>
        <v>637500</v>
      </c>
      <c r="AT96" s="110">
        <f>-SUM($I$58:AT58)</f>
        <v>637500</v>
      </c>
      <c r="AU96" s="110">
        <f>-SUM($I$58:AU58)</f>
        <v>637500</v>
      </c>
      <c r="AV96" s="110">
        <f>-SUM($I$58:AV58)</f>
        <v>637500</v>
      </c>
      <c r="AW96" s="110">
        <f>-SUM($I$58:AW58)</f>
        <v>637500</v>
      </c>
      <c r="AX96" s="110">
        <f>-SUM($I$58:AX58)</f>
        <v>637500</v>
      </c>
      <c r="AY96" s="110">
        <f>-SUM($I$58:AY58)</f>
        <v>637500</v>
      </c>
      <c r="AZ96" s="110">
        <f>-SUM($I$58:AZ58)</f>
        <v>637500</v>
      </c>
      <c r="BA96" s="110">
        <f>-SUM($I$58:BA58)</f>
        <v>637500</v>
      </c>
      <c r="BB96" s="110">
        <f>-SUM($I$58:BB58)</f>
        <v>637500</v>
      </c>
      <c r="BC96" s="110">
        <f>-SUM($I$58:BC58)</f>
        <v>637500</v>
      </c>
      <c r="BD96" s="110">
        <f>-SUM($I$58:BD58)</f>
        <v>637500</v>
      </c>
      <c r="BE96" s="110">
        <f>-SUM($I$58:BE58)</f>
        <v>637500</v>
      </c>
      <c r="BF96" s="110">
        <f>-SUM($I$58:BF58)</f>
        <v>637500</v>
      </c>
      <c r="BG96" s="110">
        <f>-SUM($I$58:BG58)</f>
        <v>637500</v>
      </c>
      <c r="BH96" s="110">
        <f>-SUM($I$58:BH58)</f>
        <v>637500</v>
      </c>
      <c r="BI96" s="110">
        <f>-SUM($I$58:BI58)</f>
        <v>637500</v>
      </c>
      <c r="BJ96" s="110">
        <f>-SUM($I$58:BJ58)</f>
        <v>637500</v>
      </c>
      <c r="BK96" s="110">
        <f>-SUM($I$58:BK58)</f>
        <v>637500</v>
      </c>
      <c r="BL96" s="110">
        <f>-SUM($I$58:BL58)</f>
        <v>637500</v>
      </c>
      <c r="BM96" s="110">
        <f>-SUM($I$58:BM58)</f>
        <v>637500</v>
      </c>
      <c r="BN96" s="110">
        <f>-SUM($I$58:BN58)</f>
        <v>637500</v>
      </c>
      <c r="BO96" s="110">
        <f>-SUM($I$58:BO58)</f>
        <v>637500</v>
      </c>
      <c r="BP96" s="110">
        <f>-SUM($I$58:BP58)</f>
        <v>637500</v>
      </c>
      <c r="BQ96" s="110">
        <f>-SUM($I$58:BQ58)</f>
        <v>637500</v>
      </c>
      <c r="BR96" s="110">
        <f>-SUM($I$58:BR58)</f>
        <v>637500</v>
      </c>
      <c r="BS96" s="110">
        <f>-SUM($I$58:BS58)</f>
        <v>637500</v>
      </c>
      <c r="BT96" s="110">
        <f>-SUM($I$58:BT58)</f>
        <v>637500</v>
      </c>
      <c r="BU96" s="110">
        <f>-SUM($I$58:BU58)</f>
        <v>637500</v>
      </c>
      <c r="BV96" s="110">
        <f>-SUM($I$58:BV58)</f>
        <v>637500</v>
      </c>
      <c r="BW96" s="110">
        <f>-SUM($I$58:BW58)</f>
        <v>637500</v>
      </c>
      <c r="BX96" s="110">
        <f>-SUM($I$58:BX58)</f>
        <v>637500</v>
      </c>
      <c r="BY96" s="110">
        <f>-SUM($I$58:BY58)</f>
        <v>637500</v>
      </c>
      <c r="BZ96" s="110">
        <f>-SUM($I$58:BZ58)</f>
        <v>637500</v>
      </c>
      <c r="CA96" s="110">
        <f>-SUM($I$58:CA58)</f>
        <v>637500</v>
      </c>
      <c r="CB96" s="110">
        <f>-SUM($I$58:CB58)</f>
        <v>637500</v>
      </c>
      <c r="CC96" s="110">
        <f>-SUM($I$58:CC58)</f>
        <v>637500</v>
      </c>
      <c r="CD96" s="110">
        <f>-SUM($I$58:CD58)</f>
        <v>637500</v>
      </c>
      <c r="CE96" s="110">
        <f>-SUM($I$58:CE58)</f>
        <v>637500</v>
      </c>
      <c r="CF96" s="110">
        <f>-SUM($I$58:CF58)</f>
        <v>637500</v>
      </c>
      <c r="CG96" s="110">
        <f>-SUM($I$58:CG58)</f>
        <v>637500</v>
      </c>
      <c r="CH96" s="110">
        <f>-SUM($I$58:CH58)</f>
        <v>637500</v>
      </c>
      <c r="CI96" s="110">
        <f>-SUM($I$58:CI58)</f>
        <v>637500</v>
      </c>
      <c r="CJ96" s="110">
        <f>-SUM($I$58:CJ58)</f>
        <v>637500</v>
      </c>
      <c r="CK96" s="110">
        <f>-SUM($I$58:CK58)</f>
        <v>637500</v>
      </c>
      <c r="CL96" s="110">
        <f>-SUM($I$58:CL58)</f>
        <v>637500</v>
      </c>
      <c r="CM96" s="110">
        <f>-SUM($I$58:CM58)</f>
        <v>637500</v>
      </c>
      <c r="CN96" s="110">
        <f>-SUM($I$58:CN58)</f>
        <v>637500</v>
      </c>
      <c r="CO96" s="110">
        <f>-SUM($I$58:CO58)</f>
        <v>637500</v>
      </c>
      <c r="CP96" s="110">
        <f>-SUM($I$58:CP58)</f>
        <v>637500</v>
      </c>
      <c r="CQ96" s="110">
        <f>-SUM($I$58:CQ58)</f>
        <v>637500</v>
      </c>
      <c r="CR96" s="110">
        <f>-SUM($I$58:CR58)</f>
        <v>637500</v>
      </c>
      <c r="CS96" s="110">
        <f>-SUM($I$58:CS58)</f>
        <v>637500</v>
      </c>
      <c r="CT96" s="110">
        <f>-SUM($I$58:CT58)</f>
        <v>637500</v>
      </c>
      <c r="CU96" s="110">
        <f>-SUM($I$58:CU58)</f>
        <v>637500</v>
      </c>
      <c r="CV96" s="110">
        <f>-SUM($I$58:CV58)</f>
        <v>637500</v>
      </c>
      <c r="CW96" s="110">
        <f>-SUM($I$58:CW58)</f>
        <v>637500</v>
      </c>
      <c r="CX96" s="110">
        <f>-SUM($I$58:CX58)</f>
        <v>637500</v>
      </c>
      <c r="CY96" s="110">
        <f>-SUM($I$58:CY58)</f>
        <v>637500</v>
      </c>
      <c r="CZ96" s="110">
        <f>-SUM($I$58:CZ58)</f>
        <v>637500</v>
      </c>
      <c r="DA96" s="110">
        <f>-SUM($I$58:DA58)</f>
        <v>637500</v>
      </c>
      <c r="DB96" s="110">
        <f>-SUM($I$58:DB58)</f>
        <v>637500</v>
      </c>
      <c r="DC96" s="110">
        <f>-SUM($I$58:DC58)</f>
        <v>637500</v>
      </c>
      <c r="DD96" s="110">
        <f>-SUM($I$58:DD58)</f>
        <v>637500</v>
      </c>
      <c r="DE96" s="110">
        <f>-SUM($I$58:DE58)</f>
        <v>637500</v>
      </c>
      <c r="DF96" s="110">
        <f>-SUM($I$58:DF58)</f>
        <v>637500</v>
      </c>
      <c r="DG96" s="110">
        <f>-SUM($I$58:DG58)</f>
        <v>637500</v>
      </c>
      <c r="DH96" s="110">
        <f>-SUM($I$58:DH58)</f>
        <v>637500</v>
      </c>
      <c r="DI96" s="110">
        <f>-SUM($I$58:DI58)</f>
        <v>637500</v>
      </c>
      <c r="DJ96" s="110">
        <f>-SUM($I$58:DJ58)</f>
        <v>637500</v>
      </c>
      <c r="DK96" s="110">
        <f>-SUM($I$58:DK58)</f>
        <v>637500</v>
      </c>
      <c r="DL96" s="110">
        <f>-SUM($I$58:DL58)</f>
        <v>637500</v>
      </c>
      <c r="DM96" s="110">
        <f>-SUM($I$58:DM58)</f>
        <v>637500</v>
      </c>
      <c r="DN96" s="110">
        <f>-SUM($I$58:DN58)</f>
        <v>637500</v>
      </c>
      <c r="DO96" s="110">
        <f>-SUM($I$58:DO58)</f>
        <v>637500</v>
      </c>
      <c r="DP96" s="110">
        <f>-SUM($I$58:DP58)</f>
        <v>637500</v>
      </c>
      <c r="DQ96" s="110">
        <f>-SUM($I$58:DQ58)</f>
        <v>637500</v>
      </c>
      <c r="DR96" s="110">
        <f>-SUM($I$58:DR58)</f>
        <v>637500</v>
      </c>
      <c r="DS96" s="110">
        <f>-SUM($I$58:DS58)</f>
        <v>637500</v>
      </c>
      <c r="DT96" s="110">
        <f>-SUM($I$58:DT58)</f>
        <v>637500</v>
      </c>
      <c r="DU96" s="110">
        <f>-SUM($I$58:DU58)</f>
        <v>637500</v>
      </c>
      <c r="DV96" s="110">
        <f>-SUM($I$58:DV58)</f>
        <v>637500</v>
      </c>
      <c r="DW96" s="110">
        <f>-SUM($I$58:DW58)</f>
        <v>637500</v>
      </c>
      <c r="DX96" s="110">
        <f>-SUM($I$58:DX58)</f>
        <v>637500</v>
      </c>
      <c r="DY96" s="110">
        <f>-SUM($I$58:DY58)</f>
        <v>637500</v>
      </c>
      <c r="DZ96" s="110">
        <f>-SUM($I$58:DZ58)</f>
        <v>637500</v>
      </c>
      <c r="EA96" s="110">
        <f>-SUM($I$58:EA58)</f>
        <v>637500</v>
      </c>
      <c r="EB96" s="110">
        <f>-SUM($I$58:EB58)</f>
        <v>637500</v>
      </c>
      <c r="EC96" s="110">
        <f>-SUM($I$58:EC58)</f>
        <v>637500</v>
      </c>
      <c r="ED96" s="110">
        <f>-SUM($I$58:ED58)</f>
        <v>637500</v>
      </c>
      <c r="EE96" s="110">
        <f>-SUM($I$58:EE58)</f>
        <v>637500</v>
      </c>
      <c r="EF96" s="110">
        <f>-SUM($I$58:EF58)</f>
        <v>637500</v>
      </c>
      <c r="EG96" s="110">
        <f>-SUM($I$58:EG58)</f>
        <v>637500</v>
      </c>
      <c r="EH96" s="110">
        <f>-SUM($I$58:EH58)</f>
        <v>637500</v>
      </c>
      <c r="EI96" s="110">
        <f>-SUM($I$58:EI58)</f>
        <v>637500</v>
      </c>
      <c r="EJ96" s="110">
        <f>-SUM($I$58:EJ58)</f>
        <v>637500</v>
      </c>
      <c r="EK96" s="110">
        <f>-SUM($I$58:EK58)</f>
        <v>637500</v>
      </c>
      <c r="EM96" s="109">
        <f t="shared" ref="EM96:EM98" si="1349">SUMIF($I$6:$EK$6,EM$6,$I96:$EK96)</f>
        <v>637500</v>
      </c>
      <c r="EN96" s="109">
        <f t="shared" ref="EN96:EX98" si="1350">SUMIF($I$6:$EK$6,EN$6,$I96:$EK96)</f>
        <v>637500</v>
      </c>
      <c r="EO96" s="109">
        <f t="shared" si="1350"/>
        <v>637500</v>
      </c>
      <c r="EP96" s="109">
        <f t="shared" si="1350"/>
        <v>637500</v>
      </c>
      <c r="EQ96" s="109">
        <f t="shared" si="1350"/>
        <v>637500</v>
      </c>
      <c r="ER96" s="109">
        <f t="shared" si="1350"/>
        <v>637500</v>
      </c>
      <c r="ES96" s="109">
        <f t="shared" si="1350"/>
        <v>637500</v>
      </c>
      <c r="ET96" s="109">
        <f t="shared" si="1350"/>
        <v>637500</v>
      </c>
      <c r="EU96" s="109">
        <f t="shared" si="1350"/>
        <v>637500</v>
      </c>
      <c r="EV96" s="109">
        <f t="shared" si="1350"/>
        <v>637500</v>
      </c>
      <c r="EW96" s="109">
        <f t="shared" si="1350"/>
        <v>637500</v>
      </c>
      <c r="EX96" s="109">
        <f t="shared" si="1350"/>
        <v>637500</v>
      </c>
    </row>
    <row r="97" spans="2:154" x14ac:dyDescent="0.3">
      <c r="B97" s="112" t="s">
        <v>94</v>
      </c>
      <c r="E97" s="110">
        <f t="shared" si="1347"/>
        <v>0</v>
      </c>
      <c r="F97" s="110">
        <f t="shared" si="1348"/>
        <v>1837500</v>
      </c>
      <c r="I97" s="110">
        <f>-SUM($I$50:I51)</f>
        <v>0</v>
      </c>
      <c r="J97" s="110">
        <f>-SUM($I$50:J51)</f>
        <v>43750</v>
      </c>
      <c r="K97" s="110">
        <f>-SUM($I$50:K51)</f>
        <v>87500</v>
      </c>
      <c r="L97" s="110">
        <f>-SUM($I$50:L51)</f>
        <v>196875</v>
      </c>
      <c r="M97" s="110">
        <f>-SUM($I$50:M51)</f>
        <v>306250</v>
      </c>
      <c r="N97" s="110">
        <f>-SUM($I$50:N51)</f>
        <v>415625</v>
      </c>
      <c r="O97" s="110">
        <f>-SUM($I$50:O51)</f>
        <v>525000</v>
      </c>
      <c r="P97" s="110">
        <f>-SUM($I$50:P51)</f>
        <v>590625</v>
      </c>
      <c r="Q97" s="110">
        <f>-SUM($I$50:Q51)</f>
        <v>656250</v>
      </c>
      <c r="R97" s="110">
        <f>-SUM($I$50:R51)</f>
        <v>721875</v>
      </c>
      <c r="S97" s="110">
        <f>-SUM($I$50:S51)</f>
        <v>787500</v>
      </c>
      <c r="T97" s="110">
        <f>-SUM($I$50:T51)</f>
        <v>853125</v>
      </c>
      <c r="U97" s="110">
        <f>-SUM($I$50:U51)</f>
        <v>918750</v>
      </c>
      <c r="V97" s="110">
        <f>-SUM($I$50:V51)</f>
        <v>984375</v>
      </c>
      <c r="W97" s="110">
        <f>-SUM($I$50:W51)</f>
        <v>1050000</v>
      </c>
      <c r="X97" s="110">
        <f>-SUM($I$50:X51)</f>
        <v>1115625</v>
      </c>
      <c r="Y97" s="110">
        <f>-SUM($I$50:Y51)</f>
        <v>1181250</v>
      </c>
      <c r="Z97" s="110">
        <f>-SUM($I$50:Z51)</f>
        <v>1246875</v>
      </c>
      <c r="AA97" s="110">
        <f>-SUM($I$50:AA51)</f>
        <v>1312500</v>
      </c>
      <c r="AB97" s="110">
        <f>-SUM($I$50:AB51)</f>
        <v>1378125</v>
      </c>
      <c r="AC97" s="110">
        <f>-SUM($I$50:AC51)</f>
        <v>1443750</v>
      </c>
      <c r="AD97" s="110">
        <f>-SUM($I$50:AD51)</f>
        <v>1509375</v>
      </c>
      <c r="AE97" s="110">
        <f>-SUM($I$50:AE51)</f>
        <v>1575000</v>
      </c>
      <c r="AF97" s="110">
        <f>-SUM($I$50:AF51)</f>
        <v>1640625</v>
      </c>
      <c r="AG97" s="110">
        <f>-SUM($I$50:AG51)</f>
        <v>1706250</v>
      </c>
      <c r="AH97" s="110">
        <f>-SUM($I$50:AH51)</f>
        <v>1771875</v>
      </c>
      <c r="AI97" s="110">
        <f>-SUM($I$50:AI51)</f>
        <v>1837500</v>
      </c>
      <c r="AJ97" s="110">
        <f>-SUM($I$50:AJ51)</f>
        <v>1837500</v>
      </c>
      <c r="AK97" s="110">
        <f>-SUM($I$50:AK51)</f>
        <v>1837500</v>
      </c>
      <c r="AL97" s="110">
        <f>-SUM($I$50:AL51)</f>
        <v>1837500</v>
      </c>
      <c r="AM97" s="110">
        <f>-SUM($I$50:AM51)</f>
        <v>1837500</v>
      </c>
      <c r="AN97" s="110">
        <f>-SUM($I$50:AN51)</f>
        <v>1837500</v>
      </c>
      <c r="AO97" s="110">
        <f>-SUM($I$50:AO51)</f>
        <v>1837500</v>
      </c>
      <c r="AP97" s="110">
        <f>-SUM($I$50:AP51)</f>
        <v>1837500</v>
      </c>
      <c r="AQ97" s="110">
        <f>-SUM($I$50:AQ51)</f>
        <v>1837500</v>
      </c>
      <c r="AR97" s="110">
        <f>-SUM($I$50:AR51)</f>
        <v>1837500</v>
      </c>
      <c r="AS97" s="110">
        <f>-SUM($I$50:AS51)</f>
        <v>1837500</v>
      </c>
      <c r="AT97" s="110">
        <f>-SUM($I$50:AT51)</f>
        <v>1837500</v>
      </c>
      <c r="AU97" s="110">
        <f>-SUM($I$50:AU51)</f>
        <v>1837500</v>
      </c>
      <c r="AV97" s="110">
        <f>-SUM($I$50:AV51)</f>
        <v>1837500</v>
      </c>
      <c r="AW97" s="110">
        <f>-SUM($I$50:AW51)</f>
        <v>1837500</v>
      </c>
      <c r="AX97" s="110">
        <f>-SUM($I$50:AX51)</f>
        <v>1837500</v>
      </c>
      <c r="AY97" s="110">
        <f>-SUM($I$50:AY51)</f>
        <v>1837500</v>
      </c>
      <c r="AZ97" s="110">
        <f>-SUM($I$50:AZ51)</f>
        <v>1837500</v>
      </c>
      <c r="BA97" s="110">
        <f>-SUM($I$50:BA51)</f>
        <v>1837500</v>
      </c>
      <c r="BB97" s="110">
        <f>-SUM($I$50:BB51)</f>
        <v>1837500</v>
      </c>
      <c r="BC97" s="110">
        <f>-SUM($I$50:BC51)</f>
        <v>1837500</v>
      </c>
      <c r="BD97" s="110">
        <f>-SUM($I$50:BD51)</f>
        <v>1837500</v>
      </c>
      <c r="BE97" s="110">
        <f>-SUM($I$50:BE51)</f>
        <v>1837500</v>
      </c>
      <c r="BF97" s="110">
        <f>-SUM($I$50:BF51)</f>
        <v>1837500</v>
      </c>
      <c r="BG97" s="110">
        <f>-SUM($I$50:BG51)</f>
        <v>1837500</v>
      </c>
      <c r="BH97" s="110">
        <f>-SUM($I$50:BH51)</f>
        <v>1837500</v>
      </c>
      <c r="BI97" s="110">
        <f>-SUM($I$50:BI51)</f>
        <v>1837500</v>
      </c>
      <c r="BJ97" s="110">
        <f>-SUM($I$50:BJ51)</f>
        <v>1837500</v>
      </c>
      <c r="BK97" s="110">
        <f>-SUM($I$50:BK51)</f>
        <v>1837500</v>
      </c>
      <c r="BL97" s="110">
        <f>-SUM($I$50:BL51)</f>
        <v>1837500</v>
      </c>
      <c r="BM97" s="110">
        <f>-SUM($I$50:BM51)</f>
        <v>1837500</v>
      </c>
      <c r="BN97" s="110">
        <f>-SUM($I$50:BN51)</f>
        <v>1837500</v>
      </c>
      <c r="BO97" s="110">
        <f>-SUM($I$50:BO51)</f>
        <v>1837500</v>
      </c>
      <c r="BP97" s="110">
        <f>-SUM($I$50:BP51)</f>
        <v>1837500</v>
      </c>
      <c r="BQ97" s="110">
        <f>-SUM($I$50:BQ51)</f>
        <v>1837500</v>
      </c>
      <c r="BR97" s="110">
        <f>-SUM($I$50:BR51)</f>
        <v>1837500</v>
      </c>
      <c r="BS97" s="110">
        <f>-SUM($I$50:BS51)</f>
        <v>1837500</v>
      </c>
      <c r="BT97" s="110">
        <f>-SUM($I$50:BT51)</f>
        <v>1837500</v>
      </c>
      <c r="BU97" s="110">
        <f>-SUM($I$50:BU51)</f>
        <v>1837500</v>
      </c>
      <c r="BV97" s="110">
        <f>-SUM($I$50:BV51)</f>
        <v>1837500</v>
      </c>
      <c r="BW97" s="110">
        <f>-SUM($I$50:BW51)</f>
        <v>1837500</v>
      </c>
      <c r="BX97" s="110">
        <f>-SUM($I$50:BX51)</f>
        <v>1837500</v>
      </c>
      <c r="BY97" s="110">
        <f>-SUM($I$50:BY51)</f>
        <v>1837500</v>
      </c>
      <c r="BZ97" s="110">
        <f>-SUM($I$50:BZ51)</f>
        <v>1837500</v>
      </c>
      <c r="CA97" s="110">
        <f>-SUM($I$50:CA51)</f>
        <v>1837500</v>
      </c>
      <c r="CB97" s="110">
        <f>-SUM($I$50:CB51)</f>
        <v>1837500</v>
      </c>
      <c r="CC97" s="110">
        <f>-SUM($I$50:CC51)</f>
        <v>1837500</v>
      </c>
      <c r="CD97" s="110">
        <f>-SUM($I$50:CD51)</f>
        <v>1837500</v>
      </c>
      <c r="CE97" s="110">
        <f>-SUM($I$50:CE51)</f>
        <v>1837500</v>
      </c>
      <c r="CF97" s="110">
        <f>-SUM($I$50:CF51)</f>
        <v>1837500</v>
      </c>
      <c r="CG97" s="110">
        <f>-SUM($I$50:CG51)</f>
        <v>1837500</v>
      </c>
      <c r="CH97" s="110">
        <f>-SUM($I$50:CH51)</f>
        <v>1837500</v>
      </c>
      <c r="CI97" s="110">
        <f>-SUM($I$50:CI51)</f>
        <v>1837500</v>
      </c>
      <c r="CJ97" s="110">
        <f>-SUM($I$50:CJ51)</f>
        <v>1837500</v>
      </c>
      <c r="CK97" s="110">
        <f>-SUM($I$50:CK51)</f>
        <v>1837500</v>
      </c>
      <c r="CL97" s="110">
        <f>-SUM($I$50:CL51)</f>
        <v>1837500</v>
      </c>
      <c r="CM97" s="110">
        <f>-SUM($I$50:CM51)</f>
        <v>1837500</v>
      </c>
      <c r="CN97" s="110">
        <f>-SUM($I$50:CN51)</f>
        <v>1837500</v>
      </c>
      <c r="CO97" s="110">
        <f>-SUM($I$50:CO51)</f>
        <v>1837500</v>
      </c>
      <c r="CP97" s="110">
        <f>-SUM($I$50:CP51)</f>
        <v>1837500</v>
      </c>
      <c r="CQ97" s="110">
        <f>-SUM($I$50:CQ51)</f>
        <v>1837500</v>
      </c>
      <c r="CR97" s="110">
        <f>-SUM($I$50:CR51)</f>
        <v>1837500</v>
      </c>
      <c r="CS97" s="110">
        <f>-SUM($I$50:CS51)</f>
        <v>1837500</v>
      </c>
      <c r="CT97" s="110">
        <f>-SUM($I$50:CT51)</f>
        <v>1837500</v>
      </c>
      <c r="CU97" s="110">
        <f>-SUM($I$50:CU51)</f>
        <v>1837500</v>
      </c>
      <c r="CV97" s="110">
        <f>-SUM($I$50:CV51)</f>
        <v>1837500</v>
      </c>
      <c r="CW97" s="110">
        <f>-SUM($I$50:CW51)</f>
        <v>1837500</v>
      </c>
      <c r="CX97" s="110">
        <f>-SUM($I$50:CX51)</f>
        <v>1837500</v>
      </c>
      <c r="CY97" s="110">
        <f>-SUM($I$50:CY51)</f>
        <v>1837500</v>
      </c>
      <c r="CZ97" s="110">
        <f>-SUM($I$50:CZ51)</f>
        <v>1837500</v>
      </c>
      <c r="DA97" s="110">
        <f>-SUM($I$50:DA51)</f>
        <v>1837500</v>
      </c>
      <c r="DB97" s="110">
        <f>-SUM($I$50:DB51)</f>
        <v>1837500</v>
      </c>
      <c r="DC97" s="110">
        <f>-SUM($I$50:DC51)</f>
        <v>1837500</v>
      </c>
      <c r="DD97" s="110">
        <f>-SUM($I$50:DD51)</f>
        <v>1837500</v>
      </c>
      <c r="DE97" s="110">
        <f>-SUM($I$50:DE51)</f>
        <v>1837500</v>
      </c>
      <c r="DF97" s="110">
        <f>-SUM($I$50:DF51)</f>
        <v>1837500</v>
      </c>
      <c r="DG97" s="110">
        <f>-SUM($I$50:DG51)</f>
        <v>1837500</v>
      </c>
      <c r="DH97" s="110">
        <f>-SUM($I$50:DH51)</f>
        <v>1837500</v>
      </c>
      <c r="DI97" s="110">
        <f>-SUM($I$50:DI51)</f>
        <v>1837500</v>
      </c>
      <c r="DJ97" s="110">
        <f>-SUM($I$50:DJ51)</f>
        <v>1837500</v>
      </c>
      <c r="DK97" s="110">
        <f>-SUM($I$50:DK51)</f>
        <v>1837500</v>
      </c>
      <c r="DL97" s="110">
        <f>-SUM($I$50:DL51)</f>
        <v>1837500</v>
      </c>
      <c r="DM97" s="110">
        <f>-SUM($I$50:DM51)</f>
        <v>1837500</v>
      </c>
      <c r="DN97" s="110">
        <f>-SUM($I$50:DN51)</f>
        <v>1837500</v>
      </c>
      <c r="DO97" s="110">
        <f>-SUM($I$50:DO51)</f>
        <v>1837500</v>
      </c>
      <c r="DP97" s="110">
        <f>-SUM($I$50:DP51)</f>
        <v>1837500</v>
      </c>
      <c r="DQ97" s="110">
        <f>-SUM($I$50:DQ51)</f>
        <v>1837500</v>
      </c>
      <c r="DR97" s="110">
        <f>-SUM($I$50:DR51)</f>
        <v>1837500</v>
      </c>
      <c r="DS97" s="110">
        <f>-SUM($I$50:DS51)</f>
        <v>1837500</v>
      </c>
      <c r="DT97" s="110">
        <f>-SUM($I$50:DT51)</f>
        <v>1837500</v>
      </c>
      <c r="DU97" s="110">
        <f>-SUM($I$50:DU51)</f>
        <v>1837500</v>
      </c>
      <c r="DV97" s="110">
        <f>-SUM($I$50:DV51)</f>
        <v>1837500</v>
      </c>
      <c r="DW97" s="110">
        <f>-SUM($I$50:DW51)</f>
        <v>1837500</v>
      </c>
      <c r="DX97" s="110">
        <f>-SUM($I$50:DX51)</f>
        <v>1837500</v>
      </c>
      <c r="DY97" s="110">
        <f>-SUM($I$50:DY51)</f>
        <v>1837500</v>
      </c>
      <c r="DZ97" s="110">
        <f>-SUM($I$50:DZ51)</f>
        <v>1837500</v>
      </c>
      <c r="EA97" s="110">
        <f>-SUM($I$50:EA51)</f>
        <v>1837500</v>
      </c>
      <c r="EB97" s="110">
        <f>-SUM($I$50:EB51)</f>
        <v>1837500</v>
      </c>
      <c r="EC97" s="110">
        <f>-SUM($I$50:EC51)</f>
        <v>1837500</v>
      </c>
      <c r="ED97" s="110">
        <f>-SUM($I$50:ED51)</f>
        <v>1837500</v>
      </c>
      <c r="EE97" s="110">
        <f>-SUM($I$50:EE51)</f>
        <v>1837500</v>
      </c>
      <c r="EF97" s="110">
        <f>-SUM($I$50:EF51)</f>
        <v>1837500</v>
      </c>
      <c r="EG97" s="110">
        <f>-SUM($I$50:EG51)</f>
        <v>1837500</v>
      </c>
      <c r="EH97" s="110">
        <f>-SUM($I$50:EH51)</f>
        <v>1837500</v>
      </c>
      <c r="EI97" s="110">
        <f>-SUM($I$50:EI51)</f>
        <v>1837500</v>
      </c>
      <c r="EJ97" s="110">
        <f>-SUM($I$50:EJ51)</f>
        <v>1837500</v>
      </c>
      <c r="EK97" s="110">
        <f>-SUM($I$50:EK51)</f>
        <v>1837500</v>
      </c>
      <c r="EM97" s="109">
        <f t="shared" si="1349"/>
        <v>0</v>
      </c>
      <c r="EN97" s="109">
        <f t="shared" si="1350"/>
        <v>918750</v>
      </c>
      <c r="EO97" s="109">
        <f t="shared" si="1350"/>
        <v>1706250</v>
      </c>
      <c r="EP97" s="109">
        <f t="shared" si="1350"/>
        <v>1837500</v>
      </c>
      <c r="EQ97" s="109">
        <f t="shared" si="1350"/>
        <v>1837500</v>
      </c>
      <c r="ER97" s="109">
        <f t="shared" si="1350"/>
        <v>1837500</v>
      </c>
      <c r="ES97" s="109">
        <f t="shared" si="1350"/>
        <v>1837500</v>
      </c>
      <c r="ET97" s="109">
        <f t="shared" si="1350"/>
        <v>1837500</v>
      </c>
      <c r="EU97" s="109">
        <f t="shared" si="1350"/>
        <v>1837500</v>
      </c>
      <c r="EV97" s="109">
        <f t="shared" si="1350"/>
        <v>1837500</v>
      </c>
      <c r="EW97" s="109">
        <f t="shared" si="1350"/>
        <v>1837500</v>
      </c>
      <c r="EX97" s="109">
        <f t="shared" si="1350"/>
        <v>1837500</v>
      </c>
    </row>
    <row r="98" spans="2:154" x14ac:dyDescent="0.3">
      <c r="B98" s="112" t="s">
        <v>135</v>
      </c>
      <c r="E98" s="110">
        <f t="shared" si="1347"/>
        <v>178500</v>
      </c>
      <c r="F98" s="110">
        <f t="shared" si="1348"/>
        <v>178500</v>
      </c>
      <c r="I98" s="110">
        <f>-SUM($I$77:I77)</f>
        <v>178500</v>
      </c>
      <c r="J98" s="110">
        <f>-SUM($I$77:J77)</f>
        <v>178500</v>
      </c>
      <c r="K98" s="110">
        <f>-SUM($I$77:K77)</f>
        <v>178500</v>
      </c>
      <c r="L98" s="110">
        <f>-SUM($I$77:L77)</f>
        <v>178500</v>
      </c>
      <c r="M98" s="110">
        <f>-SUM($I$77:M77)</f>
        <v>178500</v>
      </c>
      <c r="N98" s="110">
        <f>-SUM($I$77:N77)</f>
        <v>178500</v>
      </c>
      <c r="O98" s="110">
        <f>-SUM($I$77:O77)</f>
        <v>178500</v>
      </c>
      <c r="P98" s="110">
        <f>-SUM($I$77:P77)</f>
        <v>178500</v>
      </c>
      <c r="Q98" s="110">
        <f>-SUM($I$77:Q77)</f>
        <v>178500</v>
      </c>
      <c r="R98" s="110">
        <f>-SUM($I$77:R77)</f>
        <v>178500</v>
      </c>
      <c r="S98" s="110">
        <f>-SUM($I$77:S77)</f>
        <v>178500</v>
      </c>
      <c r="T98" s="110">
        <f>-SUM($I$77:T77)</f>
        <v>178500</v>
      </c>
      <c r="U98" s="110">
        <f>-SUM($I$77:U77)</f>
        <v>178500</v>
      </c>
      <c r="V98" s="110">
        <f>-SUM($I$77:V77)</f>
        <v>178500</v>
      </c>
      <c r="W98" s="110">
        <f>-SUM($I$77:W77)</f>
        <v>178500</v>
      </c>
      <c r="X98" s="110">
        <f>-SUM($I$77:X77)</f>
        <v>178500</v>
      </c>
      <c r="Y98" s="110">
        <f>-SUM($I$77:Y77)</f>
        <v>178500</v>
      </c>
      <c r="Z98" s="110">
        <f>-SUM($I$77:Z77)</f>
        <v>178500</v>
      </c>
      <c r="AA98" s="110">
        <f>-SUM($I$77:AA77)</f>
        <v>178500</v>
      </c>
      <c r="AB98" s="110">
        <f>-SUM($I$77:AB77)</f>
        <v>178500</v>
      </c>
      <c r="AC98" s="110">
        <f>-SUM($I$77:AC77)</f>
        <v>178500</v>
      </c>
      <c r="AD98" s="110">
        <f>-SUM($I$77:AD77)</f>
        <v>178500</v>
      </c>
      <c r="AE98" s="110">
        <f>-SUM($I$77:AE77)</f>
        <v>178500</v>
      </c>
      <c r="AF98" s="110">
        <f>-SUM($I$77:AF77)</f>
        <v>178500</v>
      </c>
      <c r="AG98" s="110">
        <f>-SUM($I$77:AG77)</f>
        <v>178500</v>
      </c>
      <c r="AH98" s="110">
        <f>-SUM($I$77:AH77)</f>
        <v>178500</v>
      </c>
      <c r="AI98" s="110">
        <f>-SUM($I$77:AI77)</f>
        <v>178500</v>
      </c>
      <c r="AJ98" s="110">
        <f>-SUM($I$77:AJ77)</f>
        <v>178500</v>
      </c>
      <c r="AK98" s="110">
        <f>-SUM($I$77:AK77)</f>
        <v>178500</v>
      </c>
      <c r="AL98" s="110">
        <f>-SUM($I$77:AL77)</f>
        <v>178500</v>
      </c>
      <c r="AM98" s="110">
        <f>-SUM($I$77:AM77)</f>
        <v>178500</v>
      </c>
      <c r="AN98" s="110">
        <f>-SUM($I$77:AN77)</f>
        <v>178500</v>
      </c>
      <c r="AO98" s="110">
        <f>-SUM($I$77:AO77)</f>
        <v>178500</v>
      </c>
      <c r="AP98" s="110">
        <f>-SUM($I$77:AP77)</f>
        <v>178500</v>
      </c>
      <c r="AQ98" s="110">
        <f>-SUM($I$77:AQ77)</f>
        <v>178500</v>
      </c>
      <c r="AR98" s="110">
        <f>-SUM($I$77:AR77)</f>
        <v>178500</v>
      </c>
      <c r="AS98" s="110">
        <f>-SUM($I$77:AS77)</f>
        <v>178500</v>
      </c>
      <c r="AT98" s="110">
        <f>-SUM($I$77:AT77)</f>
        <v>178500</v>
      </c>
      <c r="AU98" s="110">
        <f>-SUM($I$77:AU77)</f>
        <v>178500</v>
      </c>
      <c r="AV98" s="110">
        <f>-SUM($I$77:AV77)</f>
        <v>178500</v>
      </c>
      <c r="AW98" s="110">
        <f>-SUM($I$77:AW77)</f>
        <v>178500</v>
      </c>
      <c r="AX98" s="110">
        <f>-SUM($I$77:AX77)</f>
        <v>178500</v>
      </c>
      <c r="AY98" s="110">
        <f>-SUM($I$77:AY77)</f>
        <v>178500</v>
      </c>
      <c r="AZ98" s="110">
        <f>-SUM($I$77:AZ77)</f>
        <v>178500</v>
      </c>
      <c r="BA98" s="110">
        <f>-SUM($I$77:BA77)</f>
        <v>178500</v>
      </c>
      <c r="BB98" s="110">
        <f>-SUM($I$77:BB77)</f>
        <v>178500</v>
      </c>
      <c r="BC98" s="110">
        <f>-SUM($I$77:BC77)</f>
        <v>178500</v>
      </c>
      <c r="BD98" s="110">
        <f>-SUM($I$77:BD77)</f>
        <v>178500</v>
      </c>
      <c r="BE98" s="110">
        <f>-SUM($I$77:BE77)</f>
        <v>178500</v>
      </c>
      <c r="BF98" s="110">
        <f>-SUM($I$77:BF77)</f>
        <v>178500</v>
      </c>
      <c r="BG98" s="110">
        <f>-SUM($I$77:BG77)</f>
        <v>178500</v>
      </c>
      <c r="BH98" s="110">
        <f>-SUM($I$77:BH77)</f>
        <v>178500</v>
      </c>
      <c r="BI98" s="110">
        <f>-SUM($I$77:BI77)</f>
        <v>178500</v>
      </c>
      <c r="BJ98" s="110">
        <f>-SUM($I$77:BJ77)</f>
        <v>178500</v>
      </c>
      <c r="BK98" s="110">
        <f>-SUM($I$77:BK77)</f>
        <v>178500</v>
      </c>
      <c r="BL98" s="110">
        <f>-SUM($I$77:BL77)</f>
        <v>178500</v>
      </c>
      <c r="BM98" s="110">
        <f>-SUM($I$77:BM77)</f>
        <v>178500</v>
      </c>
      <c r="BN98" s="110">
        <f>-SUM($I$77:BN77)</f>
        <v>178500</v>
      </c>
      <c r="BO98" s="110">
        <f>-SUM($I$77:BO77)</f>
        <v>178500</v>
      </c>
      <c r="BP98" s="110">
        <f>-SUM($I$77:BP77)</f>
        <v>178500</v>
      </c>
      <c r="BQ98" s="110">
        <f>-SUM($I$77:BQ77)</f>
        <v>178500</v>
      </c>
      <c r="BR98" s="110">
        <f>-SUM($I$77:BR77)</f>
        <v>178500</v>
      </c>
      <c r="BS98" s="110">
        <f>-SUM($I$77:BS77)</f>
        <v>178500</v>
      </c>
      <c r="BT98" s="110">
        <f>-SUM($I$77:BT77)</f>
        <v>178500</v>
      </c>
      <c r="BU98" s="110">
        <f>-SUM($I$77:BU77)</f>
        <v>178500</v>
      </c>
      <c r="BV98" s="110">
        <f>-SUM($I$77:BV77)</f>
        <v>178500</v>
      </c>
      <c r="BW98" s="110">
        <f>-SUM($I$77:BW77)</f>
        <v>178500</v>
      </c>
      <c r="BX98" s="110">
        <f>-SUM($I$77:BX77)</f>
        <v>178500</v>
      </c>
      <c r="BY98" s="110">
        <f>-SUM($I$77:BY77)</f>
        <v>178500</v>
      </c>
      <c r="BZ98" s="110">
        <f>-SUM($I$77:BZ77)</f>
        <v>178500</v>
      </c>
      <c r="CA98" s="110">
        <f>-SUM($I$77:CA77)</f>
        <v>178500</v>
      </c>
      <c r="CB98" s="110">
        <f>-SUM($I$77:CB77)</f>
        <v>178500</v>
      </c>
      <c r="CC98" s="110">
        <f>-SUM($I$77:CC77)</f>
        <v>178500</v>
      </c>
      <c r="CD98" s="110">
        <f>-SUM($I$77:CD77)</f>
        <v>178500</v>
      </c>
      <c r="CE98" s="110">
        <f>-SUM($I$77:CE77)</f>
        <v>178500</v>
      </c>
      <c r="CF98" s="110">
        <f>-SUM($I$77:CF77)</f>
        <v>178500</v>
      </c>
      <c r="CG98" s="110">
        <f>-SUM($I$77:CG77)</f>
        <v>178500</v>
      </c>
      <c r="CH98" s="110">
        <f>-SUM($I$77:CH77)</f>
        <v>178500</v>
      </c>
      <c r="CI98" s="110">
        <f>-SUM($I$77:CI77)</f>
        <v>178500</v>
      </c>
      <c r="CJ98" s="110">
        <f>-SUM($I$77:CJ77)</f>
        <v>178500</v>
      </c>
      <c r="CK98" s="110">
        <f>-SUM($I$77:CK77)</f>
        <v>178500</v>
      </c>
      <c r="CL98" s="110">
        <f>-SUM($I$77:CL77)</f>
        <v>178500</v>
      </c>
      <c r="CM98" s="110">
        <f>-SUM($I$77:CM77)</f>
        <v>178500</v>
      </c>
      <c r="CN98" s="110">
        <f>-SUM($I$77:CN77)</f>
        <v>178500</v>
      </c>
      <c r="CO98" s="110">
        <f>-SUM($I$77:CO77)</f>
        <v>178500</v>
      </c>
      <c r="CP98" s="110">
        <f>-SUM($I$77:CP77)</f>
        <v>178500</v>
      </c>
      <c r="CQ98" s="110">
        <f>-SUM($I$77:CQ77)</f>
        <v>178500</v>
      </c>
      <c r="CR98" s="110">
        <f>-SUM($I$77:CR77)</f>
        <v>178500</v>
      </c>
      <c r="CS98" s="110">
        <f>-SUM($I$77:CS77)</f>
        <v>178500</v>
      </c>
      <c r="CT98" s="110">
        <f>-SUM($I$77:CT77)</f>
        <v>178500</v>
      </c>
      <c r="CU98" s="110">
        <f>-SUM($I$77:CU77)</f>
        <v>178500</v>
      </c>
      <c r="CV98" s="110">
        <f>-SUM($I$77:CV77)</f>
        <v>178500</v>
      </c>
      <c r="CW98" s="110">
        <f>-SUM($I$77:CW77)</f>
        <v>178500</v>
      </c>
      <c r="CX98" s="110">
        <f>-SUM($I$77:CX77)</f>
        <v>178500</v>
      </c>
      <c r="CY98" s="110">
        <f>-SUM($I$77:CY77)</f>
        <v>178500</v>
      </c>
      <c r="CZ98" s="110">
        <f>-SUM($I$77:CZ77)</f>
        <v>178500</v>
      </c>
      <c r="DA98" s="110">
        <f>-SUM($I$77:DA77)</f>
        <v>178500</v>
      </c>
      <c r="DB98" s="110">
        <f>-SUM($I$77:DB77)</f>
        <v>178500</v>
      </c>
      <c r="DC98" s="110">
        <f>-SUM($I$77:DC77)</f>
        <v>178500</v>
      </c>
      <c r="DD98" s="110">
        <f>-SUM($I$77:DD77)</f>
        <v>178500</v>
      </c>
      <c r="DE98" s="110">
        <f>-SUM($I$77:DE77)</f>
        <v>178500</v>
      </c>
      <c r="DF98" s="110">
        <f>-SUM($I$77:DF77)</f>
        <v>178500</v>
      </c>
      <c r="DG98" s="110">
        <f>-SUM($I$77:DG77)</f>
        <v>178500</v>
      </c>
      <c r="DH98" s="110">
        <f>-SUM($I$77:DH77)</f>
        <v>178500</v>
      </c>
      <c r="DI98" s="110">
        <f>-SUM($I$77:DI77)</f>
        <v>178500</v>
      </c>
      <c r="DJ98" s="110">
        <f>-SUM($I$77:DJ77)</f>
        <v>178500</v>
      </c>
      <c r="DK98" s="110">
        <f>-SUM($I$77:DK77)</f>
        <v>178500</v>
      </c>
      <c r="DL98" s="110">
        <f>-SUM($I$77:DL77)</f>
        <v>178500</v>
      </c>
      <c r="DM98" s="110">
        <f>-SUM($I$77:DM77)</f>
        <v>178500</v>
      </c>
      <c r="DN98" s="110">
        <f>-SUM($I$77:DN77)</f>
        <v>178500</v>
      </c>
      <c r="DO98" s="110">
        <f>-SUM($I$77:DO77)</f>
        <v>178500</v>
      </c>
      <c r="DP98" s="110">
        <f>-SUM($I$77:DP77)</f>
        <v>178500</v>
      </c>
      <c r="DQ98" s="110">
        <f>-SUM($I$77:DQ77)</f>
        <v>178500</v>
      </c>
      <c r="DR98" s="110">
        <f>-SUM($I$77:DR77)</f>
        <v>178500</v>
      </c>
      <c r="DS98" s="110">
        <f>-SUM($I$77:DS77)</f>
        <v>178500</v>
      </c>
      <c r="DT98" s="110">
        <f>-SUM($I$77:DT77)</f>
        <v>178500</v>
      </c>
      <c r="DU98" s="110">
        <f>-SUM($I$77:DU77)</f>
        <v>178500</v>
      </c>
      <c r="DV98" s="110">
        <f>-SUM($I$77:DV77)</f>
        <v>178500</v>
      </c>
      <c r="DW98" s="110">
        <f>-SUM($I$77:DW77)</f>
        <v>178500</v>
      </c>
      <c r="DX98" s="110">
        <f>-SUM($I$77:DX77)</f>
        <v>178500</v>
      </c>
      <c r="DY98" s="110">
        <f>-SUM($I$77:DY77)</f>
        <v>178500</v>
      </c>
      <c r="DZ98" s="110">
        <f>-SUM($I$77:DZ77)</f>
        <v>178500</v>
      </c>
      <c r="EA98" s="110">
        <f>-SUM($I$77:EA77)</f>
        <v>178500</v>
      </c>
      <c r="EB98" s="110">
        <f>-SUM($I$77:EB77)</f>
        <v>178500</v>
      </c>
      <c r="EC98" s="110">
        <f>-SUM($I$77:EC77)</f>
        <v>178500</v>
      </c>
      <c r="ED98" s="110">
        <f>-SUM($I$77:ED77)</f>
        <v>178500</v>
      </c>
      <c r="EE98" s="110">
        <f>-SUM($I$77:EE77)</f>
        <v>178500</v>
      </c>
      <c r="EF98" s="110">
        <f>-SUM($I$77:EF77)</f>
        <v>178500</v>
      </c>
      <c r="EG98" s="110">
        <f>-SUM($I$77:EG77)</f>
        <v>178500</v>
      </c>
      <c r="EH98" s="110">
        <f>-SUM($I$77:EH77)</f>
        <v>178500</v>
      </c>
      <c r="EI98" s="110">
        <f>-SUM($I$77:EI77)</f>
        <v>178500</v>
      </c>
      <c r="EJ98" s="110">
        <f>-SUM($I$77:EJ77)</f>
        <v>178500</v>
      </c>
      <c r="EK98" s="110">
        <f>-SUM($I$77:EK77)</f>
        <v>178500</v>
      </c>
      <c r="EM98" s="109">
        <f t="shared" si="1349"/>
        <v>178500</v>
      </c>
      <c r="EN98" s="109">
        <f t="shared" si="1350"/>
        <v>178500</v>
      </c>
      <c r="EO98" s="109">
        <f t="shared" si="1350"/>
        <v>178500</v>
      </c>
      <c r="EP98" s="109">
        <f t="shared" si="1350"/>
        <v>178500</v>
      </c>
      <c r="EQ98" s="109">
        <f t="shared" si="1350"/>
        <v>178500</v>
      </c>
      <c r="ER98" s="109">
        <f t="shared" si="1350"/>
        <v>178500</v>
      </c>
      <c r="ES98" s="109">
        <f t="shared" si="1350"/>
        <v>178500</v>
      </c>
      <c r="ET98" s="109">
        <f t="shared" si="1350"/>
        <v>178500</v>
      </c>
      <c r="EU98" s="109">
        <f t="shared" si="1350"/>
        <v>178500</v>
      </c>
      <c r="EV98" s="109">
        <f t="shared" si="1350"/>
        <v>178500</v>
      </c>
      <c r="EW98" s="109">
        <f t="shared" si="1350"/>
        <v>178500</v>
      </c>
      <c r="EX98" s="109">
        <f t="shared" si="1350"/>
        <v>178500</v>
      </c>
    </row>
    <row r="99" spans="2:154" x14ac:dyDescent="0.3">
      <c r="B99" s="133" t="s">
        <v>157</v>
      </c>
      <c r="E99" s="126">
        <f>SUM(E95:E98)</f>
        <v>51816000</v>
      </c>
      <c r="F99" s="126">
        <f>SUM(F95:F98)</f>
        <v>53653500</v>
      </c>
      <c r="I99" s="126">
        <f>SUM(I95:I98)</f>
        <v>51816000</v>
      </c>
      <c r="J99" s="126">
        <f t="shared" ref="J99" si="1351">SUM(J95:J98)</f>
        <v>51859750</v>
      </c>
      <c r="K99" s="126">
        <f t="shared" ref="K99:BV99" si="1352">SUM(K95:K98)</f>
        <v>51903500</v>
      </c>
      <c r="L99" s="126">
        <f t="shared" si="1352"/>
        <v>52012875</v>
      </c>
      <c r="M99" s="126">
        <f t="shared" si="1352"/>
        <v>52122250</v>
      </c>
      <c r="N99" s="126">
        <f t="shared" si="1352"/>
        <v>52231625</v>
      </c>
      <c r="O99" s="126">
        <f t="shared" si="1352"/>
        <v>52341000</v>
      </c>
      <c r="P99" s="126">
        <f t="shared" si="1352"/>
        <v>52406625</v>
      </c>
      <c r="Q99" s="126">
        <f t="shared" si="1352"/>
        <v>52472250</v>
      </c>
      <c r="R99" s="126">
        <f t="shared" si="1352"/>
        <v>52537875</v>
      </c>
      <c r="S99" s="126">
        <f t="shared" si="1352"/>
        <v>52603500</v>
      </c>
      <c r="T99" s="126">
        <f t="shared" si="1352"/>
        <v>52669125</v>
      </c>
      <c r="U99" s="126">
        <f t="shared" si="1352"/>
        <v>52734750</v>
      </c>
      <c r="V99" s="126">
        <f t="shared" si="1352"/>
        <v>52800375</v>
      </c>
      <c r="W99" s="126">
        <f t="shared" si="1352"/>
        <v>52866000</v>
      </c>
      <c r="X99" s="126">
        <f t="shared" si="1352"/>
        <v>52931625</v>
      </c>
      <c r="Y99" s="126">
        <f t="shared" si="1352"/>
        <v>52997250</v>
      </c>
      <c r="Z99" s="126">
        <f t="shared" si="1352"/>
        <v>53062875</v>
      </c>
      <c r="AA99" s="126">
        <f t="shared" si="1352"/>
        <v>53128500</v>
      </c>
      <c r="AB99" s="126">
        <f t="shared" si="1352"/>
        <v>53194125</v>
      </c>
      <c r="AC99" s="126">
        <f t="shared" si="1352"/>
        <v>53259750</v>
      </c>
      <c r="AD99" s="126">
        <f t="shared" si="1352"/>
        <v>53325375</v>
      </c>
      <c r="AE99" s="126">
        <f t="shared" si="1352"/>
        <v>53391000</v>
      </c>
      <c r="AF99" s="126">
        <f t="shared" si="1352"/>
        <v>53456625</v>
      </c>
      <c r="AG99" s="126">
        <f t="shared" si="1352"/>
        <v>53522250</v>
      </c>
      <c r="AH99" s="126">
        <f t="shared" si="1352"/>
        <v>53587875</v>
      </c>
      <c r="AI99" s="126">
        <f t="shared" si="1352"/>
        <v>53653500</v>
      </c>
      <c r="AJ99" s="126">
        <f t="shared" si="1352"/>
        <v>53653500</v>
      </c>
      <c r="AK99" s="126">
        <f t="shared" si="1352"/>
        <v>53653500</v>
      </c>
      <c r="AL99" s="126">
        <f t="shared" si="1352"/>
        <v>53653500</v>
      </c>
      <c r="AM99" s="126">
        <f t="shared" si="1352"/>
        <v>53653500</v>
      </c>
      <c r="AN99" s="126">
        <f t="shared" si="1352"/>
        <v>53653500</v>
      </c>
      <c r="AO99" s="126">
        <f t="shared" si="1352"/>
        <v>53653500</v>
      </c>
      <c r="AP99" s="126">
        <f t="shared" si="1352"/>
        <v>53653500</v>
      </c>
      <c r="AQ99" s="126">
        <f t="shared" si="1352"/>
        <v>53653500</v>
      </c>
      <c r="AR99" s="126">
        <f t="shared" si="1352"/>
        <v>53653500</v>
      </c>
      <c r="AS99" s="126">
        <f t="shared" si="1352"/>
        <v>53653500</v>
      </c>
      <c r="AT99" s="126">
        <f t="shared" si="1352"/>
        <v>53653500</v>
      </c>
      <c r="AU99" s="126">
        <f t="shared" si="1352"/>
        <v>53653500</v>
      </c>
      <c r="AV99" s="126">
        <f t="shared" si="1352"/>
        <v>53653500</v>
      </c>
      <c r="AW99" s="126">
        <f t="shared" si="1352"/>
        <v>53653500</v>
      </c>
      <c r="AX99" s="126">
        <f t="shared" si="1352"/>
        <v>53653500</v>
      </c>
      <c r="AY99" s="126">
        <f t="shared" si="1352"/>
        <v>53653500</v>
      </c>
      <c r="AZ99" s="126">
        <f t="shared" si="1352"/>
        <v>53653500</v>
      </c>
      <c r="BA99" s="126">
        <f t="shared" si="1352"/>
        <v>53653500</v>
      </c>
      <c r="BB99" s="126">
        <f t="shared" si="1352"/>
        <v>53653500</v>
      </c>
      <c r="BC99" s="126">
        <f t="shared" si="1352"/>
        <v>53653500</v>
      </c>
      <c r="BD99" s="126">
        <f t="shared" si="1352"/>
        <v>53653500</v>
      </c>
      <c r="BE99" s="126">
        <f t="shared" si="1352"/>
        <v>53653500</v>
      </c>
      <c r="BF99" s="126">
        <f t="shared" si="1352"/>
        <v>53653500</v>
      </c>
      <c r="BG99" s="126">
        <f t="shared" si="1352"/>
        <v>53653500</v>
      </c>
      <c r="BH99" s="126">
        <f t="shared" si="1352"/>
        <v>53653500</v>
      </c>
      <c r="BI99" s="126">
        <f t="shared" si="1352"/>
        <v>53653500</v>
      </c>
      <c r="BJ99" s="126">
        <f t="shared" si="1352"/>
        <v>53653500</v>
      </c>
      <c r="BK99" s="126">
        <f t="shared" si="1352"/>
        <v>53653500</v>
      </c>
      <c r="BL99" s="126">
        <f t="shared" si="1352"/>
        <v>53653500</v>
      </c>
      <c r="BM99" s="126">
        <f t="shared" si="1352"/>
        <v>53653500</v>
      </c>
      <c r="BN99" s="126">
        <f t="shared" si="1352"/>
        <v>53653500</v>
      </c>
      <c r="BO99" s="126">
        <f t="shared" si="1352"/>
        <v>53653500</v>
      </c>
      <c r="BP99" s="126">
        <f t="shared" si="1352"/>
        <v>53653500</v>
      </c>
      <c r="BQ99" s="126">
        <f t="shared" si="1352"/>
        <v>53653500</v>
      </c>
      <c r="BR99" s="126">
        <f t="shared" si="1352"/>
        <v>53653500</v>
      </c>
      <c r="BS99" s="126">
        <f t="shared" si="1352"/>
        <v>53653500</v>
      </c>
      <c r="BT99" s="126">
        <f t="shared" si="1352"/>
        <v>53653500</v>
      </c>
      <c r="BU99" s="126">
        <f t="shared" si="1352"/>
        <v>53653500</v>
      </c>
      <c r="BV99" s="126">
        <f t="shared" si="1352"/>
        <v>53653500</v>
      </c>
      <c r="BW99" s="126">
        <f t="shared" ref="BW99:EH99" si="1353">SUM(BW95:BW98)</f>
        <v>53653500</v>
      </c>
      <c r="BX99" s="126">
        <f t="shared" si="1353"/>
        <v>53653500</v>
      </c>
      <c r="BY99" s="126">
        <f t="shared" si="1353"/>
        <v>53653500</v>
      </c>
      <c r="BZ99" s="126">
        <f t="shared" si="1353"/>
        <v>53653500</v>
      </c>
      <c r="CA99" s="126">
        <f t="shared" si="1353"/>
        <v>53653500</v>
      </c>
      <c r="CB99" s="126">
        <f t="shared" si="1353"/>
        <v>53653500</v>
      </c>
      <c r="CC99" s="126">
        <f t="shared" si="1353"/>
        <v>53653500</v>
      </c>
      <c r="CD99" s="126">
        <f t="shared" si="1353"/>
        <v>53653500</v>
      </c>
      <c r="CE99" s="126">
        <f t="shared" si="1353"/>
        <v>53653500</v>
      </c>
      <c r="CF99" s="126">
        <f t="shared" si="1353"/>
        <v>53653500</v>
      </c>
      <c r="CG99" s="126">
        <f t="shared" si="1353"/>
        <v>53653500</v>
      </c>
      <c r="CH99" s="126">
        <f t="shared" si="1353"/>
        <v>53653500</v>
      </c>
      <c r="CI99" s="126">
        <f t="shared" si="1353"/>
        <v>53653500</v>
      </c>
      <c r="CJ99" s="126">
        <f t="shared" si="1353"/>
        <v>53653500</v>
      </c>
      <c r="CK99" s="126">
        <f t="shared" si="1353"/>
        <v>53653500</v>
      </c>
      <c r="CL99" s="126">
        <f t="shared" si="1353"/>
        <v>53653500</v>
      </c>
      <c r="CM99" s="126">
        <f t="shared" si="1353"/>
        <v>53653500</v>
      </c>
      <c r="CN99" s="126">
        <f t="shared" si="1353"/>
        <v>53653500</v>
      </c>
      <c r="CO99" s="126">
        <f t="shared" si="1353"/>
        <v>53653500</v>
      </c>
      <c r="CP99" s="126">
        <f t="shared" si="1353"/>
        <v>53653500</v>
      </c>
      <c r="CQ99" s="126">
        <f t="shared" si="1353"/>
        <v>53653500</v>
      </c>
      <c r="CR99" s="126">
        <f t="shared" si="1353"/>
        <v>53653500</v>
      </c>
      <c r="CS99" s="126">
        <f t="shared" si="1353"/>
        <v>53653500</v>
      </c>
      <c r="CT99" s="126">
        <f t="shared" si="1353"/>
        <v>53653500</v>
      </c>
      <c r="CU99" s="126">
        <f t="shared" si="1353"/>
        <v>53653500</v>
      </c>
      <c r="CV99" s="126">
        <f t="shared" si="1353"/>
        <v>53653500</v>
      </c>
      <c r="CW99" s="126">
        <f t="shared" si="1353"/>
        <v>53653500</v>
      </c>
      <c r="CX99" s="126">
        <f t="shared" si="1353"/>
        <v>53653500</v>
      </c>
      <c r="CY99" s="126">
        <f t="shared" si="1353"/>
        <v>53653500</v>
      </c>
      <c r="CZ99" s="126">
        <f t="shared" si="1353"/>
        <v>53653500</v>
      </c>
      <c r="DA99" s="126">
        <f t="shared" si="1353"/>
        <v>53653500</v>
      </c>
      <c r="DB99" s="126">
        <f t="shared" si="1353"/>
        <v>53653500</v>
      </c>
      <c r="DC99" s="126">
        <f t="shared" si="1353"/>
        <v>53653500</v>
      </c>
      <c r="DD99" s="126">
        <f t="shared" si="1353"/>
        <v>53653500</v>
      </c>
      <c r="DE99" s="126">
        <f t="shared" si="1353"/>
        <v>53653500</v>
      </c>
      <c r="DF99" s="126">
        <f t="shared" si="1353"/>
        <v>53653500</v>
      </c>
      <c r="DG99" s="126">
        <f t="shared" si="1353"/>
        <v>53653500</v>
      </c>
      <c r="DH99" s="126">
        <f t="shared" si="1353"/>
        <v>53653500</v>
      </c>
      <c r="DI99" s="126">
        <f t="shared" si="1353"/>
        <v>53653500</v>
      </c>
      <c r="DJ99" s="126">
        <f t="shared" si="1353"/>
        <v>53653500</v>
      </c>
      <c r="DK99" s="126">
        <f t="shared" si="1353"/>
        <v>53653500</v>
      </c>
      <c r="DL99" s="126">
        <f t="shared" si="1353"/>
        <v>53653500</v>
      </c>
      <c r="DM99" s="126">
        <f t="shared" si="1353"/>
        <v>53653500</v>
      </c>
      <c r="DN99" s="126">
        <f t="shared" si="1353"/>
        <v>53653500</v>
      </c>
      <c r="DO99" s="126">
        <f t="shared" si="1353"/>
        <v>53653500</v>
      </c>
      <c r="DP99" s="126">
        <f t="shared" si="1353"/>
        <v>53653500</v>
      </c>
      <c r="DQ99" s="126">
        <f t="shared" si="1353"/>
        <v>53653500</v>
      </c>
      <c r="DR99" s="126">
        <f t="shared" si="1353"/>
        <v>53653500</v>
      </c>
      <c r="DS99" s="126">
        <f t="shared" si="1353"/>
        <v>53653500</v>
      </c>
      <c r="DT99" s="126">
        <f t="shared" si="1353"/>
        <v>53653500</v>
      </c>
      <c r="DU99" s="126">
        <f t="shared" si="1353"/>
        <v>53653500</v>
      </c>
      <c r="DV99" s="126">
        <f t="shared" si="1353"/>
        <v>53653500</v>
      </c>
      <c r="DW99" s="126">
        <f t="shared" si="1353"/>
        <v>53653500</v>
      </c>
      <c r="DX99" s="126">
        <f t="shared" si="1353"/>
        <v>53653500</v>
      </c>
      <c r="DY99" s="126">
        <f t="shared" si="1353"/>
        <v>53653500</v>
      </c>
      <c r="DZ99" s="126">
        <f t="shared" si="1353"/>
        <v>53653500</v>
      </c>
      <c r="EA99" s="126">
        <f t="shared" si="1353"/>
        <v>53653500</v>
      </c>
      <c r="EB99" s="126">
        <f t="shared" si="1353"/>
        <v>53653500</v>
      </c>
      <c r="EC99" s="126">
        <f t="shared" si="1353"/>
        <v>53653500</v>
      </c>
      <c r="ED99" s="126">
        <f t="shared" si="1353"/>
        <v>53653500</v>
      </c>
      <c r="EE99" s="126">
        <f t="shared" si="1353"/>
        <v>53653500</v>
      </c>
      <c r="EF99" s="126">
        <f t="shared" si="1353"/>
        <v>53653500</v>
      </c>
      <c r="EG99" s="126">
        <f t="shared" si="1353"/>
        <v>53653500</v>
      </c>
      <c r="EH99" s="126">
        <f t="shared" si="1353"/>
        <v>53653500</v>
      </c>
      <c r="EI99" s="126">
        <f t="shared" ref="EI99:EK99" si="1354">SUM(EI95:EI98)</f>
        <v>53653500</v>
      </c>
      <c r="EJ99" s="126">
        <f t="shared" si="1354"/>
        <v>53653500</v>
      </c>
      <c r="EK99" s="126">
        <f t="shared" si="1354"/>
        <v>53653500</v>
      </c>
      <c r="EM99" s="127">
        <f>SUM(EM95:EM98)</f>
        <v>51816000</v>
      </c>
      <c r="EN99" s="127">
        <f t="shared" ref="EN99:EX99" si="1355">SUM(EN95:EN98)</f>
        <v>52734750</v>
      </c>
      <c r="EO99" s="127">
        <f t="shared" si="1355"/>
        <v>53522250</v>
      </c>
      <c r="EP99" s="127">
        <f t="shared" si="1355"/>
        <v>53653500</v>
      </c>
      <c r="EQ99" s="127">
        <f t="shared" si="1355"/>
        <v>53653500</v>
      </c>
      <c r="ER99" s="127">
        <f t="shared" si="1355"/>
        <v>53653500</v>
      </c>
      <c r="ES99" s="127">
        <f t="shared" si="1355"/>
        <v>53653500</v>
      </c>
      <c r="ET99" s="127">
        <f t="shared" si="1355"/>
        <v>53653500</v>
      </c>
      <c r="EU99" s="127">
        <f t="shared" si="1355"/>
        <v>53653500</v>
      </c>
      <c r="EV99" s="127">
        <f t="shared" si="1355"/>
        <v>53653500</v>
      </c>
      <c r="EW99" s="127">
        <f t="shared" si="1355"/>
        <v>53653500</v>
      </c>
      <c r="EX99" s="127">
        <f t="shared" si="1355"/>
        <v>53653500</v>
      </c>
    </row>
    <row r="101" spans="2:154" x14ac:dyDescent="0.3">
      <c r="B101" s="132" t="s">
        <v>162</v>
      </c>
    </row>
    <row r="102" spans="2:154" x14ac:dyDescent="0.3">
      <c r="B102" s="112" t="s">
        <v>163</v>
      </c>
      <c r="E102" s="110">
        <f>I102</f>
        <v>16116000</v>
      </c>
      <c r="F102" s="110">
        <f t="shared" ref="F102:F104" si="1356">_xlfn.MAXIFS(I102:EK102,$I$6:$EK$6,"&lt;="&amp;$C$5)</f>
        <v>16204470.990091054</v>
      </c>
      <c r="I102" s="124">
        <f>-SUMIF($I$86:I86,"&lt;0")</f>
        <v>16116000</v>
      </c>
      <c r="J102" s="110">
        <f>-SUMIF($I$86:J86,"&lt;0")</f>
        <v>16116000</v>
      </c>
      <c r="K102" s="110">
        <f>-SUMIF($I$86:K86,"&lt;0")</f>
        <v>16116000</v>
      </c>
      <c r="L102" s="110">
        <f>-SUMIF($I$86:L86,"&lt;0")</f>
        <v>16142153.960184429</v>
      </c>
      <c r="M102" s="110">
        <f>-SUMIF($I$86:M86,"&lt;0")</f>
        <v>16162572.648530487</v>
      </c>
      <c r="N102" s="110">
        <f>-SUMIF($I$86:N86,"&lt;0")</f>
        <v>16186422.299229955</v>
      </c>
      <c r="O102" s="110">
        <f>-SUMIF($I$86:O86,"&lt;0")</f>
        <v>16204470.990091054</v>
      </c>
      <c r="P102" s="110">
        <f>-SUMIF($I$86:P86,"&lt;0")</f>
        <v>16204470.990091054</v>
      </c>
      <c r="Q102" s="110">
        <f>-SUMIF($I$86:Q86,"&lt;0")</f>
        <v>16204470.990091054</v>
      </c>
      <c r="R102" s="110">
        <f>-SUMIF($I$86:R86,"&lt;0")</f>
        <v>16204470.990091054</v>
      </c>
      <c r="S102" s="110">
        <f>-SUMIF($I$86:S86,"&lt;0")</f>
        <v>16204470.990091054</v>
      </c>
      <c r="T102" s="110">
        <f>-SUMIF($I$86:T86,"&lt;0")</f>
        <v>16204470.990091054</v>
      </c>
      <c r="U102" s="110">
        <f>-SUMIF($I$86:U86,"&lt;0")</f>
        <v>16204470.990091054</v>
      </c>
      <c r="V102" s="110">
        <f>-SUMIF($I$86:V86,"&lt;0")</f>
        <v>16204470.990091054</v>
      </c>
      <c r="W102" s="110">
        <f>-SUMIF($I$86:W86,"&lt;0")</f>
        <v>16204470.990091054</v>
      </c>
      <c r="X102" s="110">
        <f>-SUMIF($I$86:X86,"&lt;0")</f>
        <v>16204470.990091054</v>
      </c>
      <c r="Y102" s="110">
        <f>-SUMIF($I$86:Y86,"&lt;0")</f>
        <v>16204470.990091054</v>
      </c>
      <c r="Z102" s="110">
        <f>-SUMIF($I$86:Z86,"&lt;0")</f>
        <v>16204470.990091054</v>
      </c>
      <c r="AA102" s="110">
        <f>-SUMIF($I$86:AA86,"&lt;0")</f>
        <v>16204470.990091054</v>
      </c>
      <c r="AB102" s="110">
        <f>-SUMIF($I$86:AB86,"&lt;0")</f>
        <v>16204470.990091054</v>
      </c>
      <c r="AC102" s="110">
        <f>-SUMIF($I$86:AC86,"&lt;0")</f>
        <v>16204470.990091054</v>
      </c>
      <c r="AD102" s="110">
        <f>-SUMIF($I$86:AD86,"&lt;0")</f>
        <v>16204470.990091054</v>
      </c>
      <c r="AE102" s="110">
        <f>-SUMIF($I$86:AE86,"&lt;0")</f>
        <v>16204470.990091054</v>
      </c>
      <c r="AF102" s="110">
        <f>-SUMIF($I$86:AF86,"&lt;0")</f>
        <v>16204470.990091054</v>
      </c>
      <c r="AG102" s="110">
        <f>-SUMIF($I$86:AG86,"&lt;0")</f>
        <v>16204470.990091054</v>
      </c>
      <c r="AH102" s="110">
        <f>-SUMIF($I$86:AH86,"&lt;0")</f>
        <v>16204470.990091054</v>
      </c>
      <c r="AI102" s="110">
        <f>-SUMIF($I$86:AI86,"&lt;0")</f>
        <v>16204470.990091054</v>
      </c>
      <c r="AJ102" s="110">
        <f>-SUMIF($I$86:AJ86,"&lt;0")</f>
        <v>16204470.990091054</v>
      </c>
      <c r="AK102" s="110">
        <f>-SUMIF($I$86:AK86,"&lt;0")</f>
        <v>16204470.990091054</v>
      </c>
      <c r="AL102" s="110">
        <f>-SUMIF($I$86:AL86,"&lt;0")</f>
        <v>16204470.990091054</v>
      </c>
      <c r="AM102" s="110">
        <f>-SUMIF($I$86:AM86,"&lt;0")</f>
        <v>16204470.990091054</v>
      </c>
      <c r="AN102" s="110">
        <f>-SUMIF($I$86:AN86,"&lt;0")</f>
        <v>16204470.990091054</v>
      </c>
      <c r="AO102" s="110">
        <f>-SUMIF($I$86:AO86,"&lt;0")</f>
        <v>16204470.990091054</v>
      </c>
      <c r="AP102" s="110">
        <f>-SUMIF($I$86:AP86,"&lt;0")</f>
        <v>16204470.990091054</v>
      </c>
      <c r="AQ102" s="110">
        <f>-SUMIF($I$86:AQ86,"&lt;0")</f>
        <v>16204470.990091054</v>
      </c>
      <c r="AR102" s="110">
        <f>-SUMIF($I$86:AR86,"&lt;0")</f>
        <v>16204470.990091054</v>
      </c>
      <c r="AS102" s="110">
        <f>-SUMIF($I$86:AS86,"&lt;0")</f>
        <v>16204470.990091054</v>
      </c>
      <c r="AT102" s="110">
        <f>-SUMIF($I$86:AT86,"&lt;0")</f>
        <v>16204470.990091054</v>
      </c>
      <c r="AU102" s="110">
        <f>-SUMIF($I$86:AU86,"&lt;0")</f>
        <v>16204470.990091054</v>
      </c>
      <c r="AV102" s="110">
        <f>-SUMIF($I$86:AV86,"&lt;0")</f>
        <v>16204470.990091054</v>
      </c>
      <c r="AW102" s="110">
        <f>-SUMIF($I$86:AW86,"&lt;0")</f>
        <v>16204470.990091054</v>
      </c>
      <c r="AX102" s="110">
        <f>-SUMIF($I$86:AX86,"&lt;0")</f>
        <v>16204470.990091054</v>
      </c>
      <c r="AY102" s="110">
        <f>-SUMIF($I$86:AY86,"&lt;0")</f>
        <v>16204470.990091054</v>
      </c>
      <c r="AZ102" s="110">
        <f>-SUMIF($I$86:AZ86,"&lt;0")</f>
        <v>16204470.990091054</v>
      </c>
      <c r="BA102" s="110">
        <f>-SUMIF($I$86:BA86,"&lt;0")</f>
        <v>16204470.990091054</v>
      </c>
      <c r="BB102" s="110">
        <f>-SUMIF($I$86:BB86,"&lt;0")</f>
        <v>16204470.990091054</v>
      </c>
      <c r="BC102" s="110">
        <f>-SUMIF($I$86:BC86,"&lt;0")</f>
        <v>16204470.990091054</v>
      </c>
      <c r="BD102" s="110">
        <f>-SUMIF($I$86:BD86,"&lt;0")</f>
        <v>16204470.990091054</v>
      </c>
      <c r="BE102" s="110">
        <f>-SUMIF($I$86:BE86,"&lt;0")</f>
        <v>16204470.990091054</v>
      </c>
      <c r="BF102" s="110">
        <f>-SUMIF($I$86:BF86,"&lt;0")</f>
        <v>16204470.990091054</v>
      </c>
      <c r="BG102" s="110">
        <f>-SUMIF($I$86:BG86,"&lt;0")</f>
        <v>16204470.990091054</v>
      </c>
      <c r="BH102" s="110">
        <f>-SUMIF($I$86:BH86,"&lt;0")</f>
        <v>16204470.990091054</v>
      </c>
      <c r="BI102" s="110">
        <f>-SUMIF($I$86:BI86,"&lt;0")</f>
        <v>16204470.990091054</v>
      </c>
      <c r="BJ102" s="110">
        <f>-SUMIF($I$86:BJ86,"&lt;0")</f>
        <v>16204470.990091054</v>
      </c>
      <c r="BK102" s="110">
        <f>-SUMIF($I$86:BK86,"&lt;0")</f>
        <v>16204470.990091054</v>
      </c>
      <c r="BL102" s="110">
        <f>-SUMIF($I$86:BL86,"&lt;0")</f>
        <v>16204470.990091054</v>
      </c>
      <c r="BM102" s="110">
        <f>-SUMIF($I$86:BM86,"&lt;0")</f>
        <v>16204470.990091054</v>
      </c>
      <c r="BN102" s="110">
        <f>-SUMIF($I$86:BN86,"&lt;0")</f>
        <v>16204470.990091054</v>
      </c>
      <c r="BO102" s="110">
        <f>-SUMIF($I$86:BO86,"&lt;0")</f>
        <v>16204470.990091054</v>
      </c>
      <c r="BP102" s="110">
        <f>-SUMIF($I$86:BP86,"&lt;0")</f>
        <v>16204470.990091054</v>
      </c>
      <c r="BQ102" s="110">
        <f>-SUMIF($I$86:BQ86,"&lt;0")</f>
        <v>16204470.990091054</v>
      </c>
      <c r="BR102" s="110">
        <f>-SUMIF($I$86:BR86,"&lt;0")</f>
        <v>16204470.990091054</v>
      </c>
      <c r="BS102" s="110">
        <f>-SUMIF($I$86:BS86,"&lt;0")</f>
        <v>16204470.990091054</v>
      </c>
      <c r="BT102" s="110">
        <f>-SUMIF($I$86:BT86,"&lt;0")</f>
        <v>16204470.990091054</v>
      </c>
      <c r="BU102" s="110">
        <f>-SUMIF($I$86:BU86,"&lt;0")</f>
        <v>16204470.990091054</v>
      </c>
      <c r="BV102" s="110">
        <f>-SUMIF($I$86:BV86,"&lt;0")</f>
        <v>16204470.990091054</v>
      </c>
      <c r="BW102" s="110">
        <f>-SUMIF($I$86:BW86,"&lt;0")</f>
        <v>16204470.990091054</v>
      </c>
      <c r="BX102" s="110">
        <f>-SUMIF($I$86:BX86,"&lt;0")</f>
        <v>16204470.990091054</v>
      </c>
      <c r="BY102" s="110">
        <f>-SUMIF($I$86:BY86,"&lt;0")</f>
        <v>16204470.990091054</v>
      </c>
      <c r="BZ102" s="110">
        <f>-SUMIF($I$86:BZ86,"&lt;0")</f>
        <v>16204470.990091054</v>
      </c>
      <c r="CA102" s="110">
        <f>-SUMIF($I$86:CA86,"&lt;0")</f>
        <v>16204470.990091054</v>
      </c>
      <c r="CB102" s="110">
        <f>-SUMIF($I$86:CB86,"&lt;0")</f>
        <v>16204470.990091054</v>
      </c>
      <c r="CC102" s="110">
        <f>-SUMIF($I$86:CC86,"&lt;0")</f>
        <v>16204470.990091054</v>
      </c>
      <c r="CD102" s="110">
        <f>-SUMIF($I$86:CD86,"&lt;0")</f>
        <v>16204470.990091054</v>
      </c>
      <c r="CE102" s="110">
        <f>-SUMIF($I$86:CE86,"&lt;0")</f>
        <v>16204470.990091054</v>
      </c>
      <c r="CF102" s="110">
        <f>-SUMIF($I$86:CF86,"&lt;0")</f>
        <v>16204470.990091054</v>
      </c>
      <c r="CG102" s="110">
        <f>-SUMIF($I$86:CG86,"&lt;0")</f>
        <v>16204470.990091054</v>
      </c>
      <c r="CH102" s="110">
        <f>-SUMIF($I$86:CH86,"&lt;0")</f>
        <v>16204470.990091054</v>
      </c>
      <c r="CI102" s="110">
        <f>-SUMIF($I$86:CI86,"&lt;0")</f>
        <v>16204470.990091054</v>
      </c>
      <c r="CJ102" s="110">
        <f>-SUMIF($I$86:CJ86,"&lt;0")</f>
        <v>16204470.990091054</v>
      </c>
      <c r="CK102" s="110">
        <f>-SUMIF($I$86:CK86,"&lt;0")</f>
        <v>16204470.990091054</v>
      </c>
      <c r="CL102" s="110">
        <f>-SUMIF($I$86:CL86,"&lt;0")</f>
        <v>16204470.990091054</v>
      </c>
      <c r="CM102" s="110">
        <f>-SUMIF($I$86:CM86,"&lt;0")</f>
        <v>16204470.990091054</v>
      </c>
      <c r="CN102" s="110">
        <f>-SUMIF($I$86:CN86,"&lt;0")</f>
        <v>16204470.990091054</v>
      </c>
      <c r="CO102" s="110">
        <f>-SUMIF($I$86:CO86,"&lt;0")</f>
        <v>16204470.990091054</v>
      </c>
      <c r="CP102" s="110">
        <f>-SUMIF($I$86:CP86,"&lt;0")</f>
        <v>16204470.990091054</v>
      </c>
      <c r="CQ102" s="110">
        <f>-SUMIF($I$86:CQ86,"&lt;0")</f>
        <v>16204470.990091054</v>
      </c>
      <c r="CR102" s="110">
        <f>-SUMIF($I$86:CR86,"&lt;0")</f>
        <v>16204470.990091054</v>
      </c>
      <c r="CS102" s="110">
        <f>-SUMIF($I$86:CS86,"&lt;0")</f>
        <v>16204470.990091054</v>
      </c>
      <c r="CT102" s="110">
        <f>-SUMIF($I$86:CT86,"&lt;0")</f>
        <v>16204470.990091054</v>
      </c>
      <c r="CU102" s="110">
        <f>-SUMIF($I$86:CU86,"&lt;0")</f>
        <v>16204470.990091054</v>
      </c>
      <c r="CV102" s="110">
        <f>-SUMIF($I$86:CV86,"&lt;0")</f>
        <v>16204470.990091054</v>
      </c>
      <c r="CW102" s="110">
        <f>-SUMIF($I$86:CW86,"&lt;0")</f>
        <v>16204470.990091054</v>
      </c>
      <c r="CX102" s="110">
        <f>-SUMIF($I$86:CX86,"&lt;0")</f>
        <v>16204470.990091054</v>
      </c>
      <c r="CY102" s="110">
        <f>-SUMIF($I$86:CY86,"&lt;0")</f>
        <v>16204470.990091054</v>
      </c>
      <c r="CZ102" s="110">
        <f>-SUMIF($I$86:CZ86,"&lt;0")</f>
        <v>16204470.990091054</v>
      </c>
      <c r="DA102" s="110">
        <f>-SUMIF($I$86:DA86,"&lt;0")</f>
        <v>16204470.990091054</v>
      </c>
      <c r="DB102" s="110">
        <f>-SUMIF($I$86:DB86,"&lt;0")</f>
        <v>16204470.990091054</v>
      </c>
      <c r="DC102" s="110">
        <f>-SUMIF($I$86:DC86,"&lt;0")</f>
        <v>16204470.990091054</v>
      </c>
      <c r="DD102" s="110">
        <f>-SUMIF($I$86:DD86,"&lt;0")</f>
        <v>16204470.990091054</v>
      </c>
      <c r="DE102" s="110">
        <f>-SUMIF($I$86:DE86,"&lt;0")</f>
        <v>16204470.990091054</v>
      </c>
      <c r="DF102" s="110">
        <f>-SUMIF($I$86:DF86,"&lt;0")</f>
        <v>16204470.990091054</v>
      </c>
      <c r="DG102" s="110">
        <f>-SUMIF($I$86:DG86,"&lt;0")</f>
        <v>16204470.990091054</v>
      </c>
      <c r="DH102" s="110">
        <f>-SUMIF($I$86:DH86,"&lt;0")</f>
        <v>16204470.990091054</v>
      </c>
      <c r="DI102" s="110">
        <f>-SUMIF($I$86:DI86,"&lt;0")</f>
        <v>16204470.990091054</v>
      </c>
      <c r="DJ102" s="110">
        <f>-SUMIF($I$86:DJ86,"&lt;0")</f>
        <v>16204470.990091054</v>
      </c>
      <c r="DK102" s="110">
        <f>-SUMIF($I$86:DK86,"&lt;0")</f>
        <v>16204470.990091054</v>
      </c>
      <c r="DL102" s="110">
        <f>-SUMIF($I$86:DL86,"&lt;0")</f>
        <v>16204470.990091054</v>
      </c>
      <c r="DM102" s="110">
        <f>-SUMIF($I$86:DM86,"&lt;0")</f>
        <v>16204470.990091054</v>
      </c>
      <c r="DN102" s="110">
        <f>-SUMIF($I$86:DN86,"&lt;0")</f>
        <v>16204470.990091054</v>
      </c>
      <c r="DO102" s="110">
        <f>-SUMIF($I$86:DO86,"&lt;0")</f>
        <v>16204470.990091054</v>
      </c>
      <c r="DP102" s="110">
        <f>-SUMIF($I$86:DP86,"&lt;0")</f>
        <v>16204470.990091054</v>
      </c>
      <c r="DQ102" s="110">
        <f>-SUMIF($I$86:DQ86,"&lt;0")</f>
        <v>16204470.990091054</v>
      </c>
      <c r="DR102" s="110">
        <f>-SUMIF($I$86:DR86,"&lt;0")</f>
        <v>16204470.990091054</v>
      </c>
      <c r="DS102" s="110">
        <f>-SUMIF($I$86:DS86,"&lt;0")</f>
        <v>16204470.990091054</v>
      </c>
      <c r="DT102" s="110">
        <f>-SUMIF($I$86:DT86,"&lt;0")</f>
        <v>16204470.990091054</v>
      </c>
      <c r="DU102" s="110">
        <f>-SUMIF($I$86:DU86,"&lt;0")</f>
        <v>16204470.990091054</v>
      </c>
      <c r="DV102" s="110">
        <f>-SUMIF($I$86:DV86,"&lt;0")</f>
        <v>16204470.990091054</v>
      </c>
      <c r="DW102" s="110">
        <f>-SUMIF($I$86:DW86,"&lt;0")</f>
        <v>16204470.990091054</v>
      </c>
      <c r="DX102" s="110">
        <f>-SUMIF($I$86:DX86,"&lt;0")</f>
        <v>16204470.990091054</v>
      </c>
      <c r="DY102" s="110">
        <f>-SUMIF($I$86:DY86,"&lt;0")</f>
        <v>16204470.990091054</v>
      </c>
      <c r="DZ102" s="110">
        <f>-SUMIF($I$86:DZ86,"&lt;0")</f>
        <v>16204470.990091054</v>
      </c>
      <c r="EA102" s="110">
        <f>-SUMIF($I$86:EA86,"&lt;0")</f>
        <v>16204470.990091054</v>
      </c>
      <c r="EB102" s="110">
        <f>-SUMIF($I$86:EB86,"&lt;0")</f>
        <v>16204470.990091054</v>
      </c>
      <c r="EC102" s="110">
        <f>-SUMIF($I$86:EC86,"&lt;0")</f>
        <v>16204470.990091054</v>
      </c>
      <c r="ED102" s="110">
        <f>-SUMIF($I$86:ED86,"&lt;0")</f>
        <v>16204470.990091054</v>
      </c>
      <c r="EE102" s="110">
        <f>-SUMIF($I$86:EE86,"&lt;0")</f>
        <v>16204470.990091054</v>
      </c>
      <c r="EF102" s="110">
        <f>-SUMIF($I$86:EF86,"&lt;0")</f>
        <v>16204470.990091054</v>
      </c>
      <c r="EG102" s="110">
        <f>-SUMIF($I$86:EG86,"&lt;0")</f>
        <v>16204470.990091054</v>
      </c>
      <c r="EH102" s="110">
        <f>-SUMIF($I$86:EH86,"&lt;0")</f>
        <v>16204470.990091054</v>
      </c>
      <c r="EI102" s="110">
        <f>-SUMIF($I$86:EI86,"&lt;0")</f>
        <v>16204470.990091054</v>
      </c>
      <c r="EJ102" s="110">
        <f>-SUMIF($I$86:EJ86,"&lt;0")</f>
        <v>16204470.990091054</v>
      </c>
      <c r="EK102" s="110">
        <f>-SUMIF($I$86:EK86,"&lt;0")</f>
        <v>16204470.990091054</v>
      </c>
      <c r="EM102" s="109">
        <f t="shared" ref="EM102:EX104" si="1357">SUMIF($I$6:$EK$6,EM$6,$I102:$EK102)</f>
        <v>16116000</v>
      </c>
      <c r="EN102" s="109">
        <f t="shared" si="1357"/>
        <v>16204470.990091054</v>
      </c>
      <c r="EO102" s="109">
        <f t="shared" si="1357"/>
        <v>16204470.990091054</v>
      </c>
      <c r="EP102" s="109">
        <f t="shared" si="1357"/>
        <v>16204470.990091054</v>
      </c>
      <c r="EQ102" s="109">
        <f t="shared" si="1357"/>
        <v>16204470.990091054</v>
      </c>
      <c r="ER102" s="109">
        <f t="shared" si="1357"/>
        <v>16204470.990091054</v>
      </c>
      <c r="ES102" s="109">
        <f t="shared" si="1357"/>
        <v>16204470.990091054</v>
      </c>
      <c r="ET102" s="109">
        <f t="shared" si="1357"/>
        <v>16204470.990091054</v>
      </c>
      <c r="EU102" s="109">
        <f t="shared" si="1357"/>
        <v>16204470.990091054</v>
      </c>
      <c r="EV102" s="109">
        <f t="shared" si="1357"/>
        <v>16204470.990091054</v>
      </c>
      <c r="EW102" s="109">
        <f t="shared" si="1357"/>
        <v>16204470.990091054</v>
      </c>
      <c r="EX102" s="109">
        <f t="shared" si="1357"/>
        <v>16204470.990091054</v>
      </c>
    </row>
    <row r="103" spans="2:154" x14ac:dyDescent="0.3">
      <c r="B103" s="112" t="s">
        <v>164</v>
      </c>
      <c r="E103" s="110">
        <f t="shared" ref="E103:E104" si="1358">I103</f>
        <v>35700000</v>
      </c>
      <c r="F103" s="110">
        <f t="shared" si="1356"/>
        <v>35700000</v>
      </c>
      <c r="I103" s="125">
        <f>SUM($I$79:I79)</f>
        <v>35700000</v>
      </c>
      <c r="J103" s="125">
        <f>SUM($I$79:J79)</f>
        <v>35700000</v>
      </c>
      <c r="K103" s="125">
        <f>SUM($I$79:K79)</f>
        <v>35700000</v>
      </c>
      <c r="L103" s="125">
        <f>SUM($I$79:L79)</f>
        <v>35700000</v>
      </c>
      <c r="M103" s="125">
        <f>SUM($I$79:M79)</f>
        <v>35700000</v>
      </c>
      <c r="N103" s="125">
        <f>SUM($I$79:N79)</f>
        <v>35700000</v>
      </c>
      <c r="O103" s="125">
        <f>SUM($I$79:O79)</f>
        <v>35700000</v>
      </c>
      <c r="P103" s="125">
        <f>SUM($I$79:P79)</f>
        <v>35700000</v>
      </c>
      <c r="Q103" s="125">
        <f>SUM($I$79:Q79)</f>
        <v>35700000</v>
      </c>
      <c r="R103" s="125">
        <f>SUM($I$79:R79)</f>
        <v>35700000</v>
      </c>
      <c r="S103" s="125">
        <f>SUM($I$79:S79)</f>
        <v>35700000</v>
      </c>
      <c r="T103" s="125">
        <f>SUM($I$79:T79)</f>
        <v>35700000</v>
      </c>
      <c r="U103" s="125">
        <f>SUM($I$79:U79)</f>
        <v>35700000</v>
      </c>
      <c r="V103" s="125">
        <f>SUM($I$79:V79)</f>
        <v>35700000</v>
      </c>
      <c r="W103" s="125">
        <f>SUM($I$79:W79)</f>
        <v>35700000</v>
      </c>
      <c r="X103" s="125">
        <f>SUM($I$79:X79)</f>
        <v>35700000</v>
      </c>
      <c r="Y103" s="125">
        <f>SUM($I$79:Y79)</f>
        <v>35700000</v>
      </c>
      <c r="Z103" s="125">
        <f>SUM($I$79:Z79)</f>
        <v>35700000</v>
      </c>
      <c r="AA103" s="125">
        <f>SUM($I$79:AA79)</f>
        <v>35700000</v>
      </c>
      <c r="AB103" s="125">
        <f>SUM($I$79:AB79)</f>
        <v>35700000</v>
      </c>
      <c r="AC103" s="125">
        <f>SUM($I$79:AC79)</f>
        <v>35700000</v>
      </c>
      <c r="AD103" s="125">
        <f>SUM($I$79:AD79)</f>
        <v>35700000</v>
      </c>
      <c r="AE103" s="125">
        <f>SUM($I$79:AE79)</f>
        <v>35700000</v>
      </c>
      <c r="AF103" s="125">
        <f>SUM($I$79:AF79)</f>
        <v>35700000</v>
      </c>
      <c r="AG103" s="125">
        <f>SUM($I$79:AG79)</f>
        <v>35700000</v>
      </c>
      <c r="AH103" s="125">
        <f>SUM($I$79:AH79)</f>
        <v>35700000</v>
      </c>
      <c r="AI103" s="125">
        <f>SUM($I$79:AI79)</f>
        <v>35700000</v>
      </c>
      <c r="AJ103" s="125">
        <f>SUM($I$79:AJ79)</f>
        <v>35700000</v>
      </c>
      <c r="AK103" s="125">
        <f>SUM($I$79:AK79)</f>
        <v>35700000</v>
      </c>
      <c r="AL103" s="125">
        <f>SUM($I$79:AL79)</f>
        <v>35700000</v>
      </c>
      <c r="AM103" s="125">
        <f>SUM($I$79:AM79)</f>
        <v>35700000</v>
      </c>
      <c r="AN103" s="125">
        <f>SUM($I$79:AN79)</f>
        <v>35700000</v>
      </c>
      <c r="AO103" s="125">
        <f>SUM($I$79:AO79)</f>
        <v>35700000</v>
      </c>
      <c r="AP103" s="125">
        <f>SUM($I$79:AP79)</f>
        <v>35700000</v>
      </c>
      <c r="AQ103" s="125">
        <f>SUM($I$79:AQ79)</f>
        <v>35700000</v>
      </c>
      <c r="AR103" s="125">
        <f>SUM($I$79:AR79)</f>
        <v>35700000</v>
      </c>
      <c r="AS103" s="125">
        <f>SUM($I$79:AS79)</f>
        <v>35700000</v>
      </c>
      <c r="AT103" s="125">
        <f>SUM($I$79:AT79)</f>
        <v>35700000</v>
      </c>
      <c r="AU103" s="125">
        <f>SUM($I$79:AU79)</f>
        <v>35700000</v>
      </c>
      <c r="AV103" s="125">
        <f>SUM($I$79:AV79)</f>
        <v>35700000</v>
      </c>
      <c r="AW103" s="125">
        <f>SUM($I$79:AW79)</f>
        <v>35700000</v>
      </c>
      <c r="AX103" s="125">
        <f>SUM($I$79:AX79)</f>
        <v>35700000</v>
      </c>
      <c r="AY103" s="125">
        <f>SUM($I$79:AY79)</f>
        <v>35700000</v>
      </c>
      <c r="AZ103" s="125">
        <f>SUM($I$79:AZ79)</f>
        <v>35700000</v>
      </c>
      <c r="BA103" s="125">
        <f>SUM($I$79:BA79)</f>
        <v>35700000</v>
      </c>
      <c r="BB103" s="125">
        <f>SUM($I$79:BB79)</f>
        <v>35700000</v>
      </c>
      <c r="BC103" s="125">
        <f>SUM($I$79:BC79)</f>
        <v>35700000</v>
      </c>
      <c r="BD103" s="125">
        <f>SUM($I$79:BD79)</f>
        <v>35700000</v>
      </c>
      <c r="BE103" s="125">
        <f>SUM($I$79:BE79)</f>
        <v>35700000</v>
      </c>
      <c r="BF103" s="125">
        <f>SUM($I$79:BF79)</f>
        <v>35700000</v>
      </c>
      <c r="BG103" s="125">
        <f>SUM($I$79:BG79)</f>
        <v>35700000</v>
      </c>
      <c r="BH103" s="125">
        <f>SUM($I$79:BH79)</f>
        <v>35700000</v>
      </c>
      <c r="BI103" s="125">
        <f>SUM($I$79:BI79)</f>
        <v>35700000</v>
      </c>
      <c r="BJ103" s="125">
        <f>SUM($I$79:BJ79)</f>
        <v>35700000</v>
      </c>
      <c r="BK103" s="125">
        <f>SUM($I$79:BK79)</f>
        <v>35700000</v>
      </c>
      <c r="BL103" s="125">
        <f>SUM($I$79:BL79)</f>
        <v>35700000</v>
      </c>
      <c r="BM103" s="125">
        <f>SUM($I$79:BM79)</f>
        <v>35700000</v>
      </c>
      <c r="BN103" s="125">
        <f>SUM($I$79:BN79)</f>
        <v>35700000</v>
      </c>
      <c r="BO103" s="125">
        <f>SUM($I$79:BO79)</f>
        <v>35700000</v>
      </c>
      <c r="BP103" s="125">
        <f>SUM($I$79:BP79)</f>
        <v>35700000</v>
      </c>
      <c r="BQ103" s="125">
        <f>SUM($I$79:BQ79)</f>
        <v>35700000</v>
      </c>
      <c r="BR103" s="125">
        <f>SUM($I$79:BR79)</f>
        <v>35700000</v>
      </c>
      <c r="BS103" s="125">
        <f>SUM($I$79:BS79)</f>
        <v>35700000</v>
      </c>
      <c r="BT103" s="125">
        <f>SUM($I$79:BT79)</f>
        <v>35700000</v>
      </c>
      <c r="BU103" s="125">
        <f>SUM($I$79:BU79)</f>
        <v>35700000</v>
      </c>
      <c r="BV103" s="125">
        <f>SUM($I$79:BV79)</f>
        <v>35700000</v>
      </c>
      <c r="BW103" s="125">
        <f>SUM($I$79:BW79)</f>
        <v>35700000</v>
      </c>
      <c r="BX103" s="125">
        <f>SUM($I$79:BX79)</f>
        <v>35700000</v>
      </c>
      <c r="BY103" s="125">
        <f>SUM($I$79:BY79)</f>
        <v>35700000</v>
      </c>
      <c r="BZ103" s="125">
        <f>SUM($I$79:BZ79)</f>
        <v>35700000</v>
      </c>
      <c r="CA103" s="125">
        <f>SUM($I$79:CA79)</f>
        <v>35700000</v>
      </c>
      <c r="CB103" s="125">
        <f>SUM($I$79:CB79)</f>
        <v>35700000</v>
      </c>
      <c r="CC103" s="125">
        <f>SUM($I$79:CC79)</f>
        <v>35700000</v>
      </c>
      <c r="CD103" s="125">
        <f>SUM($I$79:CD79)</f>
        <v>35700000</v>
      </c>
      <c r="CE103" s="125">
        <f>SUM($I$79:CE79)</f>
        <v>35700000</v>
      </c>
      <c r="CF103" s="125">
        <f>SUM($I$79:CF79)</f>
        <v>35700000</v>
      </c>
      <c r="CG103" s="125">
        <f>SUM($I$79:CG79)</f>
        <v>35700000</v>
      </c>
      <c r="CH103" s="125">
        <f>SUM($I$79:CH79)</f>
        <v>35700000</v>
      </c>
      <c r="CI103" s="125">
        <f>SUM($I$79:CI79)</f>
        <v>35700000</v>
      </c>
      <c r="CJ103" s="125">
        <f>SUM($I$79:CJ79)</f>
        <v>35700000</v>
      </c>
      <c r="CK103" s="125">
        <f>SUM($I$79:CK79)</f>
        <v>35700000</v>
      </c>
      <c r="CL103" s="125">
        <f>SUM($I$79:CL79)</f>
        <v>35700000</v>
      </c>
      <c r="CM103" s="125">
        <f>SUM($I$79:CM79)</f>
        <v>35700000</v>
      </c>
      <c r="CN103" s="125">
        <f>SUM($I$79:CN79)</f>
        <v>35700000</v>
      </c>
      <c r="CO103" s="125">
        <f>SUM($I$79:CO79)</f>
        <v>35700000</v>
      </c>
      <c r="CP103" s="125">
        <f>SUM($I$79:CP79)</f>
        <v>35700000</v>
      </c>
      <c r="CQ103" s="125">
        <f>SUM($I$79:CQ79)</f>
        <v>35700000</v>
      </c>
      <c r="CR103" s="125">
        <f>SUM($I$79:CR79)</f>
        <v>35700000</v>
      </c>
      <c r="CS103" s="125">
        <f>SUM($I$79:CS79)</f>
        <v>35700000</v>
      </c>
      <c r="CT103" s="125">
        <f>SUM($I$79:CT79)</f>
        <v>35700000</v>
      </c>
      <c r="CU103" s="125">
        <f>SUM($I$79:CU79)</f>
        <v>35700000</v>
      </c>
      <c r="CV103" s="125">
        <f>SUM($I$79:CV79)</f>
        <v>35700000</v>
      </c>
      <c r="CW103" s="125">
        <f>SUM($I$79:CW79)</f>
        <v>35700000</v>
      </c>
      <c r="CX103" s="125">
        <f>SUM($I$79:CX79)</f>
        <v>35700000</v>
      </c>
      <c r="CY103" s="125">
        <f>SUM($I$79:CY79)</f>
        <v>35700000</v>
      </c>
      <c r="CZ103" s="125">
        <f>SUM($I$79:CZ79)</f>
        <v>35700000</v>
      </c>
      <c r="DA103" s="125">
        <f>SUM($I$79:DA79)</f>
        <v>35700000</v>
      </c>
      <c r="DB103" s="125">
        <f>SUM($I$79:DB79)</f>
        <v>35700000</v>
      </c>
      <c r="DC103" s="125">
        <f>SUM($I$79:DC79)</f>
        <v>35700000</v>
      </c>
      <c r="DD103" s="125">
        <f>SUM($I$79:DD79)</f>
        <v>35700000</v>
      </c>
      <c r="DE103" s="125">
        <f>SUM($I$79:DE79)</f>
        <v>35700000</v>
      </c>
      <c r="DF103" s="125">
        <f>SUM($I$79:DF79)</f>
        <v>35700000</v>
      </c>
      <c r="DG103" s="125">
        <f>SUM($I$79:DG79)</f>
        <v>35700000</v>
      </c>
      <c r="DH103" s="125">
        <f>SUM($I$79:DH79)</f>
        <v>35700000</v>
      </c>
      <c r="DI103" s="125">
        <f>SUM($I$79:DI79)</f>
        <v>35700000</v>
      </c>
      <c r="DJ103" s="125">
        <f>SUM($I$79:DJ79)</f>
        <v>35700000</v>
      </c>
      <c r="DK103" s="125">
        <f>SUM($I$79:DK79)</f>
        <v>35700000</v>
      </c>
      <c r="DL103" s="125">
        <f>SUM($I$79:DL79)</f>
        <v>35700000</v>
      </c>
      <c r="DM103" s="125">
        <f>SUM($I$79:DM79)</f>
        <v>35700000</v>
      </c>
      <c r="DN103" s="125">
        <f>SUM($I$79:DN79)</f>
        <v>35700000</v>
      </c>
      <c r="DO103" s="125">
        <f>SUM($I$79:DO79)</f>
        <v>35700000</v>
      </c>
      <c r="DP103" s="125">
        <f>SUM($I$79:DP79)</f>
        <v>35700000</v>
      </c>
      <c r="DQ103" s="125">
        <f>SUM($I$79:DQ79)</f>
        <v>35700000</v>
      </c>
      <c r="DR103" s="125">
        <f>SUM($I$79:DR79)</f>
        <v>35700000</v>
      </c>
      <c r="DS103" s="125">
        <f>SUM($I$79:DS79)</f>
        <v>35700000</v>
      </c>
      <c r="DT103" s="125">
        <f>SUM($I$79:DT79)</f>
        <v>35700000</v>
      </c>
      <c r="DU103" s="125">
        <f>SUM($I$79:DU79)</f>
        <v>35700000</v>
      </c>
      <c r="DV103" s="125">
        <f>SUM($I$79:DV79)</f>
        <v>35700000</v>
      </c>
      <c r="DW103" s="125">
        <f>SUM($I$79:DW79)</f>
        <v>35700000</v>
      </c>
      <c r="DX103" s="125">
        <f>SUM($I$79:DX79)</f>
        <v>35700000</v>
      </c>
      <c r="DY103" s="125">
        <f>SUM($I$79:DY79)</f>
        <v>35700000</v>
      </c>
      <c r="DZ103" s="125">
        <f>SUM($I$79:DZ79)</f>
        <v>35700000</v>
      </c>
      <c r="EA103" s="125">
        <f>SUM($I$79:EA79)</f>
        <v>35700000</v>
      </c>
      <c r="EB103" s="125">
        <f>SUM($I$79:EB79)</f>
        <v>35700000</v>
      </c>
      <c r="EC103" s="125">
        <f>SUM($I$79:EC79)</f>
        <v>35700000</v>
      </c>
      <c r="ED103" s="125">
        <f>SUM($I$79:ED79)</f>
        <v>35700000</v>
      </c>
      <c r="EE103" s="125">
        <f>SUM($I$79:EE79)</f>
        <v>35700000</v>
      </c>
      <c r="EF103" s="125">
        <f>SUM($I$79:EF79)</f>
        <v>35700000</v>
      </c>
      <c r="EG103" s="125">
        <f>SUM($I$79:EG79)</f>
        <v>35700000</v>
      </c>
      <c r="EH103" s="125">
        <f>SUM($I$79:EH79)</f>
        <v>35700000</v>
      </c>
      <c r="EI103" s="125">
        <f>SUM($I$79:EI79)</f>
        <v>35700000</v>
      </c>
      <c r="EJ103" s="125">
        <f>SUM($I$79:EJ79)</f>
        <v>35700000</v>
      </c>
      <c r="EK103" s="125">
        <f>SUM($I$79:EK79)</f>
        <v>35700000</v>
      </c>
      <c r="EM103" s="109">
        <f t="shared" si="1357"/>
        <v>35700000</v>
      </c>
      <c r="EN103" s="109">
        <f t="shared" si="1357"/>
        <v>35700000</v>
      </c>
      <c r="EO103" s="109">
        <f t="shared" si="1357"/>
        <v>35700000</v>
      </c>
      <c r="EP103" s="109">
        <f t="shared" si="1357"/>
        <v>35700000</v>
      </c>
      <c r="EQ103" s="109">
        <f t="shared" si="1357"/>
        <v>35700000</v>
      </c>
      <c r="ER103" s="109">
        <f t="shared" si="1357"/>
        <v>35700000</v>
      </c>
      <c r="ES103" s="109">
        <f t="shared" si="1357"/>
        <v>35700000</v>
      </c>
      <c r="ET103" s="109">
        <f t="shared" si="1357"/>
        <v>35700000</v>
      </c>
      <c r="EU103" s="109">
        <f t="shared" si="1357"/>
        <v>35700000</v>
      </c>
      <c r="EV103" s="109">
        <f t="shared" si="1357"/>
        <v>35700000</v>
      </c>
      <c r="EW103" s="109">
        <f t="shared" si="1357"/>
        <v>35700000</v>
      </c>
      <c r="EX103" s="109">
        <f t="shared" si="1357"/>
        <v>35700000</v>
      </c>
    </row>
    <row r="104" spans="2:154" x14ac:dyDescent="0.3">
      <c r="B104" s="112" t="s">
        <v>165</v>
      </c>
      <c r="E104" s="110">
        <f t="shared" si="1358"/>
        <v>0</v>
      </c>
      <c r="F104" s="110">
        <f t="shared" si="1356"/>
        <v>1749029.0099089444</v>
      </c>
      <c r="I104" s="110">
        <f>I99-SUM(I102:I103)</f>
        <v>0</v>
      </c>
      <c r="J104" s="110">
        <f t="shared" ref="J104" si="1359">J99-SUM(J102:J103)</f>
        <v>43750</v>
      </c>
      <c r="K104" s="110">
        <f t="shared" ref="K104" si="1360">K99-SUM(K102:K103)</f>
        <v>87500</v>
      </c>
      <c r="L104" s="110">
        <f t="shared" ref="L104" si="1361">L99-SUM(L102:L103)</f>
        <v>170721.03981557488</v>
      </c>
      <c r="M104" s="110">
        <f t="shared" ref="M104" si="1362">M99-SUM(M102:M103)</f>
        <v>259677.35146951675</v>
      </c>
      <c r="N104" s="110">
        <f t="shared" ref="N104" si="1363">N99-SUM(N102:N103)</f>
        <v>345202.70077004284</v>
      </c>
      <c r="O104" s="110">
        <f t="shared" ref="O104" si="1364">O99-SUM(O102:O103)</f>
        <v>436529.00990894437</v>
      </c>
      <c r="P104" s="110">
        <f t="shared" ref="P104" si="1365">P99-SUM(P102:P103)</f>
        <v>502154.00990894437</v>
      </c>
      <c r="Q104" s="110">
        <f t="shared" ref="Q104" si="1366">Q99-SUM(Q102:Q103)</f>
        <v>567779.00990894437</v>
      </c>
      <c r="R104" s="110">
        <f t="shared" ref="R104" si="1367">R99-SUM(R102:R103)</f>
        <v>633404.00990894437</v>
      </c>
      <c r="S104" s="110">
        <f t="shared" ref="S104" si="1368">S99-SUM(S102:S103)</f>
        <v>699029.00990894437</v>
      </c>
      <c r="T104" s="110">
        <f t="shared" ref="T104" si="1369">T99-SUM(T102:T103)</f>
        <v>764654.00990894437</v>
      </c>
      <c r="U104" s="110">
        <f t="shared" ref="U104" si="1370">U99-SUM(U102:U103)</f>
        <v>830279.00990894437</v>
      </c>
      <c r="V104" s="110">
        <f t="shared" ref="V104" si="1371">V99-SUM(V102:V103)</f>
        <v>895904.00990894437</v>
      </c>
      <c r="W104" s="110">
        <f t="shared" ref="W104" si="1372">W99-SUM(W102:W103)</f>
        <v>961529.00990894437</v>
      </c>
      <c r="X104" s="110">
        <f t="shared" ref="X104" si="1373">X99-SUM(X102:X103)</f>
        <v>1027154.0099089444</v>
      </c>
      <c r="Y104" s="110">
        <f t="shared" ref="Y104" si="1374">Y99-SUM(Y102:Y103)</f>
        <v>1092779.0099089444</v>
      </c>
      <c r="Z104" s="110">
        <f t="shared" ref="Z104" si="1375">Z99-SUM(Z102:Z103)</f>
        <v>1158404.0099089444</v>
      </c>
      <c r="AA104" s="110">
        <f t="shared" ref="AA104" si="1376">AA99-SUM(AA102:AA103)</f>
        <v>1224029.0099089444</v>
      </c>
      <c r="AB104" s="110">
        <f t="shared" ref="AB104" si="1377">AB99-SUM(AB102:AB103)</f>
        <v>1289654.0099089444</v>
      </c>
      <c r="AC104" s="110">
        <f t="shared" ref="AC104" si="1378">AC99-SUM(AC102:AC103)</f>
        <v>1355279.0099089444</v>
      </c>
      <c r="AD104" s="110">
        <f t="shared" ref="AD104" si="1379">AD99-SUM(AD102:AD103)</f>
        <v>1420904.0099089444</v>
      </c>
      <c r="AE104" s="110">
        <f t="shared" ref="AE104" si="1380">AE99-SUM(AE102:AE103)</f>
        <v>1486529.0099089444</v>
      </c>
      <c r="AF104" s="110">
        <f t="shared" ref="AF104" si="1381">AF99-SUM(AF102:AF103)</f>
        <v>1552154.0099089444</v>
      </c>
      <c r="AG104" s="110">
        <f t="shared" ref="AG104" si="1382">AG99-SUM(AG102:AG103)</f>
        <v>1617779.0099089444</v>
      </c>
      <c r="AH104" s="110">
        <f t="shared" ref="AH104" si="1383">AH99-SUM(AH102:AH103)</f>
        <v>1683404.0099089444</v>
      </c>
      <c r="AI104" s="110">
        <f t="shared" ref="AI104" si="1384">AI99-SUM(AI102:AI103)</f>
        <v>1749029.0099089444</v>
      </c>
      <c r="AJ104" s="110">
        <f t="shared" ref="AJ104" si="1385">AJ99-SUM(AJ102:AJ103)</f>
        <v>1749029.0099089444</v>
      </c>
      <c r="AK104" s="110">
        <f t="shared" ref="AK104" si="1386">AK99-SUM(AK102:AK103)</f>
        <v>1749029.0099089444</v>
      </c>
      <c r="AL104" s="110">
        <f t="shared" ref="AL104" si="1387">AL99-SUM(AL102:AL103)</f>
        <v>1749029.0099089444</v>
      </c>
      <c r="AM104" s="110">
        <f t="shared" ref="AM104" si="1388">AM99-SUM(AM102:AM103)</f>
        <v>1749029.0099089444</v>
      </c>
      <c r="AN104" s="110">
        <f t="shared" ref="AN104" si="1389">AN99-SUM(AN102:AN103)</f>
        <v>1749029.0099089444</v>
      </c>
      <c r="AO104" s="110">
        <f t="shared" ref="AO104" si="1390">AO99-SUM(AO102:AO103)</f>
        <v>1749029.0099089444</v>
      </c>
      <c r="AP104" s="110">
        <f t="shared" ref="AP104" si="1391">AP99-SUM(AP102:AP103)</f>
        <v>1749029.0099089444</v>
      </c>
      <c r="AQ104" s="110">
        <f t="shared" ref="AQ104" si="1392">AQ99-SUM(AQ102:AQ103)</f>
        <v>1749029.0099089444</v>
      </c>
      <c r="AR104" s="110">
        <f t="shared" ref="AR104" si="1393">AR99-SUM(AR102:AR103)</f>
        <v>1749029.0099089444</v>
      </c>
      <c r="AS104" s="110">
        <f t="shared" ref="AS104" si="1394">AS99-SUM(AS102:AS103)</f>
        <v>1749029.0099089444</v>
      </c>
      <c r="AT104" s="110">
        <f t="shared" ref="AT104" si="1395">AT99-SUM(AT102:AT103)</f>
        <v>1749029.0099089444</v>
      </c>
      <c r="AU104" s="110">
        <f t="shared" ref="AU104" si="1396">AU99-SUM(AU102:AU103)</f>
        <v>1749029.0099089444</v>
      </c>
      <c r="AV104" s="110">
        <f t="shared" ref="AV104" si="1397">AV99-SUM(AV102:AV103)</f>
        <v>1749029.0099089444</v>
      </c>
      <c r="AW104" s="110">
        <f t="shared" ref="AW104" si="1398">AW99-SUM(AW102:AW103)</f>
        <v>1749029.0099089444</v>
      </c>
      <c r="AX104" s="110">
        <f t="shared" ref="AX104" si="1399">AX99-SUM(AX102:AX103)</f>
        <v>1749029.0099089444</v>
      </c>
      <c r="AY104" s="110">
        <f t="shared" ref="AY104" si="1400">AY99-SUM(AY102:AY103)</f>
        <v>1749029.0099089444</v>
      </c>
      <c r="AZ104" s="110">
        <f t="shared" ref="AZ104" si="1401">AZ99-SUM(AZ102:AZ103)</f>
        <v>1749029.0099089444</v>
      </c>
      <c r="BA104" s="110">
        <f t="shared" ref="BA104" si="1402">BA99-SUM(BA102:BA103)</f>
        <v>1749029.0099089444</v>
      </c>
      <c r="BB104" s="110">
        <f t="shared" ref="BB104" si="1403">BB99-SUM(BB102:BB103)</f>
        <v>1749029.0099089444</v>
      </c>
      <c r="BC104" s="110">
        <f t="shared" ref="BC104" si="1404">BC99-SUM(BC102:BC103)</f>
        <v>1749029.0099089444</v>
      </c>
      <c r="BD104" s="110">
        <f t="shared" ref="BD104" si="1405">BD99-SUM(BD102:BD103)</f>
        <v>1749029.0099089444</v>
      </c>
      <c r="BE104" s="110">
        <f t="shared" ref="BE104" si="1406">BE99-SUM(BE102:BE103)</f>
        <v>1749029.0099089444</v>
      </c>
      <c r="BF104" s="110">
        <f t="shared" ref="BF104" si="1407">BF99-SUM(BF102:BF103)</f>
        <v>1749029.0099089444</v>
      </c>
      <c r="BG104" s="110">
        <f t="shared" ref="BG104" si="1408">BG99-SUM(BG102:BG103)</f>
        <v>1749029.0099089444</v>
      </c>
      <c r="BH104" s="110">
        <f t="shared" ref="BH104" si="1409">BH99-SUM(BH102:BH103)</f>
        <v>1749029.0099089444</v>
      </c>
      <c r="BI104" s="110">
        <f t="shared" ref="BI104" si="1410">BI99-SUM(BI102:BI103)</f>
        <v>1749029.0099089444</v>
      </c>
      <c r="BJ104" s="110">
        <f t="shared" ref="BJ104" si="1411">BJ99-SUM(BJ102:BJ103)</f>
        <v>1749029.0099089444</v>
      </c>
      <c r="BK104" s="110">
        <f t="shared" ref="BK104" si="1412">BK99-SUM(BK102:BK103)</f>
        <v>1749029.0099089444</v>
      </c>
      <c r="BL104" s="110">
        <f t="shared" ref="BL104" si="1413">BL99-SUM(BL102:BL103)</f>
        <v>1749029.0099089444</v>
      </c>
      <c r="BM104" s="110">
        <f t="shared" ref="BM104" si="1414">BM99-SUM(BM102:BM103)</f>
        <v>1749029.0099089444</v>
      </c>
      <c r="BN104" s="110">
        <f t="shared" ref="BN104" si="1415">BN99-SUM(BN102:BN103)</f>
        <v>1749029.0099089444</v>
      </c>
      <c r="BO104" s="110">
        <f t="shared" ref="BO104" si="1416">BO99-SUM(BO102:BO103)</f>
        <v>1749029.0099089444</v>
      </c>
      <c r="BP104" s="110">
        <f t="shared" ref="BP104" si="1417">BP99-SUM(BP102:BP103)</f>
        <v>1749029.0099089444</v>
      </c>
      <c r="BQ104" s="110">
        <f t="shared" ref="BQ104" si="1418">BQ99-SUM(BQ102:BQ103)</f>
        <v>1749029.0099089444</v>
      </c>
      <c r="BR104" s="110">
        <f t="shared" ref="BR104" si="1419">BR99-SUM(BR102:BR103)</f>
        <v>1749029.0099089444</v>
      </c>
      <c r="BS104" s="110">
        <f t="shared" ref="BS104" si="1420">BS99-SUM(BS102:BS103)</f>
        <v>1749029.0099089444</v>
      </c>
      <c r="BT104" s="110">
        <f t="shared" ref="BT104" si="1421">BT99-SUM(BT102:BT103)</f>
        <v>1749029.0099089444</v>
      </c>
      <c r="BU104" s="110">
        <f t="shared" ref="BU104" si="1422">BU99-SUM(BU102:BU103)</f>
        <v>1749029.0099089444</v>
      </c>
      <c r="BV104" s="110">
        <f t="shared" ref="BV104" si="1423">BV99-SUM(BV102:BV103)</f>
        <v>1749029.0099089444</v>
      </c>
      <c r="BW104" s="110">
        <f t="shared" ref="BW104" si="1424">BW99-SUM(BW102:BW103)</f>
        <v>1749029.0099089444</v>
      </c>
      <c r="BX104" s="110">
        <f t="shared" ref="BX104" si="1425">BX99-SUM(BX102:BX103)</f>
        <v>1749029.0099089444</v>
      </c>
      <c r="BY104" s="110">
        <f t="shared" ref="BY104" si="1426">BY99-SUM(BY102:BY103)</f>
        <v>1749029.0099089444</v>
      </c>
      <c r="BZ104" s="110">
        <f t="shared" ref="BZ104" si="1427">BZ99-SUM(BZ102:BZ103)</f>
        <v>1749029.0099089444</v>
      </c>
      <c r="CA104" s="110">
        <f t="shared" ref="CA104" si="1428">CA99-SUM(CA102:CA103)</f>
        <v>1749029.0099089444</v>
      </c>
      <c r="CB104" s="110">
        <f t="shared" ref="CB104" si="1429">CB99-SUM(CB102:CB103)</f>
        <v>1749029.0099089444</v>
      </c>
      <c r="CC104" s="110">
        <f t="shared" ref="CC104" si="1430">CC99-SUM(CC102:CC103)</f>
        <v>1749029.0099089444</v>
      </c>
      <c r="CD104" s="110">
        <f t="shared" ref="CD104" si="1431">CD99-SUM(CD102:CD103)</f>
        <v>1749029.0099089444</v>
      </c>
      <c r="CE104" s="110">
        <f t="shared" ref="CE104" si="1432">CE99-SUM(CE102:CE103)</f>
        <v>1749029.0099089444</v>
      </c>
      <c r="CF104" s="110">
        <f t="shared" ref="CF104" si="1433">CF99-SUM(CF102:CF103)</f>
        <v>1749029.0099089444</v>
      </c>
      <c r="CG104" s="110">
        <f t="shared" ref="CG104" si="1434">CG99-SUM(CG102:CG103)</f>
        <v>1749029.0099089444</v>
      </c>
      <c r="CH104" s="110">
        <f t="shared" ref="CH104" si="1435">CH99-SUM(CH102:CH103)</f>
        <v>1749029.0099089444</v>
      </c>
      <c r="CI104" s="110">
        <f t="shared" ref="CI104" si="1436">CI99-SUM(CI102:CI103)</f>
        <v>1749029.0099089444</v>
      </c>
      <c r="CJ104" s="110">
        <f t="shared" ref="CJ104" si="1437">CJ99-SUM(CJ102:CJ103)</f>
        <v>1749029.0099089444</v>
      </c>
      <c r="CK104" s="110">
        <f t="shared" ref="CK104" si="1438">CK99-SUM(CK102:CK103)</f>
        <v>1749029.0099089444</v>
      </c>
      <c r="CL104" s="110">
        <f t="shared" ref="CL104" si="1439">CL99-SUM(CL102:CL103)</f>
        <v>1749029.0099089444</v>
      </c>
      <c r="CM104" s="110">
        <f t="shared" ref="CM104" si="1440">CM99-SUM(CM102:CM103)</f>
        <v>1749029.0099089444</v>
      </c>
      <c r="CN104" s="110">
        <f t="shared" ref="CN104" si="1441">CN99-SUM(CN102:CN103)</f>
        <v>1749029.0099089444</v>
      </c>
      <c r="CO104" s="110">
        <f t="shared" ref="CO104" si="1442">CO99-SUM(CO102:CO103)</f>
        <v>1749029.0099089444</v>
      </c>
      <c r="CP104" s="110">
        <f t="shared" ref="CP104" si="1443">CP99-SUM(CP102:CP103)</f>
        <v>1749029.0099089444</v>
      </c>
      <c r="CQ104" s="110">
        <f t="shared" ref="CQ104" si="1444">CQ99-SUM(CQ102:CQ103)</f>
        <v>1749029.0099089444</v>
      </c>
      <c r="CR104" s="110">
        <f t="shared" ref="CR104" si="1445">CR99-SUM(CR102:CR103)</f>
        <v>1749029.0099089444</v>
      </c>
      <c r="CS104" s="110">
        <f t="shared" ref="CS104" si="1446">CS99-SUM(CS102:CS103)</f>
        <v>1749029.0099089444</v>
      </c>
      <c r="CT104" s="110">
        <f t="shared" ref="CT104" si="1447">CT99-SUM(CT102:CT103)</f>
        <v>1749029.0099089444</v>
      </c>
      <c r="CU104" s="110">
        <f t="shared" ref="CU104" si="1448">CU99-SUM(CU102:CU103)</f>
        <v>1749029.0099089444</v>
      </c>
      <c r="CV104" s="110">
        <f t="shared" ref="CV104" si="1449">CV99-SUM(CV102:CV103)</f>
        <v>1749029.0099089444</v>
      </c>
      <c r="CW104" s="110">
        <f t="shared" ref="CW104" si="1450">CW99-SUM(CW102:CW103)</f>
        <v>1749029.0099089444</v>
      </c>
      <c r="CX104" s="110">
        <f t="shared" ref="CX104" si="1451">CX99-SUM(CX102:CX103)</f>
        <v>1749029.0099089444</v>
      </c>
      <c r="CY104" s="110">
        <f t="shared" ref="CY104" si="1452">CY99-SUM(CY102:CY103)</f>
        <v>1749029.0099089444</v>
      </c>
      <c r="CZ104" s="110">
        <f t="shared" ref="CZ104" si="1453">CZ99-SUM(CZ102:CZ103)</f>
        <v>1749029.0099089444</v>
      </c>
      <c r="DA104" s="110">
        <f t="shared" ref="DA104" si="1454">DA99-SUM(DA102:DA103)</f>
        <v>1749029.0099089444</v>
      </c>
      <c r="DB104" s="110">
        <f t="shared" ref="DB104" si="1455">DB99-SUM(DB102:DB103)</f>
        <v>1749029.0099089444</v>
      </c>
      <c r="DC104" s="110">
        <f t="shared" ref="DC104" si="1456">DC99-SUM(DC102:DC103)</f>
        <v>1749029.0099089444</v>
      </c>
      <c r="DD104" s="110">
        <f t="shared" ref="DD104" si="1457">DD99-SUM(DD102:DD103)</f>
        <v>1749029.0099089444</v>
      </c>
      <c r="DE104" s="110">
        <f t="shared" ref="DE104" si="1458">DE99-SUM(DE102:DE103)</f>
        <v>1749029.0099089444</v>
      </c>
      <c r="DF104" s="110">
        <f t="shared" ref="DF104" si="1459">DF99-SUM(DF102:DF103)</f>
        <v>1749029.0099089444</v>
      </c>
      <c r="DG104" s="110">
        <f t="shared" ref="DG104" si="1460">DG99-SUM(DG102:DG103)</f>
        <v>1749029.0099089444</v>
      </c>
      <c r="DH104" s="110">
        <f t="shared" ref="DH104" si="1461">DH99-SUM(DH102:DH103)</f>
        <v>1749029.0099089444</v>
      </c>
      <c r="DI104" s="110">
        <f t="shared" ref="DI104" si="1462">DI99-SUM(DI102:DI103)</f>
        <v>1749029.0099089444</v>
      </c>
      <c r="DJ104" s="110">
        <f t="shared" ref="DJ104" si="1463">DJ99-SUM(DJ102:DJ103)</f>
        <v>1749029.0099089444</v>
      </c>
      <c r="DK104" s="110">
        <f t="shared" ref="DK104" si="1464">DK99-SUM(DK102:DK103)</f>
        <v>1749029.0099089444</v>
      </c>
      <c r="DL104" s="110">
        <f t="shared" ref="DL104" si="1465">DL99-SUM(DL102:DL103)</f>
        <v>1749029.0099089444</v>
      </c>
      <c r="DM104" s="110">
        <f t="shared" ref="DM104" si="1466">DM99-SUM(DM102:DM103)</f>
        <v>1749029.0099089444</v>
      </c>
      <c r="DN104" s="110">
        <f t="shared" ref="DN104" si="1467">DN99-SUM(DN102:DN103)</f>
        <v>1749029.0099089444</v>
      </c>
      <c r="DO104" s="110">
        <f t="shared" ref="DO104" si="1468">DO99-SUM(DO102:DO103)</f>
        <v>1749029.0099089444</v>
      </c>
      <c r="DP104" s="110">
        <f t="shared" ref="DP104" si="1469">DP99-SUM(DP102:DP103)</f>
        <v>1749029.0099089444</v>
      </c>
      <c r="DQ104" s="110">
        <f t="shared" ref="DQ104" si="1470">DQ99-SUM(DQ102:DQ103)</f>
        <v>1749029.0099089444</v>
      </c>
      <c r="DR104" s="110">
        <f t="shared" ref="DR104" si="1471">DR99-SUM(DR102:DR103)</f>
        <v>1749029.0099089444</v>
      </c>
      <c r="DS104" s="110">
        <f t="shared" ref="DS104" si="1472">DS99-SUM(DS102:DS103)</f>
        <v>1749029.0099089444</v>
      </c>
      <c r="DT104" s="110">
        <f t="shared" ref="DT104" si="1473">DT99-SUM(DT102:DT103)</f>
        <v>1749029.0099089444</v>
      </c>
      <c r="DU104" s="110">
        <f t="shared" ref="DU104" si="1474">DU99-SUM(DU102:DU103)</f>
        <v>1749029.0099089444</v>
      </c>
      <c r="DV104" s="110">
        <f t="shared" ref="DV104" si="1475">DV99-SUM(DV102:DV103)</f>
        <v>1749029.0099089444</v>
      </c>
      <c r="DW104" s="110">
        <f t="shared" ref="DW104" si="1476">DW99-SUM(DW102:DW103)</f>
        <v>1749029.0099089444</v>
      </c>
      <c r="DX104" s="110">
        <f t="shared" ref="DX104" si="1477">DX99-SUM(DX102:DX103)</f>
        <v>1749029.0099089444</v>
      </c>
      <c r="DY104" s="110">
        <f t="shared" ref="DY104" si="1478">DY99-SUM(DY102:DY103)</f>
        <v>1749029.0099089444</v>
      </c>
      <c r="DZ104" s="110">
        <f t="shared" ref="DZ104" si="1479">DZ99-SUM(DZ102:DZ103)</f>
        <v>1749029.0099089444</v>
      </c>
      <c r="EA104" s="110">
        <f t="shared" ref="EA104" si="1480">EA99-SUM(EA102:EA103)</f>
        <v>1749029.0099089444</v>
      </c>
      <c r="EB104" s="110">
        <f t="shared" ref="EB104" si="1481">EB99-SUM(EB102:EB103)</f>
        <v>1749029.0099089444</v>
      </c>
      <c r="EC104" s="110">
        <f t="shared" ref="EC104" si="1482">EC99-SUM(EC102:EC103)</f>
        <v>1749029.0099089444</v>
      </c>
      <c r="ED104" s="110">
        <f t="shared" ref="ED104" si="1483">ED99-SUM(ED102:ED103)</f>
        <v>1749029.0099089444</v>
      </c>
      <c r="EE104" s="110">
        <f t="shared" ref="EE104" si="1484">EE99-SUM(EE102:EE103)</f>
        <v>1749029.0099089444</v>
      </c>
      <c r="EF104" s="110">
        <f t="shared" ref="EF104" si="1485">EF99-SUM(EF102:EF103)</f>
        <v>1749029.0099089444</v>
      </c>
      <c r="EG104" s="110">
        <f t="shared" ref="EG104" si="1486">EG99-SUM(EG102:EG103)</f>
        <v>1749029.0099089444</v>
      </c>
      <c r="EH104" s="110">
        <f t="shared" ref="EH104" si="1487">EH99-SUM(EH102:EH103)</f>
        <v>1749029.0099089444</v>
      </c>
      <c r="EI104" s="110">
        <f t="shared" ref="EI104" si="1488">EI99-SUM(EI102:EI103)</f>
        <v>1749029.0099089444</v>
      </c>
      <c r="EJ104" s="110">
        <f t="shared" ref="EJ104" si="1489">EJ99-SUM(EJ102:EJ103)</f>
        <v>1749029.0099089444</v>
      </c>
      <c r="EK104" s="110">
        <f t="shared" ref="EK104" si="1490">EK99-SUM(EK102:EK103)</f>
        <v>1749029.0099089444</v>
      </c>
      <c r="EM104" s="109">
        <f t="shared" si="1357"/>
        <v>0</v>
      </c>
      <c r="EN104" s="109">
        <f t="shared" si="1357"/>
        <v>830279.00990894437</v>
      </c>
      <c r="EO104" s="109">
        <f t="shared" si="1357"/>
        <v>1617779.0099089444</v>
      </c>
      <c r="EP104" s="109">
        <f t="shared" si="1357"/>
        <v>1749029.0099089444</v>
      </c>
      <c r="EQ104" s="109">
        <f t="shared" si="1357"/>
        <v>1749029.0099089444</v>
      </c>
      <c r="ER104" s="109">
        <f t="shared" si="1357"/>
        <v>1749029.0099089444</v>
      </c>
      <c r="ES104" s="109">
        <f t="shared" si="1357"/>
        <v>1749029.0099089444</v>
      </c>
      <c r="ET104" s="109">
        <f t="shared" si="1357"/>
        <v>1749029.0099089444</v>
      </c>
      <c r="EU104" s="109">
        <f t="shared" si="1357"/>
        <v>1749029.0099089444</v>
      </c>
      <c r="EV104" s="109">
        <f t="shared" si="1357"/>
        <v>1749029.0099089444</v>
      </c>
      <c r="EW104" s="109">
        <f t="shared" si="1357"/>
        <v>1749029.0099089444</v>
      </c>
      <c r="EX104" s="109">
        <f t="shared" si="1357"/>
        <v>1749029.0099089444</v>
      </c>
    </row>
    <row r="105" spans="2:154" x14ac:dyDescent="0.3">
      <c r="B105" s="133" t="s">
        <v>166</v>
      </c>
      <c r="E105" s="126">
        <f>SUM(E102:E104)</f>
        <v>51816000</v>
      </c>
      <c r="F105" s="126">
        <f>SUM(F102:F104)</f>
        <v>53653500</v>
      </c>
      <c r="I105" s="126">
        <f>SUM(I102:I104)</f>
        <v>51816000</v>
      </c>
      <c r="J105" s="126">
        <f t="shared" ref="J105" si="1491">SUM(J102:J104)</f>
        <v>51859750</v>
      </c>
      <c r="K105" s="126">
        <f t="shared" ref="K105:BV105" si="1492">SUM(K102:K104)</f>
        <v>51903500</v>
      </c>
      <c r="L105" s="126">
        <f t="shared" si="1492"/>
        <v>52012875</v>
      </c>
      <c r="M105" s="126">
        <f t="shared" si="1492"/>
        <v>52122250</v>
      </c>
      <c r="N105" s="126">
        <f t="shared" si="1492"/>
        <v>52231625</v>
      </c>
      <c r="O105" s="126">
        <f t="shared" si="1492"/>
        <v>52341000</v>
      </c>
      <c r="P105" s="126">
        <f t="shared" si="1492"/>
        <v>52406625</v>
      </c>
      <c r="Q105" s="126">
        <f t="shared" si="1492"/>
        <v>52472250</v>
      </c>
      <c r="R105" s="126">
        <f t="shared" si="1492"/>
        <v>52537875</v>
      </c>
      <c r="S105" s="126">
        <f t="shared" si="1492"/>
        <v>52603500</v>
      </c>
      <c r="T105" s="126">
        <f t="shared" si="1492"/>
        <v>52669125</v>
      </c>
      <c r="U105" s="126">
        <f t="shared" si="1492"/>
        <v>52734750</v>
      </c>
      <c r="V105" s="126">
        <f t="shared" si="1492"/>
        <v>52800375</v>
      </c>
      <c r="W105" s="126">
        <f t="shared" si="1492"/>
        <v>52866000</v>
      </c>
      <c r="X105" s="126">
        <f t="shared" si="1492"/>
        <v>52931625</v>
      </c>
      <c r="Y105" s="126">
        <f t="shared" si="1492"/>
        <v>52997250</v>
      </c>
      <c r="Z105" s="126">
        <f t="shared" si="1492"/>
        <v>53062875</v>
      </c>
      <c r="AA105" s="126">
        <f t="shared" si="1492"/>
        <v>53128500</v>
      </c>
      <c r="AB105" s="126">
        <f t="shared" si="1492"/>
        <v>53194125</v>
      </c>
      <c r="AC105" s="126">
        <f t="shared" si="1492"/>
        <v>53259750</v>
      </c>
      <c r="AD105" s="126">
        <f t="shared" si="1492"/>
        <v>53325375</v>
      </c>
      <c r="AE105" s="126">
        <f t="shared" si="1492"/>
        <v>53391000</v>
      </c>
      <c r="AF105" s="126">
        <f t="shared" si="1492"/>
        <v>53456625</v>
      </c>
      <c r="AG105" s="126">
        <f t="shared" si="1492"/>
        <v>53522250</v>
      </c>
      <c r="AH105" s="126">
        <f t="shared" si="1492"/>
        <v>53587875</v>
      </c>
      <c r="AI105" s="126">
        <f t="shared" si="1492"/>
        <v>53653500</v>
      </c>
      <c r="AJ105" s="126">
        <f t="shared" si="1492"/>
        <v>53653500</v>
      </c>
      <c r="AK105" s="126">
        <f t="shared" si="1492"/>
        <v>53653500</v>
      </c>
      <c r="AL105" s="126">
        <f t="shared" si="1492"/>
        <v>53653500</v>
      </c>
      <c r="AM105" s="126">
        <f t="shared" si="1492"/>
        <v>53653500</v>
      </c>
      <c r="AN105" s="126">
        <f t="shared" si="1492"/>
        <v>53653500</v>
      </c>
      <c r="AO105" s="126">
        <f t="shared" si="1492"/>
        <v>53653500</v>
      </c>
      <c r="AP105" s="126">
        <f t="shared" si="1492"/>
        <v>53653500</v>
      </c>
      <c r="AQ105" s="126">
        <f t="shared" si="1492"/>
        <v>53653500</v>
      </c>
      <c r="AR105" s="126">
        <f t="shared" si="1492"/>
        <v>53653500</v>
      </c>
      <c r="AS105" s="126">
        <f t="shared" si="1492"/>
        <v>53653500</v>
      </c>
      <c r="AT105" s="126">
        <f t="shared" si="1492"/>
        <v>53653500</v>
      </c>
      <c r="AU105" s="126">
        <f t="shared" si="1492"/>
        <v>53653500</v>
      </c>
      <c r="AV105" s="126">
        <f t="shared" si="1492"/>
        <v>53653500</v>
      </c>
      <c r="AW105" s="126">
        <f t="shared" si="1492"/>
        <v>53653500</v>
      </c>
      <c r="AX105" s="126">
        <f t="shared" si="1492"/>
        <v>53653500</v>
      </c>
      <c r="AY105" s="126">
        <f t="shared" si="1492"/>
        <v>53653500</v>
      </c>
      <c r="AZ105" s="126">
        <f t="shared" si="1492"/>
        <v>53653500</v>
      </c>
      <c r="BA105" s="126">
        <f t="shared" si="1492"/>
        <v>53653500</v>
      </c>
      <c r="BB105" s="126">
        <f t="shared" si="1492"/>
        <v>53653500</v>
      </c>
      <c r="BC105" s="126">
        <f t="shared" si="1492"/>
        <v>53653500</v>
      </c>
      <c r="BD105" s="126">
        <f t="shared" si="1492"/>
        <v>53653500</v>
      </c>
      <c r="BE105" s="126">
        <f t="shared" si="1492"/>
        <v>53653500</v>
      </c>
      <c r="BF105" s="126">
        <f t="shared" si="1492"/>
        <v>53653500</v>
      </c>
      <c r="BG105" s="126">
        <f t="shared" si="1492"/>
        <v>53653500</v>
      </c>
      <c r="BH105" s="126">
        <f t="shared" si="1492"/>
        <v>53653500</v>
      </c>
      <c r="BI105" s="126">
        <f t="shared" si="1492"/>
        <v>53653500</v>
      </c>
      <c r="BJ105" s="126">
        <f t="shared" si="1492"/>
        <v>53653500</v>
      </c>
      <c r="BK105" s="126">
        <f t="shared" si="1492"/>
        <v>53653500</v>
      </c>
      <c r="BL105" s="126">
        <f t="shared" si="1492"/>
        <v>53653500</v>
      </c>
      <c r="BM105" s="126">
        <f t="shared" si="1492"/>
        <v>53653500</v>
      </c>
      <c r="BN105" s="126">
        <f t="shared" si="1492"/>
        <v>53653500</v>
      </c>
      <c r="BO105" s="126">
        <f t="shared" si="1492"/>
        <v>53653500</v>
      </c>
      <c r="BP105" s="126">
        <f t="shared" si="1492"/>
        <v>53653500</v>
      </c>
      <c r="BQ105" s="126">
        <f t="shared" si="1492"/>
        <v>53653500</v>
      </c>
      <c r="BR105" s="126">
        <f t="shared" si="1492"/>
        <v>53653500</v>
      </c>
      <c r="BS105" s="126">
        <f t="shared" si="1492"/>
        <v>53653500</v>
      </c>
      <c r="BT105" s="126">
        <f t="shared" si="1492"/>
        <v>53653500</v>
      </c>
      <c r="BU105" s="126">
        <f t="shared" si="1492"/>
        <v>53653500</v>
      </c>
      <c r="BV105" s="126">
        <f t="shared" si="1492"/>
        <v>53653500</v>
      </c>
      <c r="BW105" s="126">
        <f t="shared" ref="BW105:EH105" si="1493">SUM(BW102:BW104)</f>
        <v>53653500</v>
      </c>
      <c r="BX105" s="126">
        <f t="shared" si="1493"/>
        <v>53653500</v>
      </c>
      <c r="BY105" s="126">
        <f t="shared" si="1493"/>
        <v>53653500</v>
      </c>
      <c r="BZ105" s="126">
        <f t="shared" si="1493"/>
        <v>53653500</v>
      </c>
      <c r="CA105" s="126">
        <f t="shared" si="1493"/>
        <v>53653500</v>
      </c>
      <c r="CB105" s="126">
        <f t="shared" si="1493"/>
        <v>53653500</v>
      </c>
      <c r="CC105" s="126">
        <f t="shared" si="1493"/>
        <v>53653500</v>
      </c>
      <c r="CD105" s="126">
        <f t="shared" si="1493"/>
        <v>53653500</v>
      </c>
      <c r="CE105" s="126">
        <f t="shared" si="1493"/>
        <v>53653500</v>
      </c>
      <c r="CF105" s="126">
        <f t="shared" si="1493"/>
        <v>53653500</v>
      </c>
      <c r="CG105" s="126">
        <f t="shared" si="1493"/>
        <v>53653500</v>
      </c>
      <c r="CH105" s="126">
        <f t="shared" si="1493"/>
        <v>53653500</v>
      </c>
      <c r="CI105" s="126">
        <f t="shared" si="1493"/>
        <v>53653500</v>
      </c>
      <c r="CJ105" s="126">
        <f t="shared" si="1493"/>
        <v>53653500</v>
      </c>
      <c r="CK105" s="126">
        <f t="shared" si="1493"/>
        <v>53653500</v>
      </c>
      <c r="CL105" s="126">
        <f t="shared" si="1493"/>
        <v>53653500</v>
      </c>
      <c r="CM105" s="126">
        <f t="shared" si="1493"/>
        <v>53653500</v>
      </c>
      <c r="CN105" s="126">
        <f t="shared" si="1493"/>
        <v>53653500</v>
      </c>
      <c r="CO105" s="126">
        <f t="shared" si="1493"/>
        <v>53653500</v>
      </c>
      <c r="CP105" s="126">
        <f t="shared" si="1493"/>
        <v>53653500</v>
      </c>
      <c r="CQ105" s="126">
        <f t="shared" si="1493"/>
        <v>53653500</v>
      </c>
      <c r="CR105" s="126">
        <f t="shared" si="1493"/>
        <v>53653500</v>
      </c>
      <c r="CS105" s="126">
        <f t="shared" si="1493"/>
        <v>53653500</v>
      </c>
      <c r="CT105" s="126">
        <f t="shared" si="1493"/>
        <v>53653500</v>
      </c>
      <c r="CU105" s="126">
        <f t="shared" si="1493"/>
        <v>53653500</v>
      </c>
      <c r="CV105" s="126">
        <f t="shared" si="1493"/>
        <v>53653500</v>
      </c>
      <c r="CW105" s="126">
        <f t="shared" si="1493"/>
        <v>53653500</v>
      </c>
      <c r="CX105" s="126">
        <f t="shared" si="1493"/>
        <v>53653500</v>
      </c>
      <c r="CY105" s="126">
        <f t="shared" si="1493"/>
        <v>53653500</v>
      </c>
      <c r="CZ105" s="126">
        <f t="shared" si="1493"/>
        <v>53653500</v>
      </c>
      <c r="DA105" s="126">
        <f t="shared" si="1493"/>
        <v>53653500</v>
      </c>
      <c r="DB105" s="126">
        <f t="shared" si="1493"/>
        <v>53653500</v>
      </c>
      <c r="DC105" s="126">
        <f t="shared" si="1493"/>
        <v>53653500</v>
      </c>
      <c r="DD105" s="126">
        <f t="shared" si="1493"/>
        <v>53653500</v>
      </c>
      <c r="DE105" s="126">
        <f t="shared" si="1493"/>
        <v>53653500</v>
      </c>
      <c r="DF105" s="126">
        <f t="shared" si="1493"/>
        <v>53653500</v>
      </c>
      <c r="DG105" s="126">
        <f t="shared" si="1493"/>
        <v>53653500</v>
      </c>
      <c r="DH105" s="126">
        <f t="shared" si="1493"/>
        <v>53653500</v>
      </c>
      <c r="DI105" s="126">
        <f t="shared" si="1493"/>
        <v>53653500</v>
      </c>
      <c r="DJ105" s="126">
        <f t="shared" si="1493"/>
        <v>53653500</v>
      </c>
      <c r="DK105" s="126">
        <f t="shared" si="1493"/>
        <v>53653500</v>
      </c>
      <c r="DL105" s="126">
        <f t="shared" si="1493"/>
        <v>53653500</v>
      </c>
      <c r="DM105" s="126">
        <f t="shared" si="1493"/>
        <v>53653500</v>
      </c>
      <c r="DN105" s="126">
        <f t="shared" si="1493"/>
        <v>53653500</v>
      </c>
      <c r="DO105" s="126">
        <f t="shared" si="1493"/>
        <v>53653500</v>
      </c>
      <c r="DP105" s="126">
        <f t="shared" si="1493"/>
        <v>53653500</v>
      </c>
      <c r="DQ105" s="126">
        <f t="shared" si="1493"/>
        <v>53653500</v>
      </c>
      <c r="DR105" s="126">
        <f t="shared" si="1493"/>
        <v>53653500</v>
      </c>
      <c r="DS105" s="126">
        <f t="shared" si="1493"/>
        <v>53653500</v>
      </c>
      <c r="DT105" s="126">
        <f t="shared" si="1493"/>
        <v>53653500</v>
      </c>
      <c r="DU105" s="126">
        <f t="shared" si="1493"/>
        <v>53653500</v>
      </c>
      <c r="DV105" s="126">
        <f t="shared" si="1493"/>
        <v>53653500</v>
      </c>
      <c r="DW105" s="126">
        <f t="shared" si="1493"/>
        <v>53653500</v>
      </c>
      <c r="DX105" s="126">
        <f t="shared" si="1493"/>
        <v>53653500</v>
      </c>
      <c r="DY105" s="126">
        <f t="shared" si="1493"/>
        <v>53653500</v>
      </c>
      <c r="DZ105" s="126">
        <f t="shared" si="1493"/>
        <v>53653500</v>
      </c>
      <c r="EA105" s="126">
        <f t="shared" si="1493"/>
        <v>53653500</v>
      </c>
      <c r="EB105" s="126">
        <f t="shared" si="1493"/>
        <v>53653500</v>
      </c>
      <c r="EC105" s="126">
        <f t="shared" si="1493"/>
        <v>53653500</v>
      </c>
      <c r="ED105" s="126">
        <f t="shared" si="1493"/>
        <v>53653500</v>
      </c>
      <c r="EE105" s="126">
        <f t="shared" si="1493"/>
        <v>53653500</v>
      </c>
      <c r="EF105" s="126">
        <f t="shared" si="1493"/>
        <v>53653500</v>
      </c>
      <c r="EG105" s="126">
        <f t="shared" si="1493"/>
        <v>53653500</v>
      </c>
      <c r="EH105" s="126">
        <f t="shared" si="1493"/>
        <v>53653500</v>
      </c>
      <c r="EI105" s="126">
        <f t="shared" ref="EI105:EK105" si="1494">SUM(EI102:EI104)</f>
        <v>53653500</v>
      </c>
      <c r="EJ105" s="126">
        <f t="shared" si="1494"/>
        <v>53653500</v>
      </c>
      <c r="EK105" s="126">
        <f t="shared" si="1494"/>
        <v>53653500</v>
      </c>
      <c r="EM105" s="127">
        <f>SUM(EM102:EM104)</f>
        <v>51816000</v>
      </c>
      <c r="EN105" s="127">
        <f t="shared" ref="EN105:EX105" si="1495">SUM(EN102:EN104)</f>
        <v>52734750</v>
      </c>
      <c r="EO105" s="127">
        <f t="shared" si="1495"/>
        <v>53522250</v>
      </c>
      <c r="EP105" s="127">
        <f t="shared" si="1495"/>
        <v>53653500</v>
      </c>
      <c r="EQ105" s="127">
        <f t="shared" si="1495"/>
        <v>53653500</v>
      </c>
      <c r="ER105" s="127">
        <f t="shared" si="1495"/>
        <v>53653500</v>
      </c>
      <c r="ES105" s="127">
        <f t="shared" si="1495"/>
        <v>53653500</v>
      </c>
      <c r="ET105" s="127">
        <f t="shared" si="1495"/>
        <v>53653500</v>
      </c>
      <c r="EU105" s="127">
        <f t="shared" si="1495"/>
        <v>53653500</v>
      </c>
      <c r="EV105" s="127">
        <f t="shared" si="1495"/>
        <v>53653500</v>
      </c>
      <c r="EW105" s="127">
        <f t="shared" si="1495"/>
        <v>53653500</v>
      </c>
      <c r="EX105" s="127">
        <f t="shared" si="1495"/>
        <v>53653500</v>
      </c>
    </row>
    <row r="106" spans="2:154" x14ac:dyDescent="0.3">
      <c r="B106" s="2"/>
      <c r="E106" s="130"/>
      <c r="F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130"/>
      <c r="AQ106" s="130"/>
      <c r="AR106" s="130"/>
      <c r="AS106" s="130"/>
      <c r="AT106" s="130"/>
      <c r="AU106" s="130"/>
      <c r="AV106" s="130"/>
      <c r="AW106" s="130"/>
      <c r="AX106" s="130"/>
      <c r="AY106" s="130"/>
      <c r="AZ106" s="130"/>
      <c r="BA106" s="130"/>
      <c r="BB106" s="130"/>
      <c r="BC106" s="130"/>
      <c r="BD106" s="130"/>
      <c r="BE106" s="130"/>
      <c r="BF106" s="130"/>
      <c r="BG106" s="130"/>
      <c r="BH106" s="130"/>
      <c r="BI106" s="130"/>
      <c r="BJ106" s="130"/>
      <c r="BK106" s="130"/>
      <c r="BL106" s="130"/>
      <c r="BM106" s="130"/>
      <c r="BN106" s="130"/>
      <c r="BO106" s="130"/>
      <c r="BP106" s="130"/>
      <c r="BQ106" s="130"/>
      <c r="BR106" s="130"/>
      <c r="BS106" s="130"/>
      <c r="BT106" s="130"/>
      <c r="BU106" s="130"/>
      <c r="BV106" s="130"/>
      <c r="BW106" s="130"/>
      <c r="BX106" s="130"/>
      <c r="BY106" s="130"/>
      <c r="BZ106" s="130"/>
      <c r="CA106" s="130"/>
      <c r="CB106" s="130"/>
      <c r="CC106" s="130"/>
      <c r="CD106" s="130"/>
      <c r="CE106" s="130"/>
      <c r="CF106" s="130"/>
      <c r="CG106" s="130"/>
      <c r="CH106" s="130"/>
      <c r="CI106" s="130"/>
      <c r="CJ106" s="130"/>
      <c r="CK106" s="130"/>
      <c r="CL106" s="130"/>
      <c r="CM106" s="130"/>
      <c r="CN106" s="130"/>
      <c r="CO106" s="130"/>
      <c r="CP106" s="130"/>
      <c r="CQ106" s="130"/>
      <c r="CR106" s="130"/>
      <c r="CS106" s="130"/>
      <c r="CT106" s="130"/>
      <c r="CU106" s="130"/>
      <c r="CV106" s="130"/>
      <c r="CW106" s="130"/>
      <c r="CX106" s="130"/>
      <c r="CY106" s="130"/>
      <c r="CZ106" s="130"/>
      <c r="DA106" s="130"/>
      <c r="DB106" s="130"/>
      <c r="DC106" s="130"/>
      <c r="DD106" s="130"/>
      <c r="DE106" s="130"/>
      <c r="DF106" s="130"/>
      <c r="DG106" s="130"/>
      <c r="DH106" s="130"/>
      <c r="DI106" s="130"/>
      <c r="DJ106" s="130"/>
      <c r="DK106" s="130"/>
      <c r="DL106" s="130"/>
      <c r="DM106" s="130"/>
      <c r="DN106" s="130"/>
      <c r="DO106" s="130"/>
      <c r="DP106" s="130"/>
      <c r="DQ106" s="130"/>
      <c r="DR106" s="130"/>
      <c r="DS106" s="130"/>
      <c r="DT106" s="130"/>
      <c r="DU106" s="130"/>
      <c r="DV106" s="130"/>
      <c r="DW106" s="130"/>
      <c r="DX106" s="130"/>
      <c r="DY106" s="130"/>
      <c r="DZ106" s="130"/>
      <c r="EA106" s="130"/>
      <c r="EB106" s="130"/>
      <c r="EC106" s="130"/>
      <c r="ED106" s="130"/>
      <c r="EE106" s="130"/>
      <c r="EF106" s="130"/>
      <c r="EG106" s="130"/>
      <c r="EH106" s="130"/>
      <c r="EI106" s="130"/>
      <c r="EJ106" s="130"/>
      <c r="EK106" s="130"/>
      <c r="EM106" s="130"/>
      <c r="EN106" s="130"/>
      <c r="EO106" s="130"/>
      <c r="EP106" s="130"/>
      <c r="EQ106" s="130"/>
      <c r="ER106" s="130"/>
      <c r="ES106" s="130"/>
      <c r="ET106" s="130"/>
      <c r="EU106" s="130"/>
      <c r="EV106" s="130"/>
      <c r="EW106" s="130"/>
      <c r="EX106" s="130"/>
    </row>
    <row r="107" spans="2:154" x14ac:dyDescent="0.3">
      <c r="B107" s="113" t="s">
        <v>167</v>
      </c>
      <c r="E107" s="129" t="str">
        <f t="shared" ref="E107:F107" si="1496">IF(E99=E105,"Ok","Check")</f>
        <v>Ok</v>
      </c>
      <c r="F107" s="129" t="str">
        <f t="shared" si="1496"/>
        <v>Ok</v>
      </c>
      <c r="I107" s="129" t="str">
        <f>IF(I99=I105,"Ok","Check")</f>
        <v>Ok</v>
      </c>
      <c r="J107" s="129" t="str">
        <f>IF(J99=J105,"Ok","Check")</f>
        <v>Ok</v>
      </c>
      <c r="K107" s="129" t="str">
        <f t="shared" ref="K107:BV107" si="1497">IF(K99=K105,"Ok","Check")</f>
        <v>Ok</v>
      </c>
      <c r="L107" s="129" t="str">
        <f t="shared" si="1497"/>
        <v>Ok</v>
      </c>
      <c r="M107" s="129" t="str">
        <f t="shared" si="1497"/>
        <v>Ok</v>
      </c>
      <c r="N107" s="129" t="str">
        <f t="shared" si="1497"/>
        <v>Ok</v>
      </c>
      <c r="O107" s="129" t="str">
        <f t="shared" si="1497"/>
        <v>Ok</v>
      </c>
      <c r="P107" s="129" t="str">
        <f t="shared" si="1497"/>
        <v>Ok</v>
      </c>
      <c r="Q107" s="129" t="str">
        <f t="shared" si="1497"/>
        <v>Ok</v>
      </c>
      <c r="R107" s="129" t="str">
        <f t="shared" si="1497"/>
        <v>Ok</v>
      </c>
      <c r="S107" s="129" t="str">
        <f t="shared" si="1497"/>
        <v>Ok</v>
      </c>
      <c r="T107" s="129" t="str">
        <f t="shared" si="1497"/>
        <v>Ok</v>
      </c>
      <c r="U107" s="129" t="str">
        <f t="shared" si="1497"/>
        <v>Ok</v>
      </c>
      <c r="V107" s="129" t="str">
        <f t="shared" si="1497"/>
        <v>Ok</v>
      </c>
      <c r="W107" s="129" t="str">
        <f t="shared" si="1497"/>
        <v>Ok</v>
      </c>
      <c r="X107" s="129" t="str">
        <f t="shared" si="1497"/>
        <v>Ok</v>
      </c>
      <c r="Y107" s="129" t="str">
        <f t="shared" si="1497"/>
        <v>Ok</v>
      </c>
      <c r="Z107" s="129" t="str">
        <f t="shared" si="1497"/>
        <v>Ok</v>
      </c>
      <c r="AA107" s="129" t="str">
        <f t="shared" si="1497"/>
        <v>Ok</v>
      </c>
      <c r="AB107" s="129" t="str">
        <f t="shared" si="1497"/>
        <v>Ok</v>
      </c>
      <c r="AC107" s="129" t="str">
        <f t="shared" si="1497"/>
        <v>Ok</v>
      </c>
      <c r="AD107" s="129" t="str">
        <f t="shared" si="1497"/>
        <v>Ok</v>
      </c>
      <c r="AE107" s="129" t="str">
        <f t="shared" si="1497"/>
        <v>Ok</v>
      </c>
      <c r="AF107" s="129" t="str">
        <f t="shared" si="1497"/>
        <v>Ok</v>
      </c>
      <c r="AG107" s="129" t="str">
        <f t="shared" si="1497"/>
        <v>Ok</v>
      </c>
      <c r="AH107" s="129" t="str">
        <f t="shared" si="1497"/>
        <v>Ok</v>
      </c>
      <c r="AI107" s="129" t="str">
        <f t="shared" si="1497"/>
        <v>Ok</v>
      </c>
      <c r="AJ107" s="129" t="str">
        <f t="shared" si="1497"/>
        <v>Ok</v>
      </c>
      <c r="AK107" s="129" t="str">
        <f t="shared" si="1497"/>
        <v>Ok</v>
      </c>
      <c r="AL107" s="129" t="str">
        <f t="shared" si="1497"/>
        <v>Ok</v>
      </c>
      <c r="AM107" s="129" t="str">
        <f t="shared" si="1497"/>
        <v>Ok</v>
      </c>
      <c r="AN107" s="129" t="str">
        <f t="shared" si="1497"/>
        <v>Ok</v>
      </c>
      <c r="AO107" s="129" t="str">
        <f t="shared" si="1497"/>
        <v>Ok</v>
      </c>
      <c r="AP107" s="129" t="str">
        <f t="shared" si="1497"/>
        <v>Ok</v>
      </c>
      <c r="AQ107" s="129" t="str">
        <f t="shared" si="1497"/>
        <v>Ok</v>
      </c>
      <c r="AR107" s="129" t="str">
        <f t="shared" si="1497"/>
        <v>Ok</v>
      </c>
      <c r="AS107" s="129" t="str">
        <f t="shared" si="1497"/>
        <v>Ok</v>
      </c>
      <c r="AT107" s="129" t="str">
        <f t="shared" si="1497"/>
        <v>Ok</v>
      </c>
      <c r="AU107" s="129" t="str">
        <f t="shared" si="1497"/>
        <v>Ok</v>
      </c>
      <c r="AV107" s="129" t="str">
        <f t="shared" si="1497"/>
        <v>Ok</v>
      </c>
      <c r="AW107" s="129" t="str">
        <f t="shared" si="1497"/>
        <v>Ok</v>
      </c>
      <c r="AX107" s="129" t="str">
        <f t="shared" si="1497"/>
        <v>Ok</v>
      </c>
      <c r="AY107" s="129" t="str">
        <f t="shared" si="1497"/>
        <v>Ok</v>
      </c>
      <c r="AZ107" s="129" t="str">
        <f t="shared" si="1497"/>
        <v>Ok</v>
      </c>
      <c r="BA107" s="129" t="str">
        <f t="shared" si="1497"/>
        <v>Ok</v>
      </c>
      <c r="BB107" s="129" t="str">
        <f t="shared" si="1497"/>
        <v>Ok</v>
      </c>
      <c r="BC107" s="129" t="str">
        <f t="shared" si="1497"/>
        <v>Ok</v>
      </c>
      <c r="BD107" s="129" t="str">
        <f t="shared" si="1497"/>
        <v>Ok</v>
      </c>
      <c r="BE107" s="129" t="str">
        <f t="shared" si="1497"/>
        <v>Ok</v>
      </c>
      <c r="BF107" s="129" t="str">
        <f t="shared" si="1497"/>
        <v>Ok</v>
      </c>
      <c r="BG107" s="129" t="str">
        <f t="shared" si="1497"/>
        <v>Ok</v>
      </c>
      <c r="BH107" s="129" t="str">
        <f t="shared" si="1497"/>
        <v>Ok</v>
      </c>
      <c r="BI107" s="129" t="str">
        <f t="shared" si="1497"/>
        <v>Ok</v>
      </c>
      <c r="BJ107" s="129" t="str">
        <f t="shared" si="1497"/>
        <v>Ok</v>
      </c>
      <c r="BK107" s="129" t="str">
        <f t="shared" si="1497"/>
        <v>Ok</v>
      </c>
      <c r="BL107" s="129" t="str">
        <f t="shared" si="1497"/>
        <v>Ok</v>
      </c>
      <c r="BM107" s="129" t="str">
        <f t="shared" si="1497"/>
        <v>Ok</v>
      </c>
      <c r="BN107" s="129" t="str">
        <f t="shared" si="1497"/>
        <v>Ok</v>
      </c>
      <c r="BO107" s="129" t="str">
        <f t="shared" si="1497"/>
        <v>Ok</v>
      </c>
      <c r="BP107" s="129" t="str">
        <f t="shared" si="1497"/>
        <v>Ok</v>
      </c>
      <c r="BQ107" s="129" t="str">
        <f t="shared" si="1497"/>
        <v>Ok</v>
      </c>
      <c r="BR107" s="129" t="str">
        <f t="shared" si="1497"/>
        <v>Ok</v>
      </c>
      <c r="BS107" s="129" t="str">
        <f t="shared" si="1497"/>
        <v>Ok</v>
      </c>
      <c r="BT107" s="129" t="str">
        <f t="shared" si="1497"/>
        <v>Ok</v>
      </c>
      <c r="BU107" s="129" t="str">
        <f t="shared" si="1497"/>
        <v>Ok</v>
      </c>
      <c r="BV107" s="129" t="str">
        <f t="shared" si="1497"/>
        <v>Ok</v>
      </c>
      <c r="BW107" s="129" t="str">
        <f t="shared" ref="BW107:EH107" si="1498">IF(BW99=BW105,"Ok","Check")</f>
        <v>Ok</v>
      </c>
      <c r="BX107" s="129" t="str">
        <f t="shared" si="1498"/>
        <v>Ok</v>
      </c>
      <c r="BY107" s="129" t="str">
        <f t="shared" si="1498"/>
        <v>Ok</v>
      </c>
      <c r="BZ107" s="129" t="str">
        <f t="shared" si="1498"/>
        <v>Ok</v>
      </c>
      <c r="CA107" s="129" t="str">
        <f t="shared" si="1498"/>
        <v>Ok</v>
      </c>
      <c r="CB107" s="129" t="str">
        <f t="shared" si="1498"/>
        <v>Ok</v>
      </c>
      <c r="CC107" s="129" t="str">
        <f t="shared" si="1498"/>
        <v>Ok</v>
      </c>
      <c r="CD107" s="129" t="str">
        <f t="shared" si="1498"/>
        <v>Ok</v>
      </c>
      <c r="CE107" s="129" t="str">
        <f t="shared" si="1498"/>
        <v>Ok</v>
      </c>
      <c r="CF107" s="129" t="str">
        <f t="shared" si="1498"/>
        <v>Ok</v>
      </c>
      <c r="CG107" s="129" t="str">
        <f t="shared" si="1498"/>
        <v>Ok</v>
      </c>
      <c r="CH107" s="129" t="str">
        <f t="shared" si="1498"/>
        <v>Ok</v>
      </c>
      <c r="CI107" s="129" t="str">
        <f t="shared" si="1498"/>
        <v>Ok</v>
      </c>
      <c r="CJ107" s="129" t="str">
        <f t="shared" si="1498"/>
        <v>Ok</v>
      </c>
      <c r="CK107" s="129" t="str">
        <f t="shared" si="1498"/>
        <v>Ok</v>
      </c>
      <c r="CL107" s="129" t="str">
        <f t="shared" si="1498"/>
        <v>Ok</v>
      </c>
      <c r="CM107" s="129" t="str">
        <f t="shared" si="1498"/>
        <v>Ok</v>
      </c>
      <c r="CN107" s="129" t="str">
        <f t="shared" si="1498"/>
        <v>Ok</v>
      </c>
      <c r="CO107" s="129" t="str">
        <f t="shared" si="1498"/>
        <v>Ok</v>
      </c>
      <c r="CP107" s="129" t="str">
        <f t="shared" si="1498"/>
        <v>Ok</v>
      </c>
      <c r="CQ107" s="129" t="str">
        <f t="shared" si="1498"/>
        <v>Ok</v>
      </c>
      <c r="CR107" s="129" t="str">
        <f t="shared" si="1498"/>
        <v>Ok</v>
      </c>
      <c r="CS107" s="129" t="str">
        <f t="shared" si="1498"/>
        <v>Ok</v>
      </c>
      <c r="CT107" s="129" t="str">
        <f t="shared" si="1498"/>
        <v>Ok</v>
      </c>
      <c r="CU107" s="129" t="str">
        <f t="shared" si="1498"/>
        <v>Ok</v>
      </c>
      <c r="CV107" s="129" t="str">
        <f t="shared" si="1498"/>
        <v>Ok</v>
      </c>
      <c r="CW107" s="129" t="str">
        <f t="shared" si="1498"/>
        <v>Ok</v>
      </c>
      <c r="CX107" s="129" t="str">
        <f t="shared" si="1498"/>
        <v>Ok</v>
      </c>
      <c r="CY107" s="129" t="str">
        <f t="shared" si="1498"/>
        <v>Ok</v>
      </c>
      <c r="CZ107" s="129" t="str">
        <f t="shared" si="1498"/>
        <v>Ok</v>
      </c>
      <c r="DA107" s="129" t="str">
        <f t="shared" si="1498"/>
        <v>Ok</v>
      </c>
      <c r="DB107" s="129" t="str">
        <f t="shared" si="1498"/>
        <v>Ok</v>
      </c>
      <c r="DC107" s="129" t="str">
        <f t="shared" si="1498"/>
        <v>Ok</v>
      </c>
      <c r="DD107" s="129" t="str">
        <f t="shared" si="1498"/>
        <v>Ok</v>
      </c>
      <c r="DE107" s="129" t="str">
        <f t="shared" si="1498"/>
        <v>Ok</v>
      </c>
      <c r="DF107" s="129" t="str">
        <f t="shared" si="1498"/>
        <v>Ok</v>
      </c>
      <c r="DG107" s="129" t="str">
        <f t="shared" si="1498"/>
        <v>Ok</v>
      </c>
      <c r="DH107" s="129" t="str">
        <f t="shared" si="1498"/>
        <v>Ok</v>
      </c>
      <c r="DI107" s="129" t="str">
        <f t="shared" si="1498"/>
        <v>Ok</v>
      </c>
      <c r="DJ107" s="129" t="str">
        <f t="shared" si="1498"/>
        <v>Ok</v>
      </c>
      <c r="DK107" s="129" t="str">
        <f t="shared" si="1498"/>
        <v>Ok</v>
      </c>
      <c r="DL107" s="129" t="str">
        <f t="shared" si="1498"/>
        <v>Ok</v>
      </c>
      <c r="DM107" s="129" t="str">
        <f t="shared" si="1498"/>
        <v>Ok</v>
      </c>
      <c r="DN107" s="129" t="str">
        <f t="shared" si="1498"/>
        <v>Ok</v>
      </c>
      <c r="DO107" s="129" t="str">
        <f t="shared" si="1498"/>
        <v>Ok</v>
      </c>
      <c r="DP107" s="129" t="str">
        <f t="shared" si="1498"/>
        <v>Ok</v>
      </c>
      <c r="DQ107" s="129" t="str">
        <f t="shared" si="1498"/>
        <v>Ok</v>
      </c>
      <c r="DR107" s="129" t="str">
        <f t="shared" si="1498"/>
        <v>Ok</v>
      </c>
      <c r="DS107" s="129" t="str">
        <f t="shared" si="1498"/>
        <v>Ok</v>
      </c>
      <c r="DT107" s="129" t="str">
        <f t="shared" si="1498"/>
        <v>Ok</v>
      </c>
      <c r="DU107" s="129" t="str">
        <f t="shared" si="1498"/>
        <v>Ok</v>
      </c>
      <c r="DV107" s="129" t="str">
        <f t="shared" si="1498"/>
        <v>Ok</v>
      </c>
      <c r="DW107" s="129" t="str">
        <f t="shared" si="1498"/>
        <v>Ok</v>
      </c>
      <c r="DX107" s="129" t="str">
        <f t="shared" si="1498"/>
        <v>Ok</v>
      </c>
      <c r="DY107" s="129" t="str">
        <f t="shared" si="1498"/>
        <v>Ok</v>
      </c>
      <c r="DZ107" s="129" t="str">
        <f t="shared" si="1498"/>
        <v>Ok</v>
      </c>
      <c r="EA107" s="129" t="str">
        <f t="shared" si="1498"/>
        <v>Ok</v>
      </c>
      <c r="EB107" s="129" t="str">
        <f t="shared" si="1498"/>
        <v>Ok</v>
      </c>
      <c r="EC107" s="129" t="str">
        <f t="shared" si="1498"/>
        <v>Ok</v>
      </c>
      <c r="ED107" s="129" t="str">
        <f t="shared" si="1498"/>
        <v>Ok</v>
      </c>
      <c r="EE107" s="129" t="str">
        <f t="shared" si="1498"/>
        <v>Ok</v>
      </c>
      <c r="EF107" s="129" t="str">
        <f t="shared" si="1498"/>
        <v>Ok</v>
      </c>
      <c r="EG107" s="129" t="str">
        <f t="shared" si="1498"/>
        <v>Ok</v>
      </c>
      <c r="EH107" s="129" t="str">
        <f t="shared" si="1498"/>
        <v>Ok</v>
      </c>
      <c r="EI107" s="129" t="str">
        <f t="shared" ref="EI107:EX107" si="1499">IF(EI99=EI105,"Ok","Check")</f>
        <v>Ok</v>
      </c>
      <c r="EJ107" s="129" t="str">
        <f t="shared" si="1499"/>
        <v>Ok</v>
      </c>
      <c r="EK107" s="129" t="str">
        <f t="shared" si="1499"/>
        <v>Ok</v>
      </c>
      <c r="EM107" s="129" t="str">
        <f t="shared" si="1499"/>
        <v>Ok</v>
      </c>
      <c r="EN107" s="129" t="str">
        <f t="shared" si="1499"/>
        <v>Ok</v>
      </c>
      <c r="EO107" s="129" t="str">
        <f t="shared" si="1499"/>
        <v>Ok</v>
      </c>
      <c r="EP107" s="129" t="str">
        <f t="shared" si="1499"/>
        <v>Ok</v>
      </c>
      <c r="EQ107" s="129" t="str">
        <f t="shared" si="1499"/>
        <v>Ok</v>
      </c>
      <c r="ER107" s="129" t="str">
        <f t="shared" si="1499"/>
        <v>Ok</v>
      </c>
      <c r="ES107" s="129" t="str">
        <f t="shared" si="1499"/>
        <v>Ok</v>
      </c>
      <c r="ET107" s="129" t="str">
        <f t="shared" si="1499"/>
        <v>Ok</v>
      </c>
      <c r="EU107" s="129" t="str">
        <f t="shared" si="1499"/>
        <v>Ok</v>
      </c>
      <c r="EV107" s="129" t="str">
        <f t="shared" si="1499"/>
        <v>Ok</v>
      </c>
      <c r="EW107" s="129" t="str">
        <f t="shared" si="1499"/>
        <v>Ok</v>
      </c>
      <c r="EX107" s="129" t="str">
        <f t="shared" si="1499"/>
        <v>Ok</v>
      </c>
    </row>
  </sheetData>
  <pageMargins left="0.7" right="0.7" top="0.75" bottom="0.75" header="0.3" footer="0.3"/>
  <pageSetup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E45F-F644-430F-83BA-4E696B1E2B99}">
  <dimension ref="B2:O39"/>
  <sheetViews>
    <sheetView showGridLines="0" workbookViewId="0"/>
  </sheetViews>
  <sheetFormatPr defaultColWidth="8.7109375" defaultRowHeight="15" x14ac:dyDescent="0.3"/>
  <cols>
    <col min="1" max="1" width="8.7109375" style="1"/>
    <col min="2" max="2" width="33.85546875" style="1" bestFit="1" customWidth="1"/>
    <col min="3" max="3" width="8.7109375" style="1"/>
    <col min="4" max="15" width="12.5703125" style="1" customWidth="1"/>
    <col min="16" max="16384" width="8.7109375" style="1"/>
  </cols>
  <sheetData>
    <row r="2" spans="2:15" x14ac:dyDescent="0.3">
      <c r="B2" s="2" t="s">
        <v>34</v>
      </c>
    </row>
    <row r="3" spans="2:15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x14ac:dyDescent="0.3">
      <c r="D4" s="5">
        <v>43131</v>
      </c>
      <c r="E4" s="5">
        <v>43159</v>
      </c>
      <c r="F4" s="5">
        <v>43190</v>
      </c>
      <c r="G4" s="5">
        <v>43220</v>
      </c>
      <c r="H4" s="5">
        <v>43251</v>
      </c>
      <c r="I4" s="5">
        <v>43281</v>
      </c>
      <c r="J4" s="5">
        <v>43312</v>
      </c>
      <c r="K4" s="5">
        <v>43343</v>
      </c>
      <c r="L4" s="5">
        <v>43373</v>
      </c>
      <c r="M4" s="5">
        <v>43404</v>
      </c>
      <c r="N4" s="5">
        <v>43434</v>
      </c>
      <c r="O4" s="5">
        <v>43465</v>
      </c>
    </row>
    <row r="5" spans="2:15" x14ac:dyDescent="0.3">
      <c r="B5" s="2" t="s">
        <v>5</v>
      </c>
    </row>
    <row r="6" spans="2:15" x14ac:dyDescent="0.3">
      <c r="B6" s="2" t="s">
        <v>6</v>
      </c>
    </row>
    <row r="7" spans="2:15" x14ac:dyDescent="0.3">
      <c r="B7" s="1" t="s">
        <v>7</v>
      </c>
      <c r="D7" s="7">
        <v>527980</v>
      </c>
      <c r="E7" s="7">
        <v>488820</v>
      </c>
      <c r="F7" s="7">
        <v>499280</v>
      </c>
      <c r="G7" s="7">
        <v>529495</v>
      </c>
      <c r="H7" s="7">
        <v>594645</v>
      </c>
      <c r="I7" s="7">
        <v>513771</v>
      </c>
      <c r="J7" s="7">
        <v>495575</v>
      </c>
      <c r="K7" s="7">
        <v>489920</v>
      </c>
      <c r="L7" s="7">
        <v>485890</v>
      </c>
      <c r="M7" s="7">
        <v>475795</v>
      </c>
      <c r="N7" s="7">
        <v>492355</v>
      </c>
      <c r="O7" s="7">
        <v>497485</v>
      </c>
    </row>
    <row r="8" spans="2:15" x14ac:dyDescent="0.3">
      <c r="B8" s="1" t="s">
        <v>8</v>
      </c>
      <c r="D8" s="7">
        <v>-2434.3000000000002</v>
      </c>
      <c r="E8" s="7">
        <v>-2434.3000000000002</v>
      </c>
      <c r="F8" s="7">
        <v>-2434.3000000000002</v>
      </c>
      <c r="G8" s="7">
        <v>-2434.3000000000002</v>
      </c>
      <c r="H8" s="7">
        <v>-2434.3000000000002</v>
      </c>
      <c r="I8" s="7">
        <v>-2434.3000000000002</v>
      </c>
      <c r="J8" s="7">
        <v>-2434.3000000000002</v>
      </c>
      <c r="K8" s="7">
        <v>-2434.3000000000002</v>
      </c>
      <c r="L8" s="7">
        <v>-2434.3000000000002</v>
      </c>
      <c r="M8" s="7">
        <v>-2434.3000000000002</v>
      </c>
      <c r="N8" s="7">
        <v>-2434.3000000000002</v>
      </c>
      <c r="O8" s="7">
        <v>-2434.3000000000002</v>
      </c>
    </row>
    <row r="9" spans="2:15" x14ac:dyDescent="0.3">
      <c r="B9" s="1" t="s">
        <v>9</v>
      </c>
      <c r="D9" s="7">
        <v>-5832</v>
      </c>
      <c r="E9" s="7">
        <v>31626</v>
      </c>
      <c r="F9" s="7">
        <v>19193</v>
      </c>
      <c r="G9" s="7">
        <v>-9891</v>
      </c>
      <c r="H9" s="7">
        <v>-71784</v>
      </c>
      <c r="I9" s="7">
        <v>5533</v>
      </c>
      <c r="J9" s="7">
        <v>21182</v>
      </c>
      <c r="K9" s="7">
        <v>23576</v>
      </c>
      <c r="L9" s="7">
        <v>25301</v>
      </c>
      <c r="M9" s="7">
        <v>33369</v>
      </c>
      <c r="N9" s="7">
        <v>16498</v>
      </c>
      <c r="O9" s="7">
        <v>10830</v>
      </c>
    </row>
    <row r="10" spans="2:15" x14ac:dyDescent="0.3">
      <c r="B10" s="8" t="s">
        <v>75</v>
      </c>
      <c r="C10" s="2"/>
      <c r="D10" s="10">
        <v>519713.69999999995</v>
      </c>
      <c r="E10" s="10">
        <v>518011.7</v>
      </c>
      <c r="F10" s="10">
        <v>516038.7</v>
      </c>
      <c r="G10" s="10">
        <v>517169.69999999995</v>
      </c>
      <c r="H10" s="10">
        <v>520426.69999999995</v>
      </c>
      <c r="I10" s="10">
        <v>516869.7</v>
      </c>
      <c r="J10" s="10">
        <v>514322.7</v>
      </c>
      <c r="K10" s="10">
        <v>511061.7</v>
      </c>
      <c r="L10" s="10">
        <v>508756.7</v>
      </c>
      <c r="M10" s="10">
        <v>506729.7</v>
      </c>
      <c r="N10" s="10">
        <v>506418.7</v>
      </c>
      <c r="O10" s="10">
        <v>505880.7</v>
      </c>
    </row>
    <row r="11" spans="2:15" x14ac:dyDescent="0.3">
      <c r="B11" s="1" t="s">
        <v>10</v>
      </c>
      <c r="D11" s="7">
        <v>2078.8547999999996</v>
      </c>
      <c r="E11" s="7">
        <v>2072.0468000000001</v>
      </c>
      <c r="F11" s="7">
        <v>2064.1548000000003</v>
      </c>
      <c r="G11" s="7">
        <v>2068.6787999999997</v>
      </c>
      <c r="H11" s="7">
        <v>2081.7067999999999</v>
      </c>
      <c r="I11" s="7">
        <v>2067.4787999999999</v>
      </c>
      <c r="J11" s="7">
        <v>2057.2908000000002</v>
      </c>
      <c r="K11" s="7">
        <v>2044.2468000000001</v>
      </c>
      <c r="L11" s="7">
        <v>2035.0268000000001</v>
      </c>
      <c r="M11" s="7">
        <v>2026.9188000000001</v>
      </c>
      <c r="N11" s="7">
        <v>2025.6748</v>
      </c>
      <c r="O11" s="7">
        <v>2023.5228</v>
      </c>
    </row>
    <row r="12" spans="2:15" x14ac:dyDescent="0.3">
      <c r="B12" s="1" t="s">
        <v>11</v>
      </c>
      <c r="D12" s="22">
        <v>2.2596247826086953</v>
      </c>
      <c r="E12" s="22">
        <v>2.2522247826086956</v>
      </c>
      <c r="F12" s="22">
        <v>2.2436465217391306</v>
      </c>
      <c r="G12" s="22">
        <v>2.248563913043478</v>
      </c>
      <c r="H12" s="22">
        <v>2.2627247826086956</v>
      </c>
      <c r="I12" s="22">
        <v>2.2472595652173912</v>
      </c>
      <c r="J12" s="22">
        <v>2.2361856521739134</v>
      </c>
      <c r="K12" s="22">
        <v>2.2220073913043481</v>
      </c>
      <c r="L12" s="22">
        <v>2.211985652173913</v>
      </c>
      <c r="M12" s="22">
        <v>2.2031726086956525</v>
      </c>
      <c r="N12" s="22">
        <v>2.2018204347826087</v>
      </c>
      <c r="O12" s="22">
        <v>2.1994813043478261</v>
      </c>
    </row>
    <row r="13" spans="2:15" x14ac:dyDescent="0.3">
      <c r="B13" s="1" t="s">
        <v>12</v>
      </c>
      <c r="D13" s="20">
        <v>0.9</v>
      </c>
      <c r="E13" s="20">
        <v>0.9</v>
      </c>
      <c r="F13" s="20">
        <v>0.9</v>
      </c>
      <c r="G13" s="20">
        <v>0.9</v>
      </c>
      <c r="H13" s="20">
        <v>0.9</v>
      </c>
      <c r="I13" s="20">
        <v>0.9</v>
      </c>
      <c r="J13" s="20">
        <v>0.9</v>
      </c>
      <c r="K13" s="20">
        <v>0.9</v>
      </c>
      <c r="L13" s="20">
        <v>0.9</v>
      </c>
      <c r="M13" s="20">
        <v>0.9</v>
      </c>
      <c r="N13" s="20">
        <v>0.9</v>
      </c>
      <c r="O13" s="20">
        <v>0.9</v>
      </c>
    </row>
    <row r="14" spans="2:15" x14ac:dyDescent="0.3"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</row>
    <row r="15" spans="2:15" x14ac:dyDescent="0.3">
      <c r="B15" s="1" t="s">
        <v>13</v>
      </c>
      <c r="D15" s="7">
        <v>-51971.369999999995</v>
      </c>
      <c r="E15" s="7">
        <v>-51801.170000000006</v>
      </c>
      <c r="F15" s="7">
        <v>-51603.87</v>
      </c>
      <c r="G15" s="7">
        <v>-51716.97</v>
      </c>
      <c r="H15" s="7">
        <v>-52042.67</v>
      </c>
      <c r="I15" s="7">
        <v>-51686.97</v>
      </c>
      <c r="J15" s="7">
        <v>-51432.270000000004</v>
      </c>
      <c r="K15" s="7">
        <v>-51106.170000000006</v>
      </c>
      <c r="L15" s="7">
        <v>-50875.670000000006</v>
      </c>
      <c r="M15" s="7">
        <v>-50672.97</v>
      </c>
      <c r="N15" s="7">
        <v>-50641.87</v>
      </c>
      <c r="O15" s="7">
        <v>-50588.070000000007</v>
      </c>
    </row>
    <row r="16" spans="2:15" x14ac:dyDescent="0.3">
      <c r="B16" s="1" t="s">
        <v>14</v>
      </c>
      <c r="D16" s="7">
        <v>-1200</v>
      </c>
      <c r="E16" s="7">
        <v>-1200</v>
      </c>
      <c r="F16" s="7">
        <v>-1200</v>
      </c>
      <c r="G16" s="7">
        <v>-1200</v>
      </c>
      <c r="H16" s="7">
        <v>-1200</v>
      </c>
      <c r="I16" s="7">
        <v>-1200</v>
      </c>
      <c r="J16" s="7">
        <v>-1200</v>
      </c>
      <c r="K16" s="7">
        <v>-1200</v>
      </c>
      <c r="L16" s="7">
        <v>-960</v>
      </c>
      <c r="M16" s="7">
        <v>0</v>
      </c>
      <c r="N16" s="7">
        <v>0</v>
      </c>
      <c r="O16" s="7">
        <v>0</v>
      </c>
    </row>
    <row r="17" spans="2:15" x14ac:dyDescent="0.3">
      <c r="B17" s="1" t="s">
        <v>15</v>
      </c>
      <c r="D17" s="7">
        <v>-5257</v>
      </c>
      <c r="E17" s="7">
        <v>-5122</v>
      </c>
      <c r="F17" s="7">
        <v>-4797</v>
      </c>
      <c r="G17" s="7">
        <v>-4702</v>
      </c>
      <c r="H17" s="7">
        <v>-3418</v>
      </c>
      <c r="I17" s="7">
        <v>-1096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</row>
    <row r="18" spans="2:15" x14ac:dyDescent="0.3">
      <c r="B18" s="8" t="s">
        <v>16</v>
      </c>
      <c r="C18" s="2"/>
      <c r="D18" s="10">
        <v>461285.32999999996</v>
      </c>
      <c r="E18" s="10">
        <v>459888.53</v>
      </c>
      <c r="F18" s="10">
        <v>458437.83</v>
      </c>
      <c r="G18" s="10">
        <v>459550.73</v>
      </c>
      <c r="H18" s="10">
        <v>463766.02999999997</v>
      </c>
      <c r="I18" s="10">
        <v>462886.73</v>
      </c>
      <c r="J18" s="10">
        <v>461690.43</v>
      </c>
      <c r="K18" s="10">
        <v>458755.53</v>
      </c>
      <c r="L18" s="10">
        <v>456921.03</v>
      </c>
      <c r="M18" s="10">
        <v>456056.73</v>
      </c>
      <c r="N18" s="10">
        <v>455776.83</v>
      </c>
      <c r="O18" s="10">
        <v>455292.63</v>
      </c>
    </row>
    <row r="19" spans="2:15" x14ac:dyDescent="0.3"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2:15" x14ac:dyDescent="0.3">
      <c r="B20" s="1" t="s">
        <v>17</v>
      </c>
      <c r="D20" s="7">
        <v>8130.21</v>
      </c>
      <c r="E20" s="7">
        <v>9348.98</v>
      </c>
      <c r="F20" s="7">
        <v>7113.38</v>
      </c>
      <c r="G20" s="7">
        <v>8437.89</v>
      </c>
      <c r="H20" s="7">
        <v>7849.68</v>
      </c>
      <c r="I20" s="7">
        <v>7206.62</v>
      </c>
      <c r="J20" s="7">
        <v>8281.98</v>
      </c>
      <c r="K20" s="7">
        <v>8550</v>
      </c>
      <c r="L20" s="7">
        <v>8251</v>
      </c>
      <c r="M20" s="7">
        <v>8545</v>
      </c>
      <c r="N20" s="7">
        <v>8459</v>
      </c>
      <c r="O20" s="7">
        <v>9542</v>
      </c>
    </row>
    <row r="21" spans="2:15" x14ac:dyDescent="0.3">
      <c r="B21" s="1" t="s">
        <v>18</v>
      </c>
      <c r="D21" s="7">
        <v>400</v>
      </c>
      <c r="E21" s="7">
        <v>617</v>
      </c>
      <c r="F21" s="7">
        <v>1109</v>
      </c>
      <c r="G21" s="7">
        <v>1095</v>
      </c>
      <c r="H21" s="7">
        <v>1150</v>
      </c>
      <c r="I21" s="7">
        <v>1155</v>
      </c>
      <c r="J21" s="7">
        <v>1521</v>
      </c>
      <c r="K21" s="7">
        <v>1379</v>
      </c>
      <c r="L21" s="7">
        <v>1350</v>
      </c>
      <c r="M21" s="7">
        <v>1384</v>
      </c>
      <c r="N21" s="7">
        <v>1500</v>
      </c>
      <c r="O21" s="7">
        <v>1370</v>
      </c>
    </row>
    <row r="22" spans="2:15" x14ac:dyDescent="0.3">
      <c r="B22" s="1" t="s">
        <v>19</v>
      </c>
      <c r="D22" s="7">
        <v>19008</v>
      </c>
      <c r="E22" s="7">
        <v>20761</v>
      </c>
      <c r="F22" s="7">
        <v>16299</v>
      </c>
      <c r="G22" s="7">
        <v>19924</v>
      </c>
      <c r="H22" s="7">
        <v>17377</v>
      </c>
      <c r="I22" s="7">
        <v>15885</v>
      </c>
      <c r="J22" s="7">
        <v>27073</v>
      </c>
      <c r="K22" s="7">
        <v>31323</v>
      </c>
      <c r="L22" s="7">
        <v>18566</v>
      </c>
      <c r="M22" s="7">
        <v>23877</v>
      </c>
      <c r="N22" s="7">
        <v>17297</v>
      </c>
      <c r="O22" s="7">
        <v>22525</v>
      </c>
    </row>
    <row r="23" spans="2:15" x14ac:dyDescent="0.3">
      <c r="B23" s="8" t="s">
        <v>20</v>
      </c>
      <c r="C23" s="2"/>
      <c r="D23" s="10">
        <v>27538.21</v>
      </c>
      <c r="E23" s="10">
        <v>30726.98</v>
      </c>
      <c r="F23" s="10">
        <v>24521.38</v>
      </c>
      <c r="G23" s="10">
        <v>29456.89</v>
      </c>
      <c r="H23" s="10">
        <v>26376.68</v>
      </c>
      <c r="I23" s="10">
        <v>24246.62</v>
      </c>
      <c r="J23" s="10">
        <v>36875.979999999996</v>
      </c>
      <c r="K23" s="10">
        <v>41252</v>
      </c>
      <c r="L23" s="10">
        <v>28167</v>
      </c>
      <c r="M23" s="10">
        <v>33806</v>
      </c>
      <c r="N23" s="10">
        <v>27256</v>
      </c>
      <c r="O23" s="10">
        <v>33437</v>
      </c>
    </row>
    <row r="24" spans="2:15" x14ac:dyDescent="0.3"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2:15" x14ac:dyDescent="0.3">
      <c r="B25" s="2" t="s">
        <v>21</v>
      </c>
      <c r="C25" s="2"/>
      <c r="D25" s="24">
        <v>488823.54</v>
      </c>
      <c r="E25" s="24">
        <v>490615.51</v>
      </c>
      <c r="F25" s="24">
        <v>482959.21</v>
      </c>
      <c r="G25" s="24">
        <v>489007.62</v>
      </c>
      <c r="H25" s="24">
        <v>490142.70999999996</v>
      </c>
      <c r="I25" s="24">
        <v>487133.35</v>
      </c>
      <c r="J25" s="24">
        <v>498566.41</v>
      </c>
      <c r="K25" s="24">
        <v>500007.53</v>
      </c>
      <c r="L25" s="24">
        <v>485088.03</v>
      </c>
      <c r="M25" s="24">
        <v>489862.73</v>
      </c>
      <c r="N25" s="24">
        <v>483032.83</v>
      </c>
      <c r="O25" s="24">
        <v>488729.63</v>
      </c>
    </row>
    <row r="26" spans="2:15" x14ac:dyDescent="0.3"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2:15" x14ac:dyDescent="0.3">
      <c r="B27" s="2" t="s">
        <v>22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2:15" x14ac:dyDescent="0.3">
      <c r="B28" s="1" t="s">
        <v>23</v>
      </c>
      <c r="D28" s="7">
        <v>-40029</v>
      </c>
      <c r="E28" s="7">
        <v>-13007</v>
      </c>
      <c r="F28" s="7">
        <v>-20133</v>
      </c>
      <c r="G28" s="7">
        <v>-24116</v>
      </c>
      <c r="H28" s="7">
        <v>-24604</v>
      </c>
      <c r="I28" s="7">
        <v>-22633</v>
      </c>
      <c r="J28" s="7">
        <v>-25246</v>
      </c>
      <c r="K28" s="7">
        <v>-16643</v>
      </c>
      <c r="L28" s="7">
        <v>-24994</v>
      </c>
      <c r="M28" s="7">
        <v>-27415</v>
      </c>
      <c r="N28" s="7">
        <v>-26795</v>
      </c>
      <c r="O28" s="7">
        <v>-28785</v>
      </c>
    </row>
    <row r="29" spans="2:15" x14ac:dyDescent="0.3">
      <c r="B29" s="1" t="s">
        <v>24</v>
      </c>
      <c r="D29" s="7">
        <v>-8298</v>
      </c>
      <c r="E29" s="7">
        <v>-2032</v>
      </c>
      <c r="F29" s="7">
        <v>-1682</v>
      </c>
      <c r="G29" s="7">
        <v>-7910</v>
      </c>
      <c r="H29" s="7">
        <v>-9931</v>
      </c>
      <c r="I29" s="7">
        <v>-3657</v>
      </c>
      <c r="J29" s="7">
        <v>-8294</v>
      </c>
      <c r="K29" s="7">
        <v>-6868</v>
      </c>
      <c r="L29" s="7">
        <v>-3714</v>
      </c>
      <c r="M29" s="7">
        <v>-11253</v>
      </c>
      <c r="N29" s="7">
        <v>-5918</v>
      </c>
      <c r="O29" s="7">
        <v>-4807</v>
      </c>
    </row>
    <row r="30" spans="2:15" x14ac:dyDescent="0.3">
      <c r="B30" s="1" t="s">
        <v>25</v>
      </c>
      <c r="D30" s="7">
        <v>-16544</v>
      </c>
      <c r="E30" s="7">
        <v>-5694</v>
      </c>
      <c r="F30" s="7">
        <v>-8813</v>
      </c>
      <c r="G30" s="7">
        <v>-10169</v>
      </c>
      <c r="H30" s="7">
        <v>-4840</v>
      </c>
      <c r="I30" s="7">
        <v>-21655</v>
      </c>
      <c r="J30" s="7">
        <v>-8720</v>
      </c>
      <c r="K30" s="7">
        <v>-16224</v>
      </c>
      <c r="L30" s="7">
        <v>-18672</v>
      </c>
      <c r="M30" s="7">
        <v>-19738</v>
      </c>
      <c r="N30" s="7">
        <v>-23279</v>
      </c>
      <c r="O30" s="7">
        <v>-29390</v>
      </c>
    </row>
    <row r="31" spans="2:15" x14ac:dyDescent="0.3">
      <c r="B31" s="1" t="s">
        <v>26</v>
      </c>
      <c r="D31" s="7">
        <v>-6268</v>
      </c>
      <c r="E31" s="7">
        <v>-5101</v>
      </c>
      <c r="F31" s="7">
        <v>-5183</v>
      </c>
      <c r="G31" s="7">
        <v>-4794</v>
      </c>
      <c r="H31" s="7">
        <v>-4144</v>
      </c>
      <c r="I31" s="7">
        <v>-3867</v>
      </c>
      <c r="J31" s="7">
        <v>-4581</v>
      </c>
      <c r="K31" s="7">
        <v>-4775</v>
      </c>
      <c r="L31" s="7">
        <v>-3300</v>
      </c>
      <c r="M31" s="7">
        <v>-6369</v>
      </c>
      <c r="N31" s="7">
        <v>-4591</v>
      </c>
      <c r="O31" s="7">
        <v>-6574</v>
      </c>
    </row>
    <row r="32" spans="2:15" x14ac:dyDescent="0.3">
      <c r="B32" s="1" t="s">
        <v>27</v>
      </c>
      <c r="D32" s="7">
        <v>-30347</v>
      </c>
      <c r="E32" s="7">
        <v>-28774</v>
      </c>
      <c r="F32" s="7">
        <v>-41566</v>
      </c>
      <c r="G32" s="7">
        <v>-31498</v>
      </c>
      <c r="H32" s="7">
        <v>-33333</v>
      </c>
      <c r="I32" s="7">
        <v>-31422</v>
      </c>
      <c r="J32" s="7">
        <v>-31945</v>
      </c>
      <c r="K32" s="7">
        <v>-44440</v>
      </c>
      <c r="L32" s="7">
        <v>-36037</v>
      </c>
      <c r="M32" s="7">
        <v>-33162</v>
      </c>
      <c r="N32" s="7">
        <v>-31520</v>
      </c>
      <c r="O32" s="7">
        <v>-30291</v>
      </c>
    </row>
    <row r="33" spans="2:15" x14ac:dyDescent="0.3">
      <c r="B33" s="1" t="s">
        <v>28</v>
      </c>
      <c r="D33" s="7">
        <v>-13838.559899999998</v>
      </c>
      <c r="E33" s="7">
        <v>-13796.6559</v>
      </c>
      <c r="F33" s="7">
        <v>-13753.134899999999</v>
      </c>
      <c r="G33" s="7">
        <v>-13786.5219</v>
      </c>
      <c r="H33" s="7">
        <v>-13912.980899999999</v>
      </c>
      <c r="I33" s="7">
        <v>-13886.6019</v>
      </c>
      <c r="J33" s="7">
        <v>-13850.712899999999</v>
      </c>
      <c r="K33" s="7">
        <v>-13762.6659</v>
      </c>
      <c r="L33" s="7">
        <v>-13707.6309</v>
      </c>
      <c r="M33" s="7">
        <v>-13681.701899999998</v>
      </c>
      <c r="N33" s="7">
        <v>-13673.304899999999</v>
      </c>
      <c r="O33" s="7">
        <v>-13658.778899999999</v>
      </c>
    </row>
    <row r="34" spans="2:15" x14ac:dyDescent="0.3">
      <c r="B34" s="1" t="s">
        <v>29</v>
      </c>
      <c r="D34" s="7">
        <v>-11936.03</v>
      </c>
      <c r="E34" s="7">
        <v>-15609.79</v>
      </c>
      <c r="F34" s="7">
        <v>-12599.6</v>
      </c>
      <c r="G34" s="7">
        <v>-11820.53</v>
      </c>
      <c r="H34" s="7">
        <v>-11403.12</v>
      </c>
      <c r="I34" s="7">
        <v>-11007.15</v>
      </c>
      <c r="J34" s="7">
        <v>-11788.06</v>
      </c>
      <c r="K34" s="7">
        <v>-14763</v>
      </c>
      <c r="L34" s="7">
        <v>-12262</v>
      </c>
      <c r="M34" s="7">
        <v>-12578</v>
      </c>
      <c r="N34" s="7">
        <v>-12238</v>
      </c>
      <c r="O34" s="7">
        <v>-11576</v>
      </c>
    </row>
    <row r="35" spans="2:15" x14ac:dyDescent="0.3">
      <c r="B35" s="1" t="s">
        <v>30</v>
      </c>
      <c r="D35" s="7">
        <v>-136542</v>
      </c>
      <c r="E35" s="7">
        <v>-136542</v>
      </c>
      <c r="F35" s="7">
        <v>-136542</v>
      </c>
      <c r="G35" s="7">
        <v>-136542</v>
      </c>
      <c r="H35" s="7">
        <v>-136542</v>
      </c>
      <c r="I35" s="7">
        <v>-136542</v>
      </c>
      <c r="J35" s="7">
        <v>-136542</v>
      </c>
      <c r="K35" s="7">
        <v>-136542</v>
      </c>
      <c r="L35" s="7">
        <v>-136542</v>
      </c>
      <c r="M35" s="7">
        <v>-136542</v>
      </c>
      <c r="N35" s="7">
        <v>-136542</v>
      </c>
      <c r="O35" s="7">
        <v>-136542</v>
      </c>
    </row>
    <row r="36" spans="2:15" x14ac:dyDescent="0.3">
      <c r="B36" s="1" t="s">
        <v>31</v>
      </c>
      <c r="D36" s="7">
        <v>-6187</v>
      </c>
      <c r="E36" s="7">
        <v>-6187</v>
      </c>
      <c r="F36" s="7">
        <v>-7092</v>
      </c>
      <c r="G36" s="7">
        <v>-7092</v>
      </c>
      <c r="H36" s="7">
        <v>-6967</v>
      </c>
      <c r="I36" s="7">
        <v>-7092</v>
      </c>
      <c r="J36" s="7">
        <v>-6967</v>
      </c>
      <c r="K36" s="7">
        <v>-6967</v>
      </c>
      <c r="L36" s="7">
        <v>-7342</v>
      </c>
      <c r="M36" s="7">
        <v>-7594</v>
      </c>
      <c r="N36" s="7">
        <v>-6967</v>
      </c>
      <c r="O36" s="7">
        <v>-7467</v>
      </c>
    </row>
    <row r="37" spans="2:15" x14ac:dyDescent="0.3">
      <c r="B37" s="8" t="s">
        <v>32</v>
      </c>
      <c r="C37" s="2"/>
      <c r="D37" s="10">
        <v>-269989.58990000002</v>
      </c>
      <c r="E37" s="10">
        <v>-226743.44589999999</v>
      </c>
      <c r="F37" s="10">
        <v>-247363.73490000001</v>
      </c>
      <c r="G37" s="10">
        <v>-247728.05189999999</v>
      </c>
      <c r="H37" s="10">
        <v>-245677.10089999999</v>
      </c>
      <c r="I37" s="10">
        <v>-251761.75189999997</v>
      </c>
      <c r="J37" s="10">
        <v>-247933.77289999998</v>
      </c>
      <c r="K37" s="10">
        <v>-260984.66589999999</v>
      </c>
      <c r="L37" s="10">
        <v>-256570.63089999999</v>
      </c>
      <c r="M37" s="10">
        <v>-268332.70189999999</v>
      </c>
      <c r="N37" s="10">
        <v>-261523.30489999999</v>
      </c>
      <c r="O37" s="10">
        <v>-269090.77890000003</v>
      </c>
    </row>
    <row r="38" spans="2:15" x14ac:dyDescent="0.3"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</row>
    <row r="39" spans="2:15" x14ac:dyDescent="0.3">
      <c r="B39" s="2" t="s">
        <v>33</v>
      </c>
      <c r="C39" s="2"/>
      <c r="D39" s="24">
        <v>218833.95009999996</v>
      </c>
      <c r="E39" s="24">
        <v>263872.06410000002</v>
      </c>
      <c r="F39" s="24">
        <v>235595.47510000001</v>
      </c>
      <c r="G39" s="24">
        <v>241279.5681</v>
      </c>
      <c r="H39" s="24">
        <v>244465.60909999997</v>
      </c>
      <c r="I39" s="24">
        <v>235371.5981</v>
      </c>
      <c r="J39" s="24">
        <v>250632.63709999999</v>
      </c>
      <c r="K39" s="24">
        <v>239022.86410000004</v>
      </c>
      <c r="L39" s="24">
        <v>228517.39910000004</v>
      </c>
      <c r="M39" s="24">
        <v>221530.0281</v>
      </c>
      <c r="N39" s="24">
        <v>221509.52510000003</v>
      </c>
      <c r="O39" s="24">
        <v>219638.85109999997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24c2775-1df9-4267-9f81-e3b19fffec5b}" enabled="1" method="Privileged" siteId="{38651f6f-836b-4bdf-9615-4e255c290f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 Summary</vt:lpstr>
      <vt:lpstr>Inputs &amp; Drivers</vt:lpstr>
      <vt:lpstr>Model</vt:lpstr>
      <vt:lpstr>Historical Financials</vt:lpstr>
    </vt:vector>
  </TitlesOfParts>
  <Company>Wallstreetprep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Phillips, Brooks [Risk]</cp:lastModifiedBy>
  <dcterms:created xsi:type="dcterms:W3CDTF">2014-05-20T15:13:49Z</dcterms:created>
  <dcterms:modified xsi:type="dcterms:W3CDTF">2026-09-22T18:55:51Z</dcterms:modified>
</cp:coreProperties>
</file>